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F:\GraphFuzzy\Дополнительно\«Основы нечеткой логики, логико-лингвистические модели» - PDF_files\"/>
    </mc:Choice>
  </mc:AlternateContent>
  <xr:revisionPtr revIDLastSave="0" documentId="13_ncr:1_{33255DBC-3262-4E78-A103-D5A21466A47B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" i="5" l="1"/>
  <c r="N1" i="5"/>
  <c r="O1" i="5"/>
  <c r="P1" i="5"/>
  <c r="N2" i="5"/>
  <c r="O2" i="5"/>
  <c r="P2" i="5"/>
  <c r="N3" i="5"/>
  <c r="O3" i="5"/>
  <c r="P3" i="5"/>
  <c r="O4" i="5"/>
  <c r="P4" i="5"/>
  <c r="O5" i="5"/>
  <c r="P5" i="5"/>
  <c r="O6" i="5"/>
  <c r="P6" i="5"/>
  <c r="M7" i="5"/>
  <c r="O7" i="5"/>
  <c r="P7" i="5"/>
  <c r="M8" i="5"/>
  <c r="P8" i="5"/>
  <c r="M9" i="5"/>
  <c r="P9" i="5"/>
  <c r="M10" i="5"/>
  <c r="P10" i="5"/>
  <c r="M11" i="5"/>
  <c r="P11" i="5"/>
  <c r="M12" i="5"/>
  <c r="N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G1" i="5"/>
  <c r="H1" i="5"/>
  <c r="I1" i="5"/>
  <c r="J1" i="5"/>
  <c r="G2" i="5"/>
  <c r="I2" i="5"/>
  <c r="J2" i="5"/>
  <c r="G3" i="5"/>
  <c r="I3" i="5"/>
  <c r="J3" i="5"/>
  <c r="G4" i="5"/>
  <c r="J4" i="5"/>
  <c r="G5" i="5"/>
  <c r="J5" i="5"/>
  <c r="G6" i="5"/>
  <c r="J6" i="5"/>
  <c r="G7" i="5"/>
  <c r="H7" i="5"/>
  <c r="J7" i="5"/>
  <c r="G8" i="5"/>
  <c r="H8" i="5"/>
  <c r="J8" i="5"/>
  <c r="G9" i="5"/>
  <c r="H9" i="5"/>
  <c r="G10" i="5"/>
  <c r="H10" i="5"/>
  <c r="G11" i="5"/>
  <c r="H11" i="5"/>
  <c r="I11" i="5"/>
  <c r="G12" i="5"/>
  <c r="H12" i="5"/>
  <c r="I12" i="5"/>
  <c r="A1" i="5"/>
  <c r="B1" i="5"/>
  <c r="C1" i="5"/>
  <c r="D1" i="5"/>
  <c r="A2" i="5"/>
  <c r="C2" i="5"/>
  <c r="D2" i="5"/>
  <c r="A3" i="5"/>
  <c r="C3" i="5"/>
  <c r="D3" i="5"/>
  <c r="A4" i="5"/>
  <c r="D4" i="5"/>
  <c r="A5" i="5"/>
  <c r="D5" i="5"/>
  <c r="A6" i="5"/>
  <c r="D6" i="5"/>
  <c r="A7" i="5"/>
  <c r="D7" i="5"/>
  <c r="A8" i="5"/>
  <c r="B8" i="5"/>
  <c r="A9" i="5"/>
  <c r="B9" i="5"/>
  <c r="A10" i="5"/>
  <c r="B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D18" i="5"/>
  <c r="J40" i="2"/>
  <c r="J39" i="2"/>
  <c r="L8" i="2"/>
  <c r="L9" i="2"/>
  <c r="L10" i="2"/>
  <c r="L11" i="2"/>
  <c r="L12" i="2"/>
  <c r="L13" i="2"/>
  <c r="L14" i="2"/>
  <c r="L15" i="2"/>
  <c r="L16" i="2"/>
  <c r="L17" i="2"/>
  <c r="L18" i="2"/>
  <c r="K11" i="2"/>
  <c r="K12" i="2"/>
  <c r="K13" i="2"/>
  <c r="K14" i="2"/>
  <c r="K15" i="2"/>
  <c r="K16" i="2"/>
  <c r="K17" i="2"/>
  <c r="K18" i="2"/>
  <c r="J11" i="2"/>
  <c r="J12" i="2"/>
  <c r="J13" i="2"/>
  <c r="J14" i="2"/>
  <c r="J15" i="2"/>
  <c r="J16" i="2"/>
  <c r="J17" i="2"/>
  <c r="J18" i="2"/>
  <c r="H3" i="2"/>
  <c r="H4" i="2"/>
  <c r="H5" i="2"/>
  <c r="H6" i="2"/>
  <c r="H7" i="2"/>
  <c r="H18" i="2"/>
  <c r="H2" i="2"/>
  <c r="E7" i="2"/>
  <c r="G8" i="2"/>
  <c r="H8" i="2" s="1"/>
  <c r="D8" i="5" l="1"/>
  <c r="B7" i="5"/>
  <c r="L7" i="2"/>
  <c r="S2" i="5"/>
  <c r="S3" i="5"/>
  <c r="F42" i="2"/>
  <c r="F43" i="2"/>
  <c r="F44" i="2"/>
  <c r="F45" i="2"/>
  <c r="F46" i="2"/>
  <c r="F47" i="2"/>
  <c r="F48" i="2"/>
  <c r="F41" i="2"/>
  <c r="F25" i="2"/>
  <c r="I4" i="5" s="1"/>
  <c r="S4" i="5" s="1"/>
  <c r="G46" i="2"/>
  <c r="O9" i="5" s="1"/>
  <c r="G47" i="2"/>
  <c r="O10" i="5" s="1"/>
  <c r="G48" i="2"/>
  <c r="O11" i="5" s="1"/>
  <c r="G49" i="2"/>
  <c r="G45" i="2"/>
  <c r="O8" i="5" s="1"/>
  <c r="G30" i="2"/>
  <c r="J9" i="5" s="1"/>
  <c r="E40" i="2"/>
  <c r="M3" i="5" s="1"/>
  <c r="E41" i="2"/>
  <c r="M4" i="5" s="1"/>
  <c r="E42" i="2"/>
  <c r="M5" i="5" s="1"/>
  <c r="E43" i="2"/>
  <c r="M6" i="5" s="1"/>
  <c r="E39" i="2"/>
  <c r="M2" i="5" s="1"/>
  <c r="E23" i="2"/>
  <c r="B23" i="2" s="1"/>
  <c r="F26" i="2"/>
  <c r="I5" i="5" s="1"/>
  <c r="S5" i="5" s="1"/>
  <c r="F27" i="2"/>
  <c r="I6" i="5" s="1"/>
  <c r="S6" i="5" s="1"/>
  <c r="F28" i="2"/>
  <c r="B28" i="2" s="1"/>
  <c r="F29" i="2"/>
  <c r="B29" i="2" s="1"/>
  <c r="F30" i="2"/>
  <c r="F31" i="2"/>
  <c r="G31" i="2"/>
  <c r="J10" i="5" s="1"/>
  <c r="G32" i="2"/>
  <c r="B32" i="2" s="1"/>
  <c r="G33" i="2"/>
  <c r="B33" i="2" s="1"/>
  <c r="E24" i="2"/>
  <c r="B24" i="2" s="1"/>
  <c r="E25" i="2"/>
  <c r="B25" i="2" s="1"/>
  <c r="E26" i="2"/>
  <c r="B26" i="2" s="1"/>
  <c r="E27" i="2"/>
  <c r="B27" i="2" s="1"/>
  <c r="F5" i="2"/>
  <c r="C5" i="5" s="1"/>
  <c r="F6" i="2"/>
  <c r="C6" i="5" s="1"/>
  <c r="F7" i="2"/>
  <c r="C7" i="5" s="1"/>
  <c r="F8" i="2"/>
  <c r="F9" i="2"/>
  <c r="F10" i="2"/>
  <c r="F4" i="2"/>
  <c r="C4" i="5" s="1"/>
  <c r="G9" i="2"/>
  <c r="G10" i="2"/>
  <c r="G11" i="2"/>
  <c r="G12" i="2"/>
  <c r="G13" i="2"/>
  <c r="G14" i="2"/>
  <c r="G15" i="2"/>
  <c r="G16" i="2"/>
  <c r="G17" i="2"/>
  <c r="E3" i="2"/>
  <c r="E4" i="2"/>
  <c r="E5" i="2"/>
  <c r="E6" i="2"/>
  <c r="E2" i="2"/>
  <c r="I3" i="2"/>
  <c r="E3" i="5" s="1"/>
  <c r="I4" i="2"/>
  <c r="E4" i="5" s="1"/>
  <c r="I5" i="2"/>
  <c r="E5" i="5" s="1"/>
  <c r="I6" i="2"/>
  <c r="E6" i="5" s="1"/>
  <c r="I7" i="2"/>
  <c r="E7" i="5" s="1"/>
  <c r="I8" i="2"/>
  <c r="E8" i="5" s="1"/>
  <c r="I9" i="2"/>
  <c r="E9" i="5" s="1"/>
  <c r="I10" i="2"/>
  <c r="E10" i="5" s="1"/>
  <c r="I11" i="2"/>
  <c r="E11" i="5" s="1"/>
  <c r="I12" i="2"/>
  <c r="E12" i="5" s="1"/>
  <c r="I13" i="2"/>
  <c r="E13" i="5" s="1"/>
  <c r="I14" i="2"/>
  <c r="E14" i="5" s="1"/>
  <c r="I15" i="2"/>
  <c r="E15" i="5" s="1"/>
  <c r="I16" i="2"/>
  <c r="E16" i="5" s="1"/>
  <c r="I17" i="2"/>
  <c r="E17" i="5" s="1"/>
  <c r="I18" i="2"/>
  <c r="E18" i="5" s="1"/>
  <c r="I2" i="2"/>
  <c r="E2" i="5" s="1"/>
  <c r="B30" i="2" l="1"/>
  <c r="B31" i="2"/>
  <c r="H6" i="5"/>
  <c r="C27" i="2"/>
  <c r="D27" i="2" s="1"/>
  <c r="H5" i="5"/>
  <c r="C26" i="2"/>
  <c r="D26" i="2" s="1"/>
  <c r="I8" i="5"/>
  <c r="S8" i="5" s="1"/>
  <c r="C29" i="2"/>
  <c r="D29" i="2" s="1"/>
  <c r="I10" i="5"/>
  <c r="C31" i="2"/>
  <c r="D31" i="2" s="1"/>
  <c r="H4" i="5"/>
  <c r="C25" i="2"/>
  <c r="D25" i="2" s="1"/>
  <c r="I7" i="5"/>
  <c r="S7" i="5" s="1"/>
  <c r="C28" i="2"/>
  <c r="D28" i="2" s="1"/>
  <c r="I9" i="5"/>
  <c r="C30" i="2"/>
  <c r="D30" i="2" s="1"/>
  <c r="J11" i="5"/>
  <c r="C32" i="2"/>
  <c r="D32" i="2" s="1"/>
  <c r="H2" i="5"/>
  <c r="C23" i="2"/>
  <c r="D23" i="2" s="1"/>
  <c r="H3" i="5"/>
  <c r="C24" i="2"/>
  <c r="D24" i="2" s="1"/>
  <c r="J12" i="5"/>
  <c r="C33" i="2"/>
  <c r="D33" i="2" s="1"/>
  <c r="H15" i="2"/>
  <c r="D15" i="5"/>
  <c r="D14" i="5"/>
  <c r="H14" i="2"/>
  <c r="D13" i="5"/>
  <c r="H13" i="2"/>
  <c r="L3" i="2"/>
  <c r="K3" i="2"/>
  <c r="J3" i="2"/>
  <c r="B3" i="5"/>
  <c r="H10" i="2"/>
  <c r="D10" i="5"/>
  <c r="D17" i="5"/>
  <c r="H17" i="2"/>
  <c r="D9" i="5"/>
  <c r="S9" i="5" s="1"/>
  <c r="H9" i="2"/>
  <c r="J43" i="2"/>
  <c r="N6" i="5"/>
  <c r="J42" i="2"/>
  <c r="N5" i="5"/>
  <c r="K10" i="2"/>
  <c r="J10" i="2"/>
  <c r="C10" i="5"/>
  <c r="N4" i="5"/>
  <c r="J41" i="2"/>
  <c r="L2" i="2"/>
  <c r="K2" i="2"/>
  <c r="B2" i="5"/>
  <c r="J2" i="2"/>
  <c r="L6" i="2"/>
  <c r="B6" i="5"/>
  <c r="K6" i="2"/>
  <c r="J6" i="2"/>
  <c r="N10" i="5"/>
  <c r="J47" i="2"/>
  <c r="N9" i="5"/>
  <c r="J46" i="2"/>
  <c r="K7" i="2"/>
  <c r="C9" i="5"/>
  <c r="K9" i="2"/>
  <c r="J9" i="2"/>
  <c r="N11" i="5"/>
  <c r="J48" i="2"/>
  <c r="J8" i="2"/>
  <c r="C8" i="5"/>
  <c r="K8" i="2"/>
  <c r="K5" i="2"/>
  <c r="L5" i="2"/>
  <c r="J5" i="2"/>
  <c r="B5" i="5"/>
  <c r="H12" i="2"/>
  <c r="D12" i="5"/>
  <c r="O12" i="5"/>
  <c r="J49" i="2"/>
  <c r="J4" i="2"/>
  <c r="L4" i="2"/>
  <c r="K4" i="2"/>
  <c r="B4" i="5"/>
  <c r="D11" i="5"/>
  <c r="H11" i="2"/>
  <c r="N8" i="5"/>
  <c r="J45" i="2"/>
  <c r="H16" i="2"/>
  <c r="D16" i="5"/>
  <c r="N7" i="5"/>
  <c r="J44" i="2"/>
  <c r="J7" i="2"/>
  <c r="S10" i="5" l="1"/>
  <c r="S11" i="5"/>
  <c r="S12" i="5"/>
</calcChain>
</file>

<file path=xl/sharedStrings.xml><?xml version="1.0" encoding="utf-8"?>
<sst xmlns="http://schemas.openxmlformats.org/spreadsheetml/2006/main" count="185" uniqueCount="44">
  <si>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</si>
  <si>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</si>
  <si>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</si>
  <si>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</si>
  <si>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</si>
  <si>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</si>
  <si>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</si>
  <si>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</si>
  <si>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</si>
  <si>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</si>
  <si>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</si>
  <si>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</si>
  <si>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</si>
  <si>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</si>
  <si>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</si>
  <si>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</si>
  <si>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</si>
  <si>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</si>
  <si>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</si>
  <si>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</si>
  <si>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</si>
  <si>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</si>
  <si>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</si>
  <si>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</si>
  <si>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</si>
  <si>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</si>
  <si>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</si>
  <si>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</si>
  <si>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</si>
  <si>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</si>
  <si>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</si>
  <si>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</si>
  <si>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</si>
  <si>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</si>
  <si>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</si>
  <si>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</si>
  <si>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</si>
  <si>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</si>
  <si>
    <t>Приемлемая техника</t>
  </si>
  <si>
    <t>Очень приемлемая техника</t>
  </si>
  <si>
    <t>Не очень приемлемая</t>
  </si>
  <si>
    <t xml:space="preserve"> = приемлемая^2</t>
  </si>
  <si>
    <t xml:space="preserve"> = 1 - очень приемлемая</t>
  </si>
  <si>
    <t xml:space="preserve"> = (слабая*1+увереная*2+звезда*3)/3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</si>
</sst>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'mu-функции'!$E$1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'mu-функции'!$E$2:$E$18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'mu-функции'!$F$1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'mu-функции'!$F$2:$F$18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0.5</c:v>
                </c:pt>
                <c:pt idx="5" formatCode="0.00">
                  <c:v>0.75</c:v>
                </c:pt>
                <c:pt idx="6" formatCode="0.00">
                  <c:v>1</c:v>
                </c:pt>
                <c:pt idx="7" formatCode="0.00">
                  <c:v>0.66666666666666663</c:v>
                </c:pt>
                <c:pt idx="8" formatCode="0.00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'mu-функции'!$G$1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'mu-функции'!$G$2:$G$18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00640"/>
        <c:axId val="613401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'mu-функции'!$H$1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'mu-функции'!$H$2:$H$18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1.0000000000000002E-2</c:v>
                      </c:pt>
                      <c:pt idx="8">
                        <c:v>4.0000000000000008E-2</c:v>
                      </c:pt>
                      <c:pt idx="9">
                        <c:v>0.09</c:v>
                      </c:pt>
                      <c:pt idx="10">
                        <c:v>0.16000000000000003</c:v>
                      </c:pt>
                      <c:pt idx="11">
                        <c:v>0.25</c:v>
                      </c:pt>
                      <c:pt idx="12">
                        <c:v>0.36</c:v>
                      </c:pt>
                      <c:pt idx="13">
                        <c:v>0.48999999999999994</c:v>
                      </c:pt>
                      <c:pt idx="14">
                        <c:v>0.64000000000000012</c:v>
                      </c:pt>
                      <c:pt idx="15">
                        <c:v>0.81</c:v>
                      </c:pt>
                      <c:pt idx="16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'mu-функции'!$L$1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'mu-функции'!$L$2:$L$18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0.8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6134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401424"/>
        <c:crosses val="autoZero"/>
        <c:auto val="1"/>
        <c:lblAlgn val="ctr"/>
        <c:lblOffset val="100"/>
        <c:noMultiLvlLbl val="0"/>
      </c:catAx>
      <c:valAx>
        <c:axId val="6134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4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'mu-функции'!$E$22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'mu-функции'!$E$23:$E$33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'mu-функции'!$F$22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'mu-функции'!$F$23:$F$33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'mu-функции'!$G$22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'mu-функции'!$G$23:$G$33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55168"/>
        <c:axId val="615556344"/>
      </c:lineChart>
      <c:catAx>
        <c:axId val="6155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6344"/>
        <c:crosses val="autoZero"/>
        <c:auto val="1"/>
        <c:lblAlgn val="ctr"/>
        <c:lblOffset val="100"/>
        <c:noMultiLvlLbl val="0"/>
      </c:catAx>
      <c:valAx>
        <c:axId val="61555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'mu-функции'!$E$38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'mu-функции'!$E$39:$E$49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'mu-функции'!$F$38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'mu-функции'!$F$39:$F$49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'mu-функции'!$G$38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'mu-функции'!$I$38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'mu-функции'!$G$39:$G$49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'mu-функции'!$J$38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'mu-функции'!$J$39:$J$49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63008"/>
        <c:axId val="615563400"/>
      </c:lineChart>
      <c:catAx>
        <c:axId val="61556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63400"/>
        <c:crosses val="autoZero"/>
        <c:auto val="1"/>
        <c:lblAlgn val="ctr"/>
        <c:lblOffset val="100"/>
        <c:noMultiLvlLbl val="0"/>
      </c:catAx>
      <c:valAx>
        <c:axId val="61556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6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Приемлемая техника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746223282016547E-2"/>
          <c:y val="6.8859160163508001E-2"/>
          <c:w val="0.94325377671798349"/>
          <c:h val="0.68189005638509237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'mu-функции'!$B$22</c:f>
              <c:strCache>
                <c:ptCount val="1"/>
                <c:pt idx="0">
                  <c:v>Приемлемая техника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'mu-функции'!$A$23:$A$33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'mu-функции'!$B$23:$B$33</c:f>
              <c:numCache>
                <c:formatCode>General</c:formatCode>
                <c:ptCount val="11"/>
                <c:pt idx="0">
                  <c:v>0.33333333333333331</c:v>
                </c:pt>
                <c:pt idx="1">
                  <c:v>0.25</c:v>
                </c:pt>
                <c:pt idx="2">
                  <c:v>0.16666666666666666</c:v>
                </c:pt>
                <c:pt idx="3">
                  <c:v>0.30555555555555552</c:v>
                </c:pt>
                <c:pt idx="4">
                  <c:v>0.44444444444444442</c:v>
                </c:pt>
                <c:pt idx="5">
                  <c:v>0.66666666666666663</c:v>
                </c:pt>
                <c:pt idx="6">
                  <c:v>0.44444444444444442</c:v>
                </c:pt>
                <c:pt idx="7">
                  <c:v>0.22222222222222221</c:v>
                </c:pt>
                <c:pt idx="8">
                  <c:v>0.33333333333333331</c:v>
                </c:pt>
                <c:pt idx="9">
                  <c:v>0.66666666666666663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4-4173-B873-F316A1287BC8}"/>
            </c:ext>
          </c:extLst>
        </c:ser>
        <c:ser>
          <c:idx val="2"/>
          <c:order val="1"/>
          <c:tx>
            <c:strRef>
              <c:f>'mu-функции'!$C$22</c:f>
              <c:strCache>
                <c:ptCount val="1"/>
                <c:pt idx="0">
                  <c:v>Очень приемлемая техника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'mu-функции'!$A$23:$A$33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'mu-функции'!$C$23:$C$33</c:f>
              <c:numCache>
                <c:formatCode>General</c:formatCode>
                <c:ptCount val="11"/>
                <c:pt idx="0">
                  <c:v>0.1111111111111111</c:v>
                </c:pt>
                <c:pt idx="1">
                  <c:v>6.25E-2</c:v>
                </c:pt>
                <c:pt idx="2">
                  <c:v>2.7777777777777776E-2</c:v>
                </c:pt>
                <c:pt idx="3">
                  <c:v>9.3364197530864182E-2</c:v>
                </c:pt>
                <c:pt idx="4">
                  <c:v>0.19753086419753085</c:v>
                </c:pt>
                <c:pt idx="5">
                  <c:v>0.44444444444444442</c:v>
                </c:pt>
                <c:pt idx="6">
                  <c:v>0.19753086419753085</c:v>
                </c:pt>
                <c:pt idx="7">
                  <c:v>4.9382716049382713E-2</c:v>
                </c:pt>
                <c:pt idx="8">
                  <c:v>0.1111111111111111</c:v>
                </c:pt>
                <c:pt idx="9">
                  <c:v>0.44444444444444442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4-4173-B873-F316A1287BC8}"/>
            </c:ext>
          </c:extLst>
        </c:ser>
        <c:ser>
          <c:idx val="3"/>
          <c:order val="2"/>
          <c:tx>
            <c:strRef>
              <c:f>'mu-функции'!$D$22</c:f>
              <c:strCache>
                <c:ptCount val="1"/>
                <c:pt idx="0">
                  <c:v>Не очень приемлемая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604-4173-B873-F316A1287BC8}"/>
              </c:ext>
            </c:extLst>
          </c:dPt>
          <c:cat>
            <c:numRef>
              <c:f>'mu-функции'!$A$23:$A$33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'mu-функции'!$D$23:$D$33</c:f>
              <c:numCache>
                <c:formatCode>General</c:formatCode>
                <c:ptCount val="11"/>
                <c:pt idx="0">
                  <c:v>0.88888888888888884</c:v>
                </c:pt>
                <c:pt idx="1">
                  <c:v>0.9375</c:v>
                </c:pt>
                <c:pt idx="2">
                  <c:v>0.97222222222222221</c:v>
                </c:pt>
                <c:pt idx="3">
                  <c:v>0.90663580246913578</c:v>
                </c:pt>
                <c:pt idx="4">
                  <c:v>0.80246913580246915</c:v>
                </c:pt>
                <c:pt idx="5">
                  <c:v>0.55555555555555558</c:v>
                </c:pt>
                <c:pt idx="6">
                  <c:v>0.80246913580246915</c:v>
                </c:pt>
                <c:pt idx="7">
                  <c:v>0.95061728395061729</c:v>
                </c:pt>
                <c:pt idx="8">
                  <c:v>0.88888888888888884</c:v>
                </c:pt>
                <c:pt idx="9">
                  <c:v>0.55555555555555558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04-4173-B873-F316A1287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196112"/>
        <c:axId val="793199248"/>
      </c:lineChart>
      <c:catAx>
        <c:axId val="7931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3199248"/>
        <c:crosses val="autoZero"/>
        <c:auto val="1"/>
        <c:lblAlgn val="ctr"/>
        <c:lblOffset val="100"/>
        <c:noMultiLvlLbl val="0"/>
      </c:catAx>
      <c:valAx>
        <c:axId val="79319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31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615555952"/>
        <c:axId val="615558304"/>
      </c:bubbleChart>
      <c:valAx>
        <c:axId val="61555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8304"/>
        <c:crosses val="autoZero"/>
        <c:crossBetween val="midCat"/>
      </c:valAx>
      <c:valAx>
        <c:axId val="6155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556736"/>
        <c:axId val="615560264"/>
      </c:radarChart>
      <c:catAx>
        <c:axId val="6155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60264"/>
        <c:crosses val="autoZero"/>
        <c:auto val="1"/>
        <c:lblAlgn val="ctr"/>
        <c:lblOffset val="100"/>
        <c:noMultiLvlLbl val="0"/>
      </c:catAx>
      <c:valAx>
        <c:axId val="61556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57128"/>
        <c:axId val="615557520"/>
      </c:lineChart>
      <c:catAx>
        <c:axId val="615557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7520"/>
        <c:crosses val="autoZero"/>
        <c:auto val="1"/>
        <c:lblAlgn val="ctr"/>
        <c:lblOffset val="100"/>
        <c:noMultiLvlLbl val="0"/>
      </c:catAx>
      <c:valAx>
        <c:axId val="6155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5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0</xdr:row>
      <xdr:rowOff>138112</xdr:rowOff>
    </xdr:from>
    <xdr:to>
      <xdr:col>21</xdr:col>
      <xdr:colOff>590550</xdr:colOff>
      <xdr:row>16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18</xdr:row>
      <xdr:rowOff>66675</xdr:rowOff>
    </xdr:from>
    <xdr:to>
      <xdr:col>22</xdr:col>
      <xdr:colOff>323850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342899</xdr:colOff>
      <xdr:row>38</xdr:row>
      <xdr:rowOff>90487</xdr:rowOff>
    </xdr:from>
    <xdr:to>
      <xdr:col>18</xdr:col>
      <xdr:colOff>409574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</xdr:row>
      <xdr:rowOff>26670</xdr:rowOff>
    </xdr:from>
    <xdr:to>
      <xdr:col>5</xdr:col>
      <xdr:colOff>601980</xdr:colOff>
      <xdr:row>51</xdr:row>
      <xdr:rowOff>152400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5"/>
    </sheetView>
  </sheetViews>
  <sheetFormatPr defaultRowHeight="14.4" x14ac:dyDescent="0.3"/>
  <cols>
    <col min="1" max="1" width="19.44140625" customWidth="1"/>
    <col min="2" max="2" width="15.44140625" customWidth="1"/>
    <col min="3" max="3" width="19.33203125" customWidth="1"/>
    <col min="4" max="4" width="2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t="s">
        <v>13</v>
      </c>
    </row>
    <row r="3" spans="1:4" x14ac:dyDescent="0.3">
      <c r="A3" t="s">
        <v>4</v>
      </c>
      <c r="B3" t="s">
        <v>7</v>
      </c>
      <c r="C3" t="s">
        <v>11</v>
      </c>
      <c r="D3" t="s">
        <v>13</v>
      </c>
    </row>
    <row r="4" spans="1:4" x14ac:dyDescent="0.3">
      <c r="A4" t="s">
        <v>4</v>
      </c>
      <c r="B4" t="s">
        <v>7</v>
      </c>
      <c r="C4" t="s">
        <v>12</v>
      </c>
      <c r="D4" t="s">
        <v>13</v>
      </c>
    </row>
    <row r="5" spans="1:4" x14ac:dyDescent="0.3">
      <c r="A5" t="s">
        <v>4</v>
      </c>
      <c r="B5" t="s">
        <v>8</v>
      </c>
      <c r="C5" t="s">
        <v>10</v>
      </c>
      <c r="D5" t="s">
        <v>13</v>
      </c>
    </row>
    <row r="6" spans="1:4" x14ac:dyDescent="0.3">
      <c r="A6" t="s">
        <v>5</v>
      </c>
      <c r="B6" t="s">
        <v>7</v>
      </c>
      <c r="C6" t="s">
        <v>10</v>
      </c>
      <c r="D6" t="s">
        <v>13</v>
      </c>
    </row>
    <row r="7" spans="1:4" x14ac:dyDescent="0.3">
      <c r="A7" t="s">
        <v>6</v>
      </c>
      <c r="B7" t="s">
        <v>7</v>
      </c>
      <c r="C7" t="s">
        <v>10</v>
      </c>
      <c r="D7" t="s">
        <v>13</v>
      </c>
    </row>
    <row r="8" spans="1:4" x14ac:dyDescent="0.3">
      <c r="A8" t="s">
        <v>4</v>
      </c>
      <c r="B8" t="s">
        <v>9</v>
      </c>
      <c r="C8" t="s">
        <v>11</v>
      </c>
      <c r="D8" t="s">
        <v>12</v>
      </c>
    </row>
    <row r="9" spans="1:4" x14ac:dyDescent="0.3">
      <c r="A9" t="s">
        <v>4</v>
      </c>
      <c r="B9" t="s">
        <v>9</v>
      </c>
      <c r="C9" t="s">
        <v>12</v>
      </c>
      <c r="D9" t="s">
        <v>12</v>
      </c>
    </row>
    <row r="10" spans="1:4" x14ac:dyDescent="0.3">
      <c r="A10" t="s">
        <v>5</v>
      </c>
      <c r="B10" t="s">
        <v>8</v>
      </c>
      <c r="C10" t="s">
        <v>12</v>
      </c>
      <c r="D10" t="s">
        <v>12</v>
      </c>
    </row>
    <row r="11" spans="1:4" x14ac:dyDescent="0.3">
      <c r="A11" t="s">
        <v>5</v>
      </c>
      <c r="B11" t="s">
        <v>9</v>
      </c>
      <c r="C11" t="s">
        <v>11</v>
      </c>
      <c r="D11" t="s">
        <v>12</v>
      </c>
    </row>
    <row r="12" spans="1:4" x14ac:dyDescent="0.3">
      <c r="A12" t="s">
        <v>5</v>
      </c>
      <c r="B12" t="s">
        <v>9</v>
      </c>
      <c r="C12" t="s">
        <v>12</v>
      </c>
      <c r="D12" t="s">
        <v>12</v>
      </c>
    </row>
    <row r="13" spans="1:4" x14ac:dyDescent="0.3">
      <c r="A13" t="s">
        <v>6</v>
      </c>
      <c r="B13" t="s">
        <v>8</v>
      </c>
      <c r="C13" t="s">
        <v>12</v>
      </c>
      <c r="D13" t="s">
        <v>12</v>
      </c>
    </row>
    <row r="14" spans="1:4" x14ac:dyDescent="0.3">
      <c r="A14" t="s">
        <v>6</v>
      </c>
      <c r="B14" t="s">
        <v>9</v>
      </c>
      <c r="C14" t="s">
        <v>11</v>
      </c>
      <c r="D14" t="s">
        <v>12</v>
      </c>
    </row>
    <row r="15" spans="1:4" x14ac:dyDescent="0.3">
      <c r="A15" t="s">
        <v>6</v>
      </c>
      <c r="B15" t="s">
        <v>9</v>
      </c>
      <c r="C15" t="s">
        <v>12</v>
      </c>
      <c r="D15" t="s">
        <v>14</v>
      </c>
    </row>
    <row r="16" spans="1:4" x14ac:dyDescent="0.3">
      <c r="A16" t="s">
        <v>4</v>
      </c>
      <c r="B16" t="s">
        <v>8</v>
      </c>
      <c r="C16" t="s">
        <v>11</v>
      </c>
      <c r="D16" t="s">
        <v>11</v>
      </c>
    </row>
    <row r="17" spans="1:4" x14ac:dyDescent="0.3">
      <c r="A17" t="s">
        <v>4</v>
      </c>
      <c r="B17" t="s">
        <v>8</v>
      </c>
      <c r="C17" t="s">
        <v>12</v>
      </c>
      <c r="D17" t="s">
        <v>11</v>
      </c>
    </row>
    <row r="18" spans="1:4" x14ac:dyDescent="0.3">
      <c r="A18" t="s">
        <v>4</v>
      </c>
      <c r="B18" t="s">
        <v>9</v>
      </c>
      <c r="C18" t="s">
        <v>10</v>
      </c>
      <c r="D18" t="s">
        <v>11</v>
      </c>
    </row>
    <row r="19" spans="1:4" x14ac:dyDescent="0.3">
      <c r="A19" t="s">
        <v>5</v>
      </c>
      <c r="B19" t="s">
        <v>7</v>
      </c>
      <c r="C19" t="s">
        <v>11</v>
      </c>
      <c r="D19" t="s">
        <v>11</v>
      </c>
    </row>
    <row r="20" spans="1:4" x14ac:dyDescent="0.3">
      <c r="A20" t="s">
        <v>5</v>
      </c>
      <c r="B20" t="s">
        <v>7</v>
      </c>
      <c r="C20" t="s">
        <v>12</v>
      </c>
      <c r="D20" t="s">
        <v>11</v>
      </c>
    </row>
    <row r="21" spans="1:4" x14ac:dyDescent="0.3">
      <c r="A21" t="s">
        <v>5</v>
      </c>
      <c r="B21" t="s">
        <v>8</v>
      </c>
      <c r="C21" t="s">
        <v>10</v>
      </c>
      <c r="D21" t="s">
        <v>11</v>
      </c>
    </row>
    <row r="22" spans="1:4" x14ac:dyDescent="0.3">
      <c r="A22" t="s">
        <v>5</v>
      </c>
      <c r="B22" t="s">
        <v>8</v>
      </c>
      <c r="C22" t="s">
        <v>11</v>
      </c>
      <c r="D22" t="s">
        <v>11</v>
      </c>
    </row>
    <row r="23" spans="1:4" x14ac:dyDescent="0.3">
      <c r="A23" t="s">
        <v>5</v>
      </c>
      <c r="B23" t="s">
        <v>9</v>
      </c>
      <c r="C23" t="s">
        <v>10</v>
      </c>
      <c r="D23" t="s">
        <v>11</v>
      </c>
    </row>
    <row r="24" spans="1:4" x14ac:dyDescent="0.3">
      <c r="A24" t="s">
        <v>6</v>
      </c>
      <c r="B24" t="s">
        <v>7</v>
      </c>
      <c r="C24" t="s">
        <v>11</v>
      </c>
      <c r="D24" t="s">
        <v>11</v>
      </c>
    </row>
    <row r="25" spans="1:4" x14ac:dyDescent="0.3">
      <c r="A25" t="s">
        <v>6</v>
      </c>
      <c r="B25" t="s">
        <v>7</v>
      </c>
      <c r="C25" t="s">
        <v>12</v>
      </c>
      <c r="D25" t="s">
        <v>11</v>
      </c>
    </row>
    <row r="26" spans="1:4" x14ac:dyDescent="0.3">
      <c r="A26" t="s">
        <v>6</v>
      </c>
      <c r="B26" t="s">
        <v>8</v>
      </c>
      <c r="C26" t="s">
        <v>10</v>
      </c>
      <c r="D26" t="s">
        <v>11</v>
      </c>
    </row>
    <row r="27" spans="1:4" x14ac:dyDescent="0.3">
      <c r="A27" t="s">
        <v>6</v>
      </c>
      <c r="B27" t="s">
        <v>8</v>
      </c>
      <c r="C27" t="s">
        <v>11</v>
      </c>
      <c r="D27" t="s">
        <v>11</v>
      </c>
    </row>
    <row r="28" spans="1:4" x14ac:dyDescent="0.3">
      <c r="A28" t="s">
        <v>6</v>
      </c>
      <c r="B28" t="s">
        <v>9</v>
      </c>
      <c r="C28" t="s">
        <v>10</v>
      </c>
      <c r="D28" t="s">
        <v>11</v>
      </c>
    </row>
  </sheetData>
  <sortState xmlns:xlrd2="http://schemas.microsoft.com/office/spreadsheetml/2017/richdata2"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topLeftCell="A19" zoomScaleNormal="100" workbookViewId="0">
      <selection activeCell="B23" sqref="B23"/>
    </sheetView>
  </sheetViews>
  <sheetFormatPr defaultRowHeight="14.4" x14ac:dyDescent="0.3"/>
  <cols>
    <col min="1" max="1" width="18.109375" customWidth="1"/>
    <col min="2" max="2" width="34" customWidth="1"/>
    <col min="3" max="3" width="26.109375" customWidth="1"/>
    <col min="4" max="4" width="22.6640625" customWidth="1"/>
    <col min="5" max="8" width="15.109375" customWidth="1"/>
    <col min="9" max="9" width="34" customWidth="1"/>
    <col min="10" max="10" width="27.33203125" customWidth="1"/>
    <col min="11" max="11" width="24.6640625" customWidth="1"/>
    <col min="12" max="12" width="20" customWidth="1"/>
  </cols>
  <sheetData>
    <row r="1" spans="1:12" x14ac:dyDescent="0.3">
      <c r="A1" s="1" t="s">
        <v>0</v>
      </c>
      <c r="B1" s="1"/>
      <c r="C1" s="1"/>
      <c r="D1" s="1"/>
      <c r="E1" s="1" t="s">
        <v>6</v>
      </c>
      <c r="F1" s="1" t="s">
        <v>5</v>
      </c>
      <c r="G1" s="1" t="s">
        <v>4</v>
      </c>
      <c r="H1" s="1" t="s">
        <v>29</v>
      </c>
      <c r="I1" s="1" t="s">
        <v>15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160</v>
      </c>
      <c r="E2">
        <f>1-(A2-160)/25</f>
        <v>1</v>
      </c>
      <c r="F2">
        <v>0</v>
      </c>
      <c r="G2">
        <v>0</v>
      </c>
      <c r="H2">
        <f>G2*G2</f>
        <v>0</v>
      </c>
      <c r="I2" s="2">
        <f>(A2-160)/80</f>
        <v>0</v>
      </c>
      <c r="J2">
        <f>MAX(E2,F2)</f>
        <v>1</v>
      </c>
      <c r="K2">
        <f>MIN(E2,F2)</f>
        <v>0</v>
      </c>
      <c r="L2">
        <f>1-E2</f>
        <v>0</v>
      </c>
    </row>
    <row r="3" spans="1:12" x14ac:dyDescent="0.3">
      <c r="A3">
        <v>165</v>
      </c>
      <c r="E3">
        <f t="shared" ref="E3:E6" si="0">1-(A3-160)/25</f>
        <v>0.8</v>
      </c>
      <c r="F3">
        <v>0</v>
      </c>
      <c r="G3">
        <v>0</v>
      </c>
      <c r="H3">
        <f t="shared" ref="H3:H18" si="1">G3*G3</f>
        <v>0</v>
      </c>
      <c r="I3" s="2">
        <f t="shared" ref="I3:I18" si="2">(A3-160)/80</f>
        <v>6.25E-2</v>
      </c>
      <c r="J3">
        <f t="shared" ref="J3:J18" si="3">MAX(E3,F3)</f>
        <v>0.8</v>
      </c>
      <c r="K3">
        <f t="shared" ref="K3:K18" si="4">MIN(E3,F3)</f>
        <v>0</v>
      </c>
      <c r="L3">
        <f t="shared" ref="L3:L18" si="5">1-E3</f>
        <v>0.19999999999999996</v>
      </c>
    </row>
    <row r="4" spans="1:12" x14ac:dyDescent="0.3">
      <c r="A4">
        <v>170</v>
      </c>
      <c r="E4">
        <f t="shared" si="0"/>
        <v>0.6</v>
      </c>
      <c r="F4" s="2">
        <f>IF(A4&lt;=190,(A4-170)/20,(205-A4)/15)</f>
        <v>0</v>
      </c>
      <c r="G4">
        <v>0</v>
      </c>
      <c r="H4">
        <f t="shared" si="1"/>
        <v>0</v>
      </c>
      <c r="I4" s="2">
        <f t="shared" si="2"/>
        <v>0.125</v>
      </c>
      <c r="J4">
        <f t="shared" si="3"/>
        <v>0.6</v>
      </c>
      <c r="K4">
        <f t="shared" si="4"/>
        <v>0</v>
      </c>
      <c r="L4">
        <f t="shared" si="5"/>
        <v>0.4</v>
      </c>
    </row>
    <row r="5" spans="1:12" x14ac:dyDescent="0.3">
      <c r="A5">
        <v>175</v>
      </c>
      <c r="E5">
        <f t="shared" si="0"/>
        <v>0.4</v>
      </c>
      <c r="F5" s="2">
        <f t="shared" ref="F5:F10" si="6">IF(A5&lt;=190,(A5-170)/20,(205-A5)/15)</f>
        <v>0.25</v>
      </c>
      <c r="G5">
        <v>0</v>
      </c>
      <c r="H5">
        <f t="shared" si="1"/>
        <v>0</v>
      </c>
      <c r="I5" s="2">
        <f t="shared" si="2"/>
        <v>0.1875</v>
      </c>
      <c r="J5">
        <f t="shared" si="3"/>
        <v>0.4</v>
      </c>
      <c r="K5">
        <f t="shared" si="4"/>
        <v>0.25</v>
      </c>
      <c r="L5">
        <f t="shared" si="5"/>
        <v>0.6</v>
      </c>
    </row>
    <row r="6" spans="1:12" x14ac:dyDescent="0.3">
      <c r="A6">
        <v>180</v>
      </c>
      <c r="E6">
        <f t="shared" si="0"/>
        <v>0.19999999999999996</v>
      </c>
      <c r="F6" s="2">
        <f t="shared" si="6"/>
        <v>0.5</v>
      </c>
      <c r="G6">
        <v>0</v>
      </c>
      <c r="H6">
        <f t="shared" si="1"/>
        <v>0</v>
      </c>
      <c r="I6" s="2">
        <f t="shared" si="2"/>
        <v>0.25</v>
      </c>
      <c r="J6">
        <f t="shared" si="3"/>
        <v>0.5</v>
      </c>
      <c r="K6">
        <f t="shared" si="4"/>
        <v>0.19999999999999996</v>
      </c>
      <c r="L6">
        <f t="shared" si="5"/>
        <v>0.8</v>
      </c>
    </row>
    <row r="7" spans="1:12" x14ac:dyDescent="0.3">
      <c r="A7">
        <v>185</v>
      </c>
      <c r="E7">
        <f>1-(A7-160)/25</f>
        <v>0</v>
      </c>
      <c r="F7" s="2">
        <f t="shared" si="6"/>
        <v>0.75</v>
      </c>
      <c r="G7">
        <v>0</v>
      </c>
      <c r="H7">
        <f t="shared" si="1"/>
        <v>0</v>
      </c>
      <c r="I7" s="2">
        <f t="shared" si="2"/>
        <v>0.3125</v>
      </c>
      <c r="J7">
        <f t="shared" si="3"/>
        <v>0.75</v>
      </c>
      <c r="K7">
        <f t="shared" si="4"/>
        <v>0</v>
      </c>
      <c r="L7">
        <f t="shared" si="5"/>
        <v>1</v>
      </c>
    </row>
    <row r="8" spans="1:12" x14ac:dyDescent="0.3">
      <c r="A8">
        <v>190</v>
      </c>
      <c r="E8">
        <v>0</v>
      </c>
      <c r="F8" s="2">
        <f t="shared" si="6"/>
        <v>1</v>
      </c>
      <c r="G8">
        <f>(A8-190)/50</f>
        <v>0</v>
      </c>
      <c r="H8">
        <f t="shared" si="1"/>
        <v>0</v>
      </c>
      <c r="I8" s="2">
        <f t="shared" si="2"/>
        <v>0.375</v>
      </c>
      <c r="J8">
        <f t="shared" si="3"/>
        <v>1</v>
      </c>
      <c r="K8">
        <f t="shared" si="4"/>
        <v>0</v>
      </c>
      <c r="L8">
        <f t="shared" si="5"/>
        <v>1</v>
      </c>
    </row>
    <row r="9" spans="1:12" x14ac:dyDescent="0.3">
      <c r="A9">
        <v>195</v>
      </c>
      <c r="E9">
        <v>0</v>
      </c>
      <c r="F9" s="2">
        <f t="shared" si="6"/>
        <v>0.66666666666666663</v>
      </c>
      <c r="G9">
        <f t="shared" ref="G9:G17" si="7">(A9-190)/50</f>
        <v>0.1</v>
      </c>
      <c r="H9">
        <f t="shared" si="1"/>
        <v>1.0000000000000002E-2</v>
      </c>
      <c r="I9" s="2">
        <f t="shared" si="2"/>
        <v>0.4375</v>
      </c>
      <c r="J9" s="2">
        <f>MAX(E9,F9)</f>
        <v>0.66666666666666663</v>
      </c>
      <c r="K9">
        <f t="shared" si="4"/>
        <v>0</v>
      </c>
      <c r="L9">
        <f t="shared" si="5"/>
        <v>1</v>
      </c>
    </row>
    <row r="10" spans="1:12" x14ac:dyDescent="0.3">
      <c r="A10">
        <v>200</v>
      </c>
      <c r="E10">
        <v>0</v>
      </c>
      <c r="F10" s="2">
        <f t="shared" si="6"/>
        <v>0.33333333333333331</v>
      </c>
      <c r="G10">
        <f t="shared" si="7"/>
        <v>0.2</v>
      </c>
      <c r="H10">
        <f t="shared" si="1"/>
        <v>4.0000000000000008E-2</v>
      </c>
      <c r="I10" s="2">
        <f t="shared" si="2"/>
        <v>0.5</v>
      </c>
      <c r="J10" s="2">
        <f t="shared" si="3"/>
        <v>0.33333333333333331</v>
      </c>
      <c r="K10">
        <f t="shared" si="4"/>
        <v>0</v>
      </c>
      <c r="L10">
        <f t="shared" si="5"/>
        <v>1</v>
      </c>
    </row>
    <row r="11" spans="1:12" x14ac:dyDescent="0.3">
      <c r="A11">
        <v>205</v>
      </c>
      <c r="E11">
        <v>0</v>
      </c>
      <c r="F11">
        <v>0</v>
      </c>
      <c r="G11">
        <f t="shared" si="7"/>
        <v>0.3</v>
      </c>
      <c r="H11">
        <f t="shared" si="1"/>
        <v>0.09</v>
      </c>
      <c r="I11" s="2">
        <f t="shared" si="2"/>
        <v>0.5625</v>
      </c>
      <c r="J11">
        <f t="shared" si="3"/>
        <v>0</v>
      </c>
      <c r="K11">
        <f t="shared" si="4"/>
        <v>0</v>
      </c>
      <c r="L11">
        <f t="shared" si="5"/>
        <v>1</v>
      </c>
    </row>
    <row r="12" spans="1:12" x14ac:dyDescent="0.3">
      <c r="A12">
        <v>210</v>
      </c>
      <c r="E12">
        <v>0</v>
      </c>
      <c r="F12">
        <v>0</v>
      </c>
      <c r="G12">
        <f t="shared" si="7"/>
        <v>0.4</v>
      </c>
      <c r="H12">
        <f t="shared" si="1"/>
        <v>0.16000000000000003</v>
      </c>
      <c r="I12" s="2">
        <f t="shared" si="2"/>
        <v>0.625</v>
      </c>
      <c r="J12">
        <f t="shared" si="3"/>
        <v>0</v>
      </c>
      <c r="K12">
        <f t="shared" si="4"/>
        <v>0</v>
      </c>
      <c r="L12">
        <f t="shared" si="5"/>
        <v>1</v>
      </c>
    </row>
    <row r="13" spans="1:12" x14ac:dyDescent="0.3">
      <c r="A13">
        <v>215</v>
      </c>
      <c r="E13">
        <v>0</v>
      </c>
      <c r="F13">
        <v>0</v>
      </c>
      <c r="G13">
        <f t="shared" si="7"/>
        <v>0.5</v>
      </c>
      <c r="H13">
        <f t="shared" si="1"/>
        <v>0.25</v>
      </c>
      <c r="I13" s="2">
        <f t="shared" si="2"/>
        <v>0.6875</v>
      </c>
      <c r="J13">
        <f t="shared" si="3"/>
        <v>0</v>
      </c>
      <c r="K13">
        <f t="shared" si="4"/>
        <v>0</v>
      </c>
      <c r="L13">
        <f t="shared" si="5"/>
        <v>1</v>
      </c>
    </row>
    <row r="14" spans="1:12" x14ac:dyDescent="0.3">
      <c r="A14">
        <v>220</v>
      </c>
      <c r="E14">
        <v>0</v>
      </c>
      <c r="F14">
        <v>0</v>
      </c>
      <c r="G14">
        <f t="shared" si="7"/>
        <v>0.6</v>
      </c>
      <c r="H14">
        <f t="shared" si="1"/>
        <v>0.36</v>
      </c>
      <c r="I14" s="2">
        <f t="shared" si="2"/>
        <v>0.75</v>
      </c>
      <c r="J14">
        <f t="shared" si="3"/>
        <v>0</v>
      </c>
      <c r="K14">
        <f t="shared" si="4"/>
        <v>0</v>
      </c>
      <c r="L14">
        <f t="shared" si="5"/>
        <v>1</v>
      </c>
    </row>
    <row r="15" spans="1:12" x14ac:dyDescent="0.3">
      <c r="A15">
        <v>225</v>
      </c>
      <c r="E15">
        <v>0</v>
      </c>
      <c r="F15">
        <v>0</v>
      </c>
      <c r="G15">
        <f t="shared" si="7"/>
        <v>0.7</v>
      </c>
      <c r="H15">
        <f t="shared" si="1"/>
        <v>0.48999999999999994</v>
      </c>
      <c r="I15" s="2">
        <f t="shared" si="2"/>
        <v>0.8125</v>
      </c>
      <c r="J15">
        <f t="shared" si="3"/>
        <v>0</v>
      </c>
      <c r="K15">
        <f t="shared" si="4"/>
        <v>0</v>
      </c>
      <c r="L15">
        <f t="shared" si="5"/>
        <v>1</v>
      </c>
    </row>
    <row r="16" spans="1:12" x14ac:dyDescent="0.3">
      <c r="A16">
        <v>230</v>
      </c>
      <c r="E16">
        <v>0</v>
      </c>
      <c r="F16">
        <v>0</v>
      </c>
      <c r="G16">
        <f t="shared" si="7"/>
        <v>0.8</v>
      </c>
      <c r="H16">
        <f t="shared" si="1"/>
        <v>0.64000000000000012</v>
      </c>
      <c r="I16" s="2">
        <f t="shared" si="2"/>
        <v>0.875</v>
      </c>
      <c r="J16">
        <f t="shared" si="3"/>
        <v>0</v>
      </c>
      <c r="K16">
        <f t="shared" si="4"/>
        <v>0</v>
      </c>
      <c r="L16">
        <f t="shared" si="5"/>
        <v>1</v>
      </c>
    </row>
    <row r="17" spans="1:12" x14ac:dyDescent="0.3">
      <c r="A17">
        <v>235</v>
      </c>
      <c r="E17">
        <v>0</v>
      </c>
      <c r="F17">
        <v>0</v>
      </c>
      <c r="G17">
        <f t="shared" si="7"/>
        <v>0.9</v>
      </c>
      <c r="H17">
        <f t="shared" si="1"/>
        <v>0.81</v>
      </c>
      <c r="I17" s="2">
        <f t="shared" si="2"/>
        <v>0.9375</v>
      </c>
      <c r="J17">
        <f t="shared" si="3"/>
        <v>0</v>
      </c>
      <c r="K17">
        <f t="shared" si="4"/>
        <v>0</v>
      </c>
      <c r="L17">
        <f t="shared" si="5"/>
        <v>1</v>
      </c>
    </row>
    <row r="18" spans="1:12" x14ac:dyDescent="0.3">
      <c r="A18">
        <v>240</v>
      </c>
      <c r="E18">
        <v>0</v>
      </c>
      <c r="F18">
        <v>0</v>
      </c>
      <c r="G18">
        <v>0.98</v>
      </c>
      <c r="H18">
        <f t="shared" si="1"/>
        <v>0.96039999999999992</v>
      </c>
      <c r="I18" s="2">
        <f t="shared" si="2"/>
        <v>1</v>
      </c>
      <c r="J18">
        <f t="shared" si="3"/>
        <v>0</v>
      </c>
      <c r="K18">
        <f t="shared" si="4"/>
        <v>0</v>
      </c>
      <c r="L18">
        <f t="shared" si="5"/>
        <v>1</v>
      </c>
    </row>
    <row r="19" spans="1:12" x14ac:dyDescent="0.3">
      <c r="I19" s="2"/>
    </row>
    <row r="20" spans="1:12" x14ac:dyDescent="0.3">
      <c r="I20" s="2"/>
    </row>
    <row r="21" spans="1:12" x14ac:dyDescent="0.3">
      <c r="B21" s="5" t="s">
        <v>43</v>
      </c>
      <c r="C21" s="5" t="s">
        <v>41</v>
      </c>
      <c r="D21" s="5" t="s">
        <v>42</v>
      </c>
    </row>
    <row r="22" spans="1:12" x14ac:dyDescent="0.3">
      <c r="A22" s="1" t="s">
        <v>1</v>
      </c>
      <c r="B22" s="5" t="s">
        <v>38</v>
      </c>
      <c r="C22" s="5" t="s">
        <v>39</v>
      </c>
      <c r="D22" s="5" t="s">
        <v>40</v>
      </c>
      <c r="E22" s="1" t="s">
        <v>9</v>
      </c>
      <c r="F22" s="1" t="s">
        <v>8</v>
      </c>
      <c r="G22" s="1" t="s">
        <v>7</v>
      </c>
      <c r="H22" s="1"/>
      <c r="I22" s="1" t="s">
        <v>16</v>
      </c>
      <c r="J22" s="1" t="s">
        <v>35</v>
      </c>
    </row>
    <row r="23" spans="1:12" x14ac:dyDescent="0.3">
      <c r="A23">
        <v>0</v>
      </c>
      <c r="B23" s="6">
        <f>(E23*1+F23*2+G23*3)/3</f>
        <v>0.33333333333333331</v>
      </c>
      <c r="C23" s="6">
        <f>B23*B23</f>
        <v>0.1111111111111111</v>
      </c>
      <c r="D23" s="6">
        <f>1-C23</f>
        <v>0.88888888888888884</v>
      </c>
      <c r="E23">
        <f>(40-A23)/40</f>
        <v>1</v>
      </c>
      <c r="F23">
        <v>0</v>
      </c>
      <c r="G23">
        <v>0</v>
      </c>
      <c r="I23">
        <v>0</v>
      </c>
    </row>
    <row r="24" spans="1:12" x14ac:dyDescent="0.3">
      <c r="A24">
        <v>10</v>
      </c>
      <c r="B24" s="6">
        <f t="shared" ref="B24:B33" si="8">(E24*1+F24*2+G24*3)/3</f>
        <v>0.25</v>
      </c>
      <c r="C24" s="6">
        <f t="shared" ref="C24:C33" si="9">B24*B24</f>
        <v>6.25E-2</v>
      </c>
      <c r="D24" s="6">
        <f t="shared" ref="D24:D33" si="10">1-C24</f>
        <v>0.9375</v>
      </c>
      <c r="E24">
        <f t="shared" ref="E24:E27" si="11">(40-A24)/40</f>
        <v>0.75</v>
      </c>
      <c r="F24">
        <v>0</v>
      </c>
      <c r="G24">
        <v>0</v>
      </c>
      <c r="I24">
        <v>0.1</v>
      </c>
    </row>
    <row r="25" spans="1:12" x14ac:dyDescent="0.3">
      <c r="A25">
        <v>20</v>
      </c>
      <c r="B25" s="6">
        <f t="shared" si="8"/>
        <v>0.16666666666666666</v>
      </c>
      <c r="C25" s="6">
        <f t="shared" si="9"/>
        <v>2.7777777777777776E-2</v>
      </c>
      <c r="D25" s="6">
        <f t="shared" si="10"/>
        <v>0.97222222222222221</v>
      </c>
      <c r="E25">
        <f t="shared" si="11"/>
        <v>0.5</v>
      </c>
      <c r="F25">
        <f>IF(A25&lt;=50,(A25-20)/30,(80-A25)/30)</f>
        <v>0</v>
      </c>
      <c r="G25">
        <v>0</v>
      </c>
      <c r="I25">
        <v>0.2</v>
      </c>
    </row>
    <row r="26" spans="1:12" x14ac:dyDescent="0.3">
      <c r="A26">
        <v>30</v>
      </c>
      <c r="B26" s="6">
        <f t="shared" si="8"/>
        <v>0.30555555555555552</v>
      </c>
      <c r="C26" s="6">
        <f t="shared" si="9"/>
        <v>9.3364197530864182E-2</v>
      </c>
      <c r="D26" s="6">
        <f t="shared" si="10"/>
        <v>0.90663580246913578</v>
      </c>
      <c r="E26">
        <f t="shared" si="11"/>
        <v>0.25</v>
      </c>
      <c r="F26" s="2">
        <f t="shared" ref="F26:F31" si="12">IF(A26&lt;=50,(A26-20)/30,(80-A26)/30)</f>
        <v>0.33333333333333331</v>
      </c>
      <c r="G26">
        <v>0</v>
      </c>
      <c r="I26">
        <v>0.3</v>
      </c>
    </row>
    <row r="27" spans="1:12" x14ac:dyDescent="0.3">
      <c r="A27">
        <v>40</v>
      </c>
      <c r="B27" s="6">
        <f t="shared" si="8"/>
        <v>0.44444444444444442</v>
      </c>
      <c r="C27" s="6">
        <f t="shared" si="9"/>
        <v>0.19753086419753085</v>
      </c>
      <c r="D27" s="6">
        <f t="shared" si="10"/>
        <v>0.80246913580246915</v>
      </c>
      <c r="E27">
        <f t="shared" si="11"/>
        <v>0</v>
      </c>
      <c r="F27" s="2">
        <f t="shared" si="12"/>
        <v>0.66666666666666663</v>
      </c>
      <c r="G27">
        <v>0</v>
      </c>
      <c r="I27">
        <v>0.4</v>
      </c>
    </row>
    <row r="28" spans="1:12" x14ac:dyDescent="0.3">
      <c r="A28">
        <v>50</v>
      </c>
      <c r="B28" s="6">
        <f t="shared" si="8"/>
        <v>0.66666666666666663</v>
      </c>
      <c r="C28" s="6">
        <f t="shared" si="9"/>
        <v>0.44444444444444442</v>
      </c>
      <c r="D28" s="6">
        <f t="shared" si="10"/>
        <v>0.55555555555555558</v>
      </c>
      <c r="E28">
        <v>0</v>
      </c>
      <c r="F28" s="2">
        <f t="shared" si="12"/>
        <v>1</v>
      </c>
      <c r="G28">
        <v>0</v>
      </c>
      <c r="I28">
        <v>0.5</v>
      </c>
    </row>
    <row r="29" spans="1:12" x14ac:dyDescent="0.3">
      <c r="A29">
        <v>60</v>
      </c>
      <c r="B29" s="6">
        <f t="shared" si="8"/>
        <v>0.44444444444444442</v>
      </c>
      <c r="C29" s="6">
        <f t="shared" si="9"/>
        <v>0.19753086419753085</v>
      </c>
      <c r="D29" s="6">
        <f t="shared" si="10"/>
        <v>0.80246913580246915</v>
      </c>
      <c r="E29">
        <v>0</v>
      </c>
      <c r="F29" s="2">
        <f t="shared" si="12"/>
        <v>0.66666666666666663</v>
      </c>
      <c r="G29">
        <v>0</v>
      </c>
      <c r="I29">
        <v>0.6</v>
      </c>
    </row>
    <row r="30" spans="1:12" x14ac:dyDescent="0.3">
      <c r="A30">
        <v>70</v>
      </c>
      <c r="B30" s="6">
        <f t="shared" si="8"/>
        <v>0.22222222222222221</v>
      </c>
      <c r="C30" s="6">
        <f t="shared" si="9"/>
        <v>4.9382716049382713E-2</v>
      </c>
      <c r="D30" s="6">
        <f t="shared" si="10"/>
        <v>0.95061728395061729</v>
      </c>
      <c r="E30">
        <v>0</v>
      </c>
      <c r="F30" s="2">
        <f t="shared" si="12"/>
        <v>0.33333333333333331</v>
      </c>
      <c r="G30" s="2">
        <f>(A30-70)/30</f>
        <v>0</v>
      </c>
      <c r="H30" s="2"/>
      <c r="I30">
        <v>0.7</v>
      </c>
    </row>
    <row r="31" spans="1:12" x14ac:dyDescent="0.3">
      <c r="A31">
        <v>80</v>
      </c>
      <c r="B31" s="6">
        <f t="shared" si="8"/>
        <v>0.33333333333333331</v>
      </c>
      <c r="C31" s="6">
        <f t="shared" si="9"/>
        <v>0.1111111111111111</v>
      </c>
      <c r="D31" s="6">
        <f t="shared" si="10"/>
        <v>0.88888888888888884</v>
      </c>
      <c r="E31">
        <v>0</v>
      </c>
      <c r="F31">
        <f t="shared" si="12"/>
        <v>0</v>
      </c>
      <c r="G31" s="2">
        <f t="shared" ref="G31:G33" si="13">(A31-70)/30</f>
        <v>0.33333333333333331</v>
      </c>
      <c r="H31" s="2"/>
      <c r="I31">
        <v>0.8</v>
      </c>
    </row>
    <row r="32" spans="1:12" x14ac:dyDescent="0.3">
      <c r="A32">
        <v>90</v>
      </c>
      <c r="B32" s="6">
        <f t="shared" si="8"/>
        <v>0.66666666666666663</v>
      </c>
      <c r="C32" s="6">
        <f t="shared" si="9"/>
        <v>0.44444444444444442</v>
      </c>
      <c r="D32" s="6">
        <f t="shared" si="10"/>
        <v>0.55555555555555558</v>
      </c>
      <c r="E32">
        <v>0</v>
      </c>
      <c r="F32">
        <v>0</v>
      </c>
      <c r="G32" s="2">
        <f t="shared" si="13"/>
        <v>0.66666666666666663</v>
      </c>
      <c r="H32" s="2"/>
      <c r="I32">
        <v>0.9</v>
      </c>
    </row>
    <row r="33" spans="1:10" x14ac:dyDescent="0.3">
      <c r="A33">
        <v>100</v>
      </c>
      <c r="B33" s="6">
        <f t="shared" si="8"/>
        <v>1</v>
      </c>
      <c r="C33" s="6">
        <f t="shared" si="9"/>
        <v>1</v>
      </c>
      <c r="D33" s="6">
        <f t="shared" si="10"/>
        <v>0</v>
      </c>
      <c r="E33">
        <v>0</v>
      </c>
      <c r="F33">
        <v>0</v>
      </c>
      <c r="G33" s="2">
        <f t="shared" si="13"/>
        <v>1</v>
      </c>
      <c r="H33" s="2"/>
      <c r="I33">
        <v>1</v>
      </c>
    </row>
    <row r="34" spans="1:10" x14ac:dyDescent="0.3">
      <c r="G34" s="2"/>
      <c r="H34" s="2"/>
    </row>
    <row r="35" spans="1:10" x14ac:dyDescent="0.3">
      <c r="G35" s="2"/>
      <c r="H35" s="2"/>
    </row>
    <row r="36" spans="1:10" x14ac:dyDescent="0.3">
      <c r="G36" s="2"/>
      <c r="H36" s="2"/>
    </row>
    <row r="38" spans="1:10" s="1" customFormat="1" x14ac:dyDescent="0.3">
      <c r="A38" s="1" t="s">
        <v>2</v>
      </c>
      <c r="E38" s="1" t="s">
        <v>12</v>
      </c>
      <c r="F38" s="1" t="s">
        <v>11</v>
      </c>
      <c r="G38" s="1" t="s">
        <v>10</v>
      </c>
      <c r="I38" s="1" t="s">
        <v>17</v>
      </c>
      <c r="J38" s="1" t="s">
        <v>36</v>
      </c>
    </row>
    <row r="39" spans="1:10" x14ac:dyDescent="0.3">
      <c r="A39">
        <v>0</v>
      </c>
      <c r="E39">
        <f>(20-A39)/20</f>
        <v>1</v>
      </c>
      <c r="G39">
        <v>0</v>
      </c>
      <c r="I39">
        <v>0</v>
      </c>
      <c r="J39">
        <f>MAX(F39,G39)</f>
        <v>0</v>
      </c>
    </row>
    <row r="40" spans="1:10" x14ac:dyDescent="0.3">
      <c r="A40">
        <v>5</v>
      </c>
      <c r="E40">
        <f t="shared" ref="E40:E43" si="14">(20-A40)/20</f>
        <v>0.75</v>
      </c>
      <c r="G40">
        <v>0</v>
      </c>
      <c r="I40">
        <v>0.1</v>
      </c>
      <c r="J40">
        <f t="shared" ref="J40:J49" si="15">MAX(F40,G40)</f>
        <v>0</v>
      </c>
    </row>
    <row r="41" spans="1:10" x14ac:dyDescent="0.3">
      <c r="A41">
        <v>10</v>
      </c>
      <c r="E41">
        <f t="shared" si="14"/>
        <v>0.5</v>
      </c>
      <c r="F41">
        <f>IF(A41&lt;=25,(A41-10)/15,(45-A41)/20)</f>
        <v>0</v>
      </c>
      <c r="G41">
        <v>0</v>
      </c>
      <c r="I41">
        <v>0.2</v>
      </c>
      <c r="J41">
        <f t="shared" si="15"/>
        <v>0</v>
      </c>
    </row>
    <row r="42" spans="1:10" x14ac:dyDescent="0.3">
      <c r="A42">
        <v>15</v>
      </c>
      <c r="E42">
        <f t="shared" si="14"/>
        <v>0.25</v>
      </c>
      <c r="F42" s="2">
        <f t="shared" ref="F42:F48" si="16">IF(A42&lt;=25,(A42-10)/15,(45-A42)/20)</f>
        <v>0.33333333333333331</v>
      </c>
      <c r="G42">
        <v>0</v>
      </c>
      <c r="I42">
        <v>0.3</v>
      </c>
      <c r="J42">
        <f t="shared" si="15"/>
        <v>0.33333333333333331</v>
      </c>
    </row>
    <row r="43" spans="1:10" x14ac:dyDescent="0.3">
      <c r="A43">
        <v>20</v>
      </c>
      <c r="E43">
        <f t="shared" si="14"/>
        <v>0</v>
      </c>
      <c r="F43" s="2">
        <f t="shared" si="16"/>
        <v>0.66666666666666663</v>
      </c>
      <c r="G43">
        <v>0</v>
      </c>
      <c r="I43">
        <v>0.4</v>
      </c>
      <c r="J43">
        <f t="shared" si="15"/>
        <v>0.66666666666666663</v>
      </c>
    </row>
    <row r="44" spans="1:10" x14ac:dyDescent="0.3">
      <c r="A44">
        <v>25</v>
      </c>
      <c r="E44">
        <v>0</v>
      </c>
      <c r="F44" s="2">
        <f t="shared" si="16"/>
        <v>1</v>
      </c>
      <c r="G44">
        <v>0</v>
      </c>
      <c r="I44">
        <v>0.5</v>
      </c>
      <c r="J44">
        <f t="shared" si="15"/>
        <v>1</v>
      </c>
    </row>
    <row r="45" spans="1:10" x14ac:dyDescent="0.3">
      <c r="A45">
        <v>30</v>
      </c>
      <c r="E45">
        <v>0</v>
      </c>
      <c r="F45" s="2">
        <f t="shared" si="16"/>
        <v>0.75</v>
      </c>
      <c r="G45">
        <f>(A45-30)/20</f>
        <v>0</v>
      </c>
      <c r="I45">
        <v>0.6</v>
      </c>
      <c r="J45">
        <f t="shared" si="15"/>
        <v>0.75</v>
      </c>
    </row>
    <row r="46" spans="1:10" x14ac:dyDescent="0.3">
      <c r="A46">
        <v>35</v>
      </c>
      <c r="E46">
        <v>0</v>
      </c>
      <c r="F46" s="2">
        <f t="shared" si="16"/>
        <v>0.5</v>
      </c>
      <c r="G46">
        <f t="shared" ref="G46:G49" si="17">(A46-30)/20</f>
        <v>0.25</v>
      </c>
      <c r="I46">
        <v>0.7</v>
      </c>
      <c r="J46">
        <f t="shared" si="15"/>
        <v>0.5</v>
      </c>
    </row>
    <row r="47" spans="1:10" x14ac:dyDescent="0.3">
      <c r="A47">
        <v>40</v>
      </c>
      <c r="E47">
        <v>0</v>
      </c>
      <c r="F47" s="2">
        <f t="shared" si="16"/>
        <v>0.25</v>
      </c>
      <c r="G47">
        <f t="shared" si="17"/>
        <v>0.5</v>
      </c>
      <c r="I47">
        <v>0.8</v>
      </c>
      <c r="J47">
        <f t="shared" si="15"/>
        <v>0.5</v>
      </c>
    </row>
    <row r="48" spans="1:10" x14ac:dyDescent="0.3">
      <c r="A48">
        <v>45</v>
      </c>
      <c r="E48">
        <v>0</v>
      </c>
      <c r="F48" s="2">
        <f t="shared" si="16"/>
        <v>0</v>
      </c>
      <c r="G48">
        <f t="shared" si="17"/>
        <v>0.75</v>
      </c>
      <c r="I48">
        <v>0.9</v>
      </c>
      <c r="J48">
        <f t="shared" si="15"/>
        <v>0.75</v>
      </c>
    </row>
    <row r="49" spans="1:10" x14ac:dyDescent="0.3">
      <c r="A49">
        <v>50</v>
      </c>
      <c r="E49">
        <v>0</v>
      </c>
      <c r="G49">
        <f t="shared" si="17"/>
        <v>1</v>
      </c>
      <c r="I49">
        <v>1</v>
      </c>
      <c r="J49">
        <f t="shared" si="15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"/>
  <sheetViews>
    <sheetView topLeftCell="C1" workbookViewId="0">
      <selection activeCell="M12" sqref="M12"/>
    </sheetView>
  </sheetViews>
  <sheetFormatPr defaultRowHeight="14.4" x14ac:dyDescent="0.3"/>
  <cols>
    <col min="1" max="1" width="15" customWidth="1"/>
    <col min="2" max="2" width="13.6640625" customWidth="1"/>
    <col min="3" max="5" width="16" customWidth="1"/>
    <col min="6" max="6" width="14.6640625" customWidth="1"/>
    <col min="19" max="19" width="16.33203125" customWidth="1"/>
    <col min="20" max="20" width="10.33203125" customWidth="1"/>
  </cols>
  <sheetData>
    <row r="1" spans="1:22" ht="100.8" x14ac:dyDescent="0.3">
      <c r="A1" s="1" t="str">
        <f>'mu-функции'!A1</f>
        <v>Рост</v>
      </c>
      <c r="B1" s="1" t="str">
        <f>'mu-функции'!E1</f>
        <v>Низкий</v>
      </c>
      <c r="C1" s="1" t="str">
        <f>'mu-функции'!F1</f>
        <v>Средний</v>
      </c>
      <c r="D1" s="1" t="str">
        <f>'mu-функции'!G1</f>
        <v>Высокий</v>
      </c>
      <c r="E1" s="3" t="str">
        <f>'mu-функции'!I1</f>
        <v>Нормализованное значение роста</v>
      </c>
      <c r="G1" s="1" t="str">
        <f>'mu-функции'!A22</f>
        <v>Техника</v>
      </c>
      <c r="H1" s="1" t="str">
        <f>'mu-функции'!E22</f>
        <v>Слабая</v>
      </c>
      <c r="I1" s="1" t="str">
        <f>'mu-функции'!F22</f>
        <v>Уверенная</v>
      </c>
      <c r="J1" s="1" t="str">
        <f>'mu-функции'!G22</f>
        <v>Звезда</v>
      </c>
      <c r="K1" s="3" t="str">
        <f>'mu-функции'!I22</f>
        <v>Нормализованное значение техники</v>
      </c>
      <c r="L1" s="4"/>
      <c r="M1" s="3" t="str">
        <f>'mu-функции'!E38</f>
        <v>Низкая</v>
      </c>
      <c r="N1" s="3" t="str">
        <f>'mu-функции'!F38</f>
        <v>Средняя</v>
      </c>
      <c r="O1" s="3" t="str">
        <f>'mu-функции'!G38</f>
        <v>Высокая</v>
      </c>
      <c r="P1" s="3" t="str">
        <f>'mu-функции'!I38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</row>
    <row r="2" spans="1:22" x14ac:dyDescent="0.3">
      <c r="A2">
        <f>'mu-функции'!A2</f>
        <v>160</v>
      </c>
      <c r="B2">
        <f>'mu-функции'!E2</f>
        <v>1</v>
      </c>
      <c r="C2">
        <f>'mu-функции'!F2</f>
        <v>0</v>
      </c>
      <c r="D2">
        <f>'mu-функции'!G2</f>
        <v>0</v>
      </c>
      <c r="E2">
        <f>'mu-функции'!I2</f>
        <v>0</v>
      </c>
      <c r="G2">
        <f>'mu-функции'!A23</f>
        <v>0</v>
      </c>
      <c r="H2">
        <f>'mu-функции'!E23</f>
        <v>1</v>
      </c>
      <c r="I2">
        <f>'mu-функции'!F23</f>
        <v>0</v>
      </c>
      <c r="J2">
        <f>'mu-функции'!G23</f>
        <v>0</v>
      </c>
      <c r="K2">
        <f>'mu-функции'!I23</f>
        <v>0</v>
      </c>
      <c r="M2">
        <f>'mu-функции'!E39</f>
        <v>1</v>
      </c>
      <c r="N2">
        <f>'mu-функции'!F39</f>
        <v>0</v>
      </c>
      <c r="O2">
        <f>'mu-функции'!G39</f>
        <v>0</v>
      </c>
      <c r="P2">
        <f>'mu-функции'!I39</f>
        <v>0</v>
      </c>
      <c r="S2">
        <f t="shared" ref="S2:S11" si="0">IF(OR(AND(J2&gt;0,D2&gt;0),
AND(D2&gt;0,I2&gt;0,O2&gt;0)),
MAX(MAX(I2,J2),D2,O2),0)</f>
        <v>0</v>
      </c>
    </row>
    <row r="3" spans="1:22" x14ac:dyDescent="0.3">
      <c r="A3">
        <f>'mu-функции'!A3</f>
        <v>165</v>
      </c>
      <c r="B3">
        <f>'mu-функции'!E3</f>
        <v>0.8</v>
      </c>
      <c r="C3">
        <f>'mu-функции'!F3</f>
        <v>0</v>
      </c>
      <c r="D3">
        <f>'mu-функции'!G3</f>
        <v>0</v>
      </c>
      <c r="E3">
        <f>'mu-функции'!I3</f>
        <v>6.25E-2</v>
      </c>
      <c r="G3">
        <f>'mu-функции'!A24</f>
        <v>10</v>
      </c>
      <c r="H3">
        <f>'mu-функции'!E24</f>
        <v>0.75</v>
      </c>
      <c r="I3">
        <f>'mu-функции'!F24</f>
        <v>0</v>
      </c>
      <c r="J3">
        <f>'mu-функции'!G24</f>
        <v>0</v>
      </c>
      <c r="K3">
        <f>'mu-функции'!I24</f>
        <v>0.1</v>
      </c>
      <c r="M3">
        <f>'mu-функции'!E40</f>
        <v>0.75</v>
      </c>
      <c r="N3">
        <f>'mu-функции'!F40</f>
        <v>0</v>
      </c>
      <c r="O3">
        <f>'mu-функции'!G40</f>
        <v>0</v>
      </c>
      <c r="P3">
        <f>'mu-функции'!I40</f>
        <v>0.1</v>
      </c>
      <c r="S3">
        <f t="shared" si="0"/>
        <v>0</v>
      </c>
    </row>
    <row r="4" spans="1:22" x14ac:dyDescent="0.3">
      <c r="A4">
        <f>'mu-функции'!A4</f>
        <v>170</v>
      </c>
      <c r="B4">
        <f>'mu-функции'!E4</f>
        <v>0.6</v>
      </c>
      <c r="C4">
        <f>'mu-функции'!F4</f>
        <v>0</v>
      </c>
      <c r="D4">
        <f>'mu-функции'!G4</f>
        <v>0</v>
      </c>
      <c r="E4">
        <f>'mu-функции'!I4</f>
        <v>0.125</v>
      </c>
      <c r="G4">
        <f>'mu-функции'!A25</f>
        <v>20</v>
      </c>
      <c r="H4">
        <f>'mu-функции'!E25</f>
        <v>0.5</v>
      </c>
      <c r="I4">
        <f>'mu-функции'!F25</f>
        <v>0</v>
      </c>
      <c r="J4">
        <f>'mu-функции'!G25</f>
        <v>0</v>
      </c>
      <c r="K4">
        <f>'mu-функции'!I25</f>
        <v>0.2</v>
      </c>
      <c r="M4">
        <f>'mu-функции'!E41</f>
        <v>0.5</v>
      </c>
      <c r="N4">
        <f>'mu-функции'!F41</f>
        <v>0</v>
      </c>
      <c r="O4">
        <f>'mu-функции'!G41</f>
        <v>0</v>
      </c>
      <c r="P4">
        <f>'mu-функции'!I41</f>
        <v>0.2</v>
      </c>
      <c r="S4">
        <f t="shared" si="0"/>
        <v>0</v>
      </c>
    </row>
    <row r="5" spans="1:22" x14ac:dyDescent="0.3">
      <c r="A5">
        <f>'mu-функции'!A5</f>
        <v>175</v>
      </c>
      <c r="B5">
        <f>'mu-функции'!E5</f>
        <v>0.4</v>
      </c>
      <c r="C5">
        <f>'mu-функции'!F5</f>
        <v>0.25</v>
      </c>
      <c r="D5">
        <f>'mu-функции'!G5</f>
        <v>0</v>
      </c>
      <c r="E5">
        <f>'mu-функции'!I5</f>
        <v>0.1875</v>
      </c>
      <c r="G5">
        <f>'mu-функции'!A26</f>
        <v>30</v>
      </c>
      <c r="H5">
        <f>'mu-функции'!E26</f>
        <v>0.25</v>
      </c>
      <c r="I5">
        <f>'mu-функции'!F26</f>
        <v>0.33333333333333331</v>
      </c>
      <c r="J5">
        <f>'mu-функции'!G26</f>
        <v>0</v>
      </c>
      <c r="K5">
        <f>'mu-функции'!I26</f>
        <v>0.3</v>
      </c>
      <c r="M5">
        <f>'mu-функции'!E42</f>
        <v>0.25</v>
      </c>
      <c r="N5">
        <f>'mu-функции'!F42</f>
        <v>0.33333333333333331</v>
      </c>
      <c r="O5">
        <f>'mu-функции'!G42</f>
        <v>0</v>
      </c>
      <c r="P5">
        <f>'mu-функции'!I42</f>
        <v>0.3</v>
      </c>
      <c r="S5">
        <f t="shared" si="0"/>
        <v>0</v>
      </c>
    </row>
    <row r="6" spans="1:22" x14ac:dyDescent="0.3">
      <c r="A6">
        <f>'mu-функции'!A6</f>
        <v>180</v>
      </c>
      <c r="B6">
        <f>'mu-функции'!E6</f>
        <v>0.19999999999999996</v>
      </c>
      <c r="C6">
        <f>'mu-функции'!F6</f>
        <v>0.5</v>
      </c>
      <c r="D6">
        <f>'mu-функции'!G6</f>
        <v>0</v>
      </c>
      <c r="E6">
        <f>'mu-функции'!I6</f>
        <v>0.25</v>
      </c>
      <c r="G6">
        <f>'mu-функции'!A27</f>
        <v>40</v>
      </c>
      <c r="H6">
        <f>'mu-функции'!E27</f>
        <v>0</v>
      </c>
      <c r="I6">
        <f>'mu-функции'!F27</f>
        <v>0.66666666666666663</v>
      </c>
      <c r="J6">
        <f>'mu-функции'!G27</f>
        <v>0</v>
      </c>
      <c r="K6">
        <f>'mu-функции'!I27</f>
        <v>0.4</v>
      </c>
      <c r="M6">
        <f>'mu-функции'!E43</f>
        <v>0</v>
      </c>
      <c r="N6">
        <f>'mu-функции'!F43</f>
        <v>0.66666666666666663</v>
      </c>
      <c r="O6">
        <f>'mu-функции'!G43</f>
        <v>0</v>
      </c>
      <c r="P6">
        <f>'mu-функции'!I43</f>
        <v>0.4</v>
      </c>
      <c r="S6">
        <f t="shared" si="0"/>
        <v>0</v>
      </c>
    </row>
    <row r="7" spans="1:22" x14ac:dyDescent="0.3">
      <c r="A7">
        <f>'mu-функции'!A7</f>
        <v>185</v>
      </c>
      <c r="B7">
        <f>'mu-функции'!E7</f>
        <v>0</v>
      </c>
      <c r="C7">
        <f>'mu-функции'!F7</f>
        <v>0.75</v>
      </c>
      <c r="D7">
        <f>'mu-функции'!G7</f>
        <v>0</v>
      </c>
      <c r="E7">
        <f>'mu-функции'!I7</f>
        <v>0.3125</v>
      </c>
      <c r="G7">
        <f>'mu-функции'!A28</f>
        <v>50</v>
      </c>
      <c r="H7">
        <f>'mu-функции'!E28</f>
        <v>0</v>
      </c>
      <c r="I7">
        <f>'mu-функции'!F28</f>
        <v>1</v>
      </c>
      <c r="J7">
        <f>'mu-функции'!G28</f>
        <v>0</v>
      </c>
      <c r="K7">
        <f>'mu-функции'!I28</f>
        <v>0.5</v>
      </c>
      <c r="M7">
        <f>'mu-функции'!E44</f>
        <v>0</v>
      </c>
      <c r="N7">
        <f>'mu-функции'!F44</f>
        <v>1</v>
      </c>
      <c r="O7">
        <f>'mu-функции'!G44</f>
        <v>0</v>
      </c>
      <c r="P7">
        <f>'mu-функции'!I44</f>
        <v>0.5</v>
      </c>
      <c r="S7">
        <f t="shared" si="0"/>
        <v>0</v>
      </c>
    </row>
    <row r="8" spans="1:22" x14ac:dyDescent="0.3">
      <c r="A8">
        <f>'mu-функции'!A8</f>
        <v>190</v>
      </c>
      <c r="B8">
        <f>'mu-функции'!E8</f>
        <v>0</v>
      </c>
      <c r="C8">
        <f>'mu-функции'!F8</f>
        <v>1</v>
      </c>
      <c r="D8">
        <f>'mu-функции'!G8</f>
        <v>0</v>
      </c>
      <c r="E8">
        <f>'mu-функции'!I8</f>
        <v>0.375</v>
      </c>
      <c r="G8">
        <f>'mu-функции'!A29</f>
        <v>60</v>
      </c>
      <c r="H8">
        <f>'mu-функции'!E29</f>
        <v>0</v>
      </c>
      <c r="I8">
        <f>'mu-функции'!F29</f>
        <v>0.66666666666666663</v>
      </c>
      <c r="J8">
        <f>'mu-функции'!G29</f>
        <v>0</v>
      </c>
      <c r="K8">
        <f>'mu-функции'!I29</f>
        <v>0.6</v>
      </c>
      <c r="M8">
        <f>'mu-функции'!E45</f>
        <v>0</v>
      </c>
      <c r="N8">
        <f>'mu-функции'!F45</f>
        <v>0.75</v>
      </c>
      <c r="O8">
        <f>'mu-функции'!G45</f>
        <v>0</v>
      </c>
      <c r="P8">
        <f>'mu-функции'!I45</f>
        <v>0.6</v>
      </c>
      <c r="S8">
        <f t="shared" si="0"/>
        <v>0</v>
      </c>
    </row>
    <row r="9" spans="1:22" x14ac:dyDescent="0.3">
      <c r="A9">
        <f>'mu-функции'!A9</f>
        <v>195</v>
      </c>
      <c r="B9">
        <f>'mu-функции'!E9</f>
        <v>0</v>
      </c>
      <c r="C9">
        <f>'mu-функции'!F9</f>
        <v>0.66666666666666663</v>
      </c>
      <c r="D9">
        <f>'mu-функции'!G9</f>
        <v>0.1</v>
      </c>
      <c r="E9">
        <f>'mu-функции'!I9</f>
        <v>0.4375</v>
      </c>
      <c r="G9">
        <f>'mu-функции'!A30</f>
        <v>70</v>
      </c>
      <c r="H9">
        <f>'mu-функции'!E30</f>
        <v>0</v>
      </c>
      <c r="I9">
        <f>'mu-функции'!F30</f>
        <v>0.33333333333333331</v>
      </c>
      <c r="J9">
        <f>'mu-функции'!G30</f>
        <v>0</v>
      </c>
      <c r="K9">
        <f>'mu-функции'!I30</f>
        <v>0.7</v>
      </c>
      <c r="M9">
        <f>'mu-функции'!E46</f>
        <v>0</v>
      </c>
      <c r="N9">
        <f>'mu-функции'!F46</f>
        <v>0.5</v>
      </c>
      <c r="O9">
        <f>'mu-функции'!G46</f>
        <v>0.25</v>
      </c>
      <c r="P9">
        <f>'mu-функции'!I46</f>
        <v>0.7</v>
      </c>
      <c r="S9">
        <f t="shared" si="0"/>
        <v>0.33333333333333331</v>
      </c>
    </row>
    <row r="10" spans="1:22" x14ac:dyDescent="0.3">
      <c r="A10">
        <f>'mu-функции'!A10</f>
        <v>200</v>
      </c>
      <c r="B10">
        <f>'mu-функции'!E10</f>
        <v>0</v>
      </c>
      <c r="C10">
        <f>'mu-функции'!F10</f>
        <v>0.33333333333333331</v>
      </c>
      <c r="D10">
        <f>'mu-функции'!G10</f>
        <v>0.2</v>
      </c>
      <c r="E10">
        <f>'mu-функции'!I10</f>
        <v>0.5</v>
      </c>
      <c r="G10">
        <f>'mu-функции'!A31</f>
        <v>80</v>
      </c>
      <c r="H10">
        <f>'mu-функции'!E31</f>
        <v>0</v>
      </c>
      <c r="I10">
        <f>'mu-функции'!F31</f>
        <v>0</v>
      </c>
      <c r="J10">
        <f>'mu-функции'!G31</f>
        <v>0.33333333333333331</v>
      </c>
      <c r="K10">
        <f>'mu-функции'!I31</f>
        <v>0.8</v>
      </c>
      <c r="M10">
        <f>'mu-функции'!E47</f>
        <v>0</v>
      </c>
      <c r="N10">
        <f>'mu-функции'!F47</f>
        <v>0.25</v>
      </c>
      <c r="O10">
        <f>'mu-функции'!G47</f>
        <v>0.5</v>
      </c>
      <c r="P10">
        <f>'mu-функции'!I47</f>
        <v>0.8</v>
      </c>
      <c r="S10">
        <f t="shared" si="0"/>
        <v>0.5</v>
      </c>
    </row>
    <row r="11" spans="1:22" x14ac:dyDescent="0.3">
      <c r="A11">
        <f>'mu-функции'!A11</f>
        <v>205</v>
      </c>
      <c r="B11">
        <f>'mu-функции'!E11</f>
        <v>0</v>
      </c>
      <c r="C11">
        <f>'mu-функции'!F11</f>
        <v>0</v>
      </c>
      <c r="D11">
        <f>'mu-функции'!G11</f>
        <v>0.3</v>
      </c>
      <c r="E11">
        <f>'mu-функции'!I11</f>
        <v>0.5625</v>
      </c>
      <c r="G11">
        <f>'mu-функции'!A32</f>
        <v>90</v>
      </c>
      <c r="H11">
        <f>'mu-функции'!E32</f>
        <v>0</v>
      </c>
      <c r="I11">
        <f>'mu-функции'!F32</f>
        <v>0</v>
      </c>
      <c r="J11">
        <f>'mu-функции'!G32</f>
        <v>0.66666666666666663</v>
      </c>
      <c r="K11">
        <f>'mu-функции'!I32</f>
        <v>0.9</v>
      </c>
      <c r="M11">
        <f>'mu-функции'!E48</f>
        <v>0</v>
      </c>
      <c r="N11">
        <f>'mu-функции'!F48</f>
        <v>0</v>
      </c>
      <c r="O11">
        <f>'mu-функции'!G48</f>
        <v>0.75</v>
      </c>
      <c r="P11">
        <f>'mu-функции'!I48</f>
        <v>0.9</v>
      </c>
      <c r="S11">
        <f t="shared" si="0"/>
        <v>0.75</v>
      </c>
    </row>
    <row r="12" spans="1:22" x14ac:dyDescent="0.3">
      <c r="A12">
        <f>'mu-функции'!A12</f>
        <v>210</v>
      </c>
      <c r="B12">
        <f>'mu-функции'!E12</f>
        <v>0</v>
      </c>
      <c r="C12">
        <f>'mu-функции'!F12</f>
        <v>0</v>
      </c>
      <c r="D12">
        <f>'mu-функции'!G12</f>
        <v>0.4</v>
      </c>
      <c r="E12">
        <f>'mu-функции'!I12</f>
        <v>0.625</v>
      </c>
      <c r="G12">
        <f>'mu-функции'!A33</f>
        <v>100</v>
      </c>
      <c r="H12">
        <f>'mu-функции'!E33</f>
        <v>0</v>
      </c>
      <c r="I12">
        <f>'mu-функции'!F33</f>
        <v>0</v>
      </c>
      <c r="J12">
        <f>'mu-функции'!G33</f>
        <v>1</v>
      </c>
      <c r="K12">
        <f>'mu-функции'!I33</f>
        <v>1</v>
      </c>
      <c r="M12">
        <f>'mu-функции'!E49</f>
        <v>0</v>
      </c>
      <c r="N12">
        <f>'mu-функции'!F49</f>
        <v>0</v>
      </c>
      <c r="O12">
        <f>'mu-функции'!G49</f>
        <v>1</v>
      </c>
      <c r="P12">
        <f>'mu-функции'!I49</f>
        <v>1</v>
      </c>
      <c r="S12">
        <f>IF(OR(AND(J12&gt;0,D12&gt;0),
AND(D12&gt;0,I12&gt;0,O12&gt;0)),
MAX(MAX(I12,J12),D12,O12),0)</f>
        <v>1</v>
      </c>
    </row>
    <row r="13" spans="1:22" x14ac:dyDescent="0.3">
      <c r="A13">
        <f>'mu-функции'!A13</f>
        <v>215</v>
      </c>
      <c r="B13">
        <f>'mu-функции'!E13</f>
        <v>0</v>
      </c>
      <c r="C13">
        <f>'mu-функции'!F13</f>
        <v>0</v>
      </c>
      <c r="D13">
        <f>'mu-функции'!G13</f>
        <v>0.5</v>
      </c>
      <c r="E13">
        <f>'mu-функции'!I13</f>
        <v>0.6875</v>
      </c>
    </row>
    <row r="14" spans="1:22" x14ac:dyDescent="0.3">
      <c r="A14">
        <f>'mu-функции'!A14</f>
        <v>220</v>
      </c>
      <c r="B14">
        <f>'mu-функции'!E14</f>
        <v>0</v>
      </c>
      <c r="C14">
        <f>'mu-функции'!F14</f>
        <v>0</v>
      </c>
      <c r="D14">
        <f>'mu-функции'!G14</f>
        <v>0.6</v>
      </c>
      <c r="E14">
        <f>'mu-функции'!I14</f>
        <v>0.75</v>
      </c>
    </row>
    <row r="15" spans="1:22" x14ac:dyDescent="0.3">
      <c r="A15">
        <f>'mu-функции'!A15</f>
        <v>225</v>
      </c>
      <c r="B15">
        <f>'mu-функции'!E15</f>
        <v>0</v>
      </c>
      <c r="C15">
        <f>'mu-функции'!F15</f>
        <v>0</v>
      </c>
      <c r="D15">
        <f>'mu-функции'!G15</f>
        <v>0.7</v>
      </c>
      <c r="E15">
        <f>'mu-функции'!I15</f>
        <v>0.8125</v>
      </c>
    </row>
    <row r="16" spans="1:22" x14ac:dyDescent="0.3">
      <c r="A16">
        <f>'mu-функции'!A16</f>
        <v>230</v>
      </c>
      <c r="B16">
        <f>'mu-функции'!E16</f>
        <v>0</v>
      </c>
      <c r="C16">
        <f>'mu-функции'!F16</f>
        <v>0</v>
      </c>
      <c r="D16">
        <f>'mu-функции'!G16</f>
        <v>0.8</v>
      </c>
      <c r="E16">
        <f>'mu-функции'!I16</f>
        <v>0.875</v>
      </c>
    </row>
    <row r="17" spans="1:5" x14ac:dyDescent="0.3">
      <c r="A17">
        <f>'mu-функции'!A17</f>
        <v>235</v>
      </c>
      <c r="B17">
        <f>'mu-функции'!E17</f>
        <v>0</v>
      </c>
      <c r="C17">
        <f>'mu-функции'!F17</f>
        <v>0</v>
      </c>
      <c r="D17">
        <f>'mu-функции'!G17</f>
        <v>0.9</v>
      </c>
      <c r="E17">
        <f>'mu-функции'!I17</f>
        <v>0.9375</v>
      </c>
    </row>
    <row r="18" spans="1:5" x14ac:dyDescent="0.3">
      <c r="A18">
        <f>'mu-функции'!A18</f>
        <v>240</v>
      </c>
      <c r="B18">
        <f>'mu-функции'!E18</f>
        <v>0</v>
      </c>
      <c r="C18">
        <f>'mu-функции'!F18</f>
        <v>0</v>
      </c>
      <c r="D18">
        <f>'mu-функции'!G18</f>
        <v>0.98</v>
      </c>
      <c r="E18">
        <f>'mu-функции'!I18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E3" sqref="E3"/>
    </sheetView>
  </sheetViews>
  <sheetFormatPr defaultRowHeight="14.4" x14ac:dyDescent="0.3"/>
  <cols>
    <col min="1" max="1" width="16.33203125" customWidth="1"/>
    <col min="2" max="2" width="17" customWidth="1"/>
    <col min="3" max="3" width="14.88671875" customWidth="1"/>
    <col min="4" max="4" width="19.5546875" customWidth="1"/>
    <col min="5" max="5" width="33.441406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3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3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3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3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3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3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D6" sqref="D6"/>
    </sheetView>
  </sheetViews>
  <sheetFormatPr defaultRowHeight="14.4" x14ac:dyDescent="0.3"/>
  <cols>
    <col min="2" max="2" width="11.6640625" customWidth="1"/>
    <col min="3" max="3" width="16.5546875" customWidth="1"/>
  </cols>
  <sheetData>
    <row r="1" spans="1:4" x14ac:dyDescent="0.3">
      <c r="A1" t="s">
        <v>0</v>
      </c>
      <c r="B1" t="s">
        <v>31</v>
      </c>
      <c r="C1" t="s">
        <v>30</v>
      </c>
    </row>
    <row r="2" spans="1:4" x14ac:dyDescent="0.3">
      <c r="A2">
        <v>160</v>
      </c>
      <c r="B2">
        <v>1</v>
      </c>
      <c r="C2">
        <v>1</v>
      </c>
    </row>
    <row r="3" spans="1:4" x14ac:dyDescent="0.3">
      <c r="A3">
        <v>165</v>
      </c>
      <c r="B3">
        <v>0.8</v>
      </c>
      <c r="C3">
        <v>0.8</v>
      </c>
    </row>
    <row r="4" spans="1:4" x14ac:dyDescent="0.3">
      <c r="A4">
        <v>170</v>
      </c>
      <c r="B4">
        <v>0.6</v>
      </c>
      <c r="C4">
        <v>0.6</v>
      </c>
    </row>
    <row r="5" spans="1:4" x14ac:dyDescent="0.3">
      <c r="A5">
        <v>175</v>
      </c>
      <c r="B5">
        <v>0.4</v>
      </c>
      <c r="C5">
        <v>0.5</v>
      </c>
    </row>
    <row r="6" spans="1:4" x14ac:dyDescent="0.3">
      <c r="A6">
        <v>180</v>
      </c>
      <c r="B6">
        <v>0.19999999999999996</v>
      </c>
      <c r="C6">
        <v>0</v>
      </c>
      <c r="D6">
        <v>0.8</v>
      </c>
    </row>
    <row r="7" spans="1:4" x14ac:dyDescent="0.3">
      <c r="A7">
        <v>185</v>
      </c>
      <c r="B7">
        <v>0</v>
      </c>
      <c r="C7">
        <v>0</v>
      </c>
    </row>
    <row r="8" spans="1:4" x14ac:dyDescent="0.3">
      <c r="A8">
        <v>190</v>
      </c>
      <c r="B8">
        <v>0</v>
      </c>
      <c r="C8">
        <v>0</v>
      </c>
    </row>
    <row r="9" spans="1:4" x14ac:dyDescent="0.3">
      <c r="A9">
        <v>195</v>
      </c>
      <c r="B9">
        <v>0</v>
      </c>
      <c r="C9">
        <v>0</v>
      </c>
    </row>
    <row r="10" spans="1:4" x14ac:dyDescent="0.3">
      <c r="A10">
        <v>200</v>
      </c>
      <c r="B10">
        <v>0</v>
      </c>
      <c r="C10">
        <v>0</v>
      </c>
    </row>
    <row r="11" spans="1:4" x14ac:dyDescent="0.3">
      <c r="A11">
        <v>205</v>
      </c>
      <c r="B11">
        <v>0</v>
      </c>
      <c r="C11">
        <v>0</v>
      </c>
    </row>
    <row r="12" spans="1:4" x14ac:dyDescent="0.3">
      <c r="A12">
        <v>210</v>
      </c>
      <c r="B12">
        <v>0</v>
      </c>
      <c r="C12">
        <v>0</v>
      </c>
    </row>
    <row r="13" spans="1:4" x14ac:dyDescent="0.3">
      <c r="A13">
        <v>215</v>
      </c>
      <c r="B13">
        <v>0</v>
      </c>
      <c r="C13">
        <v>0</v>
      </c>
    </row>
    <row r="14" spans="1:4" x14ac:dyDescent="0.3">
      <c r="A14">
        <v>220</v>
      </c>
      <c r="B14">
        <v>0</v>
      </c>
      <c r="C14">
        <v>0</v>
      </c>
    </row>
    <row r="15" spans="1:4" x14ac:dyDescent="0.3">
      <c r="A15">
        <v>225</v>
      </c>
      <c r="B15">
        <v>0</v>
      </c>
      <c r="C15">
        <v>0</v>
      </c>
    </row>
    <row r="16" spans="1:4" x14ac:dyDescent="0.3">
      <c r="A16">
        <v>230</v>
      </c>
      <c r="B16">
        <v>0</v>
      </c>
      <c r="C16">
        <v>0</v>
      </c>
    </row>
    <row r="17" spans="1:3" x14ac:dyDescent="0.3">
      <c r="A17">
        <v>235</v>
      </c>
      <c r="B17">
        <v>0</v>
      </c>
      <c r="C17">
        <v>0</v>
      </c>
    </row>
    <row r="18" spans="1:3" x14ac:dyDescent="0.3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user</cp:lastModifiedBy>
  <dcterms:created xsi:type="dcterms:W3CDTF">2015-06-05T18:17:20Z</dcterms:created>
  <dcterms:modified xsi:type="dcterms:W3CDTF">2020-09-04T09:02:26Z</dcterms:modified>
</cp:coreProperties>
</file>