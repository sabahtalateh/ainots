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63c581cc1daad81c/Общая/GraphFuzzy/Examples/"/>
    </mc:Choice>
  </mc:AlternateContent>
  <xr:revisionPtr revIDLastSave="1" documentId="8_{E3A3A811-5C5B-45DA-A7A9-62D61F8548EA}" xr6:coauthVersionLast="47" xr6:coauthVersionMax="47" xr10:uidLastSave="{7F8CA7D8-6678-4C04-8D8D-D94DA55100E4}"/>
  <bookViews>
    <workbookView xWindow="-108" yWindow="-108" windowWidth="23256" windowHeight="12576" activeTab="2" xr2:uid="{00000000-000D-0000-FFFF-FFFF00000000}"/>
  </bookViews>
  <sheets>
    <sheet name="БазовыеПравила" sheetId="1" r:id="rId1"/>
    <sheet name="mu-функции" sheetId="2" r:id="rId2"/>
    <sheet name="ОтборИгрока2" sheetId="5" r:id="rId3"/>
    <sheet name="Расчет кандидатовВ1" sheetId="3" r:id="rId4"/>
    <sheet name="Лист1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2" i="5" l="1"/>
  <c r="W4" i="5"/>
  <c r="U5" i="5"/>
  <c r="T6" i="5"/>
  <c r="T5" i="5"/>
  <c r="T7" i="5"/>
  <c r="T8" i="5"/>
  <c r="T9" i="5"/>
  <c r="T10" i="5"/>
  <c r="T11" i="5"/>
  <c r="T12" i="5"/>
  <c r="T2" i="5"/>
  <c r="J3" i="2" l="1"/>
  <c r="J18" i="2"/>
  <c r="J2" i="2"/>
  <c r="G24" i="2"/>
  <c r="G23" i="2"/>
  <c r="M1" i="5" l="1"/>
  <c r="N1" i="5"/>
  <c r="O1" i="5"/>
  <c r="P1" i="5"/>
  <c r="N2" i="5"/>
  <c r="O2" i="5"/>
  <c r="P2" i="5"/>
  <c r="N3" i="5"/>
  <c r="O3" i="5"/>
  <c r="P3" i="5"/>
  <c r="O4" i="5"/>
  <c r="P4" i="5"/>
  <c r="O5" i="5"/>
  <c r="P5" i="5"/>
  <c r="O6" i="5"/>
  <c r="P6" i="5"/>
  <c r="M7" i="5"/>
  <c r="O7" i="5"/>
  <c r="P7" i="5"/>
  <c r="M8" i="5"/>
  <c r="P8" i="5"/>
  <c r="M9" i="5"/>
  <c r="P9" i="5"/>
  <c r="M10" i="5"/>
  <c r="P10" i="5"/>
  <c r="M11" i="5"/>
  <c r="P11" i="5"/>
  <c r="M12" i="5"/>
  <c r="N12" i="5"/>
  <c r="P12" i="5"/>
  <c r="K1" i="5"/>
  <c r="K2" i="5"/>
  <c r="K3" i="5"/>
  <c r="K4" i="5"/>
  <c r="K5" i="5"/>
  <c r="K6" i="5"/>
  <c r="K7" i="5"/>
  <c r="K8" i="5"/>
  <c r="K9" i="5"/>
  <c r="K10" i="5"/>
  <c r="K11" i="5"/>
  <c r="K12" i="5"/>
  <c r="E1" i="5"/>
  <c r="G1" i="5"/>
  <c r="H1" i="5"/>
  <c r="I1" i="5"/>
  <c r="J1" i="5"/>
  <c r="G2" i="5"/>
  <c r="I2" i="5"/>
  <c r="J2" i="5"/>
  <c r="S2" i="5" s="1"/>
  <c r="G3" i="5"/>
  <c r="I3" i="5"/>
  <c r="J3" i="5"/>
  <c r="S3" i="5" s="1"/>
  <c r="G4" i="5"/>
  <c r="J4" i="5"/>
  <c r="G5" i="5"/>
  <c r="J5" i="5"/>
  <c r="G6" i="5"/>
  <c r="J6" i="5"/>
  <c r="G7" i="5"/>
  <c r="H7" i="5"/>
  <c r="J7" i="5"/>
  <c r="G8" i="5"/>
  <c r="H8" i="5"/>
  <c r="J8" i="5"/>
  <c r="G9" i="5"/>
  <c r="H9" i="5"/>
  <c r="G10" i="5"/>
  <c r="H10" i="5"/>
  <c r="G11" i="5"/>
  <c r="H11" i="5"/>
  <c r="I11" i="5"/>
  <c r="G12" i="5"/>
  <c r="H12" i="5"/>
  <c r="I12" i="5"/>
  <c r="A1" i="5"/>
  <c r="B1" i="5"/>
  <c r="C1" i="5"/>
  <c r="D1" i="5"/>
  <c r="A2" i="5"/>
  <c r="C2" i="5"/>
  <c r="D2" i="5"/>
  <c r="A3" i="5"/>
  <c r="C3" i="5"/>
  <c r="D3" i="5"/>
  <c r="A4" i="5"/>
  <c r="D4" i="5"/>
  <c r="A5" i="5"/>
  <c r="D5" i="5"/>
  <c r="A6" i="5"/>
  <c r="D6" i="5"/>
  <c r="A7" i="5"/>
  <c r="D7" i="5"/>
  <c r="A8" i="5"/>
  <c r="B8" i="5"/>
  <c r="A9" i="5"/>
  <c r="B9" i="5"/>
  <c r="A10" i="5"/>
  <c r="B10" i="5"/>
  <c r="A11" i="5"/>
  <c r="B11" i="5"/>
  <c r="C11" i="5"/>
  <c r="A12" i="5"/>
  <c r="B12" i="5"/>
  <c r="C12" i="5"/>
  <c r="A13" i="5"/>
  <c r="B13" i="5"/>
  <c r="C13" i="5"/>
  <c r="A14" i="5"/>
  <c r="B14" i="5"/>
  <c r="C14" i="5"/>
  <c r="A15" i="5"/>
  <c r="B15" i="5"/>
  <c r="C15" i="5"/>
  <c r="A16" i="5"/>
  <c r="B16" i="5"/>
  <c r="C16" i="5"/>
  <c r="A17" i="5"/>
  <c r="B17" i="5"/>
  <c r="C17" i="5"/>
  <c r="A18" i="5"/>
  <c r="B18" i="5"/>
  <c r="C18" i="5"/>
  <c r="D18" i="5"/>
  <c r="G40" i="2"/>
  <c r="G39" i="2"/>
  <c r="I7" i="2"/>
  <c r="I8" i="2"/>
  <c r="I9" i="2"/>
  <c r="I10" i="2"/>
  <c r="I11" i="2"/>
  <c r="I12" i="2"/>
  <c r="I13" i="2"/>
  <c r="I14" i="2"/>
  <c r="I15" i="2"/>
  <c r="I16" i="2"/>
  <c r="I17" i="2"/>
  <c r="I18" i="2"/>
  <c r="H11" i="2"/>
  <c r="H12" i="2"/>
  <c r="H13" i="2"/>
  <c r="H14" i="2"/>
  <c r="H15" i="2"/>
  <c r="H16" i="2"/>
  <c r="H17" i="2"/>
  <c r="H18" i="2"/>
  <c r="G11" i="2"/>
  <c r="G12" i="2"/>
  <c r="G13" i="2"/>
  <c r="G14" i="2"/>
  <c r="G15" i="2"/>
  <c r="G16" i="2"/>
  <c r="G17" i="2"/>
  <c r="G18" i="2"/>
  <c r="E3" i="2"/>
  <c r="E4" i="2"/>
  <c r="E5" i="2"/>
  <c r="E6" i="2"/>
  <c r="E7" i="2"/>
  <c r="E18" i="2"/>
  <c r="E2" i="2"/>
  <c r="B7" i="2"/>
  <c r="D8" i="2"/>
  <c r="D8" i="5" s="1"/>
  <c r="B7" i="5" l="1"/>
  <c r="U12" i="5"/>
  <c r="U3" i="5"/>
  <c r="E8" i="2"/>
  <c r="C42" i="2"/>
  <c r="C43" i="2"/>
  <c r="C44" i="2"/>
  <c r="C45" i="2"/>
  <c r="C46" i="2"/>
  <c r="C47" i="2"/>
  <c r="C48" i="2"/>
  <c r="C41" i="2"/>
  <c r="C25" i="2"/>
  <c r="D46" i="2"/>
  <c r="O9" i="5" s="1"/>
  <c r="D47" i="2"/>
  <c r="O10" i="5" s="1"/>
  <c r="D48" i="2"/>
  <c r="O11" i="5" s="1"/>
  <c r="D49" i="2"/>
  <c r="D45" i="2"/>
  <c r="O8" i="5" s="1"/>
  <c r="D30" i="2"/>
  <c r="J9" i="5" s="1"/>
  <c r="B40" i="2"/>
  <c r="M3" i="5" s="1"/>
  <c r="B41" i="2"/>
  <c r="M4" i="5" s="1"/>
  <c r="B42" i="2"/>
  <c r="M5" i="5" s="1"/>
  <c r="B43" i="2"/>
  <c r="M6" i="5" s="1"/>
  <c r="B39" i="2"/>
  <c r="M2" i="5" s="1"/>
  <c r="B23" i="2"/>
  <c r="H2" i="5" s="1"/>
  <c r="U2" i="5" s="1"/>
  <c r="W2" i="5" s="1"/>
  <c r="C26" i="2"/>
  <c r="C27" i="2"/>
  <c r="C28" i="2"/>
  <c r="C29" i="2"/>
  <c r="C30" i="2"/>
  <c r="C31" i="2"/>
  <c r="D31" i="2"/>
  <c r="J10" i="5" s="1"/>
  <c r="D32" i="2"/>
  <c r="D33" i="2"/>
  <c r="B24" i="2"/>
  <c r="H3" i="5" s="1"/>
  <c r="T3" i="5" s="1"/>
  <c r="B25" i="2"/>
  <c r="H4" i="5" s="1"/>
  <c r="B26" i="2"/>
  <c r="H5" i="5" s="1"/>
  <c r="B27" i="2"/>
  <c r="H6" i="5" s="1"/>
  <c r="C5" i="2"/>
  <c r="C6" i="2"/>
  <c r="C7" i="2"/>
  <c r="C8" i="2"/>
  <c r="C9" i="2"/>
  <c r="C10" i="2"/>
  <c r="C4" i="2"/>
  <c r="D9" i="2"/>
  <c r="D10" i="2"/>
  <c r="D11" i="2"/>
  <c r="D12" i="2"/>
  <c r="D13" i="2"/>
  <c r="D14" i="2"/>
  <c r="D15" i="2"/>
  <c r="D16" i="2"/>
  <c r="D17" i="2"/>
  <c r="B3" i="2"/>
  <c r="B4" i="2"/>
  <c r="B5" i="2"/>
  <c r="B6" i="2"/>
  <c r="B2" i="2"/>
  <c r="F3" i="2"/>
  <c r="E3" i="5" s="1"/>
  <c r="F4" i="2"/>
  <c r="E4" i="5" s="1"/>
  <c r="F5" i="2"/>
  <c r="E5" i="5" s="1"/>
  <c r="F6" i="2"/>
  <c r="E6" i="5" s="1"/>
  <c r="F7" i="2"/>
  <c r="E7" i="5" s="1"/>
  <c r="F8" i="2"/>
  <c r="E8" i="5" s="1"/>
  <c r="F9" i="2"/>
  <c r="E9" i="5" s="1"/>
  <c r="F10" i="2"/>
  <c r="E10" i="5" s="1"/>
  <c r="F11" i="2"/>
  <c r="E11" i="5" s="1"/>
  <c r="F12" i="2"/>
  <c r="E12" i="5" s="1"/>
  <c r="F13" i="2"/>
  <c r="E13" i="5" s="1"/>
  <c r="F14" i="2"/>
  <c r="E14" i="5" s="1"/>
  <c r="F15" i="2"/>
  <c r="E15" i="5" s="1"/>
  <c r="F16" i="2"/>
  <c r="E16" i="5" s="1"/>
  <c r="F17" i="2"/>
  <c r="E17" i="5" s="1"/>
  <c r="F18" i="2"/>
  <c r="E18" i="5" s="1"/>
  <c r="F2" i="2"/>
  <c r="E2" i="5" s="1"/>
  <c r="W3" i="5" l="1"/>
  <c r="G27" i="2"/>
  <c r="I6" i="5"/>
  <c r="S6" i="5" s="1"/>
  <c r="J14" i="2"/>
  <c r="D14" i="5"/>
  <c r="E14" i="2"/>
  <c r="G25" i="2"/>
  <c r="I4" i="5"/>
  <c r="S4" i="5" s="1"/>
  <c r="J12" i="2"/>
  <c r="D12" i="5"/>
  <c r="E12" i="2"/>
  <c r="H2" i="2"/>
  <c r="G2" i="2"/>
  <c r="I2" i="2"/>
  <c r="B2" i="5"/>
  <c r="G48" i="2"/>
  <c r="N11" i="5"/>
  <c r="U11" i="5" s="1"/>
  <c r="J5" i="2"/>
  <c r="C5" i="5"/>
  <c r="J13" i="2"/>
  <c r="D13" i="5"/>
  <c r="E13" i="2"/>
  <c r="G33" i="2"/>
  <c r="J12" i="5"/>
  <c r="N10" i="5"/>
  <c r="G47" i="2"/>
  <c r="B5" i="5"/>
  <c r="G5" i="2"/>
  <c r="I5" i="2"/>
  <c r="H5" i="2"/>
  <c r="N9" i="5"/>
  <c r="U9" i="5" s="1"/>
  <c r="G46" i="2"/>
  <c r="J11" i="2"/>
  <c r="D11" i="5"/>
  <c r="E11" i="2"/>
  <c r="D10" i="5"/>
  <c r="E10" i="2"/>
  <c r="J10" i="2"/>
  <c r="G10" i="2"/>
  <c r="H10" i="2"/>
  <c r="C10" i="5"/>
  <c r="G45" i="2"/>
  <c r="N8" i="5"/>
  <c r="U8" i="5" s="1"/>
  <c r="G32" i="2"/>
  <c r="J11" i="5"/>
  <c r="S11" i="5" s="1"/>
  <c r="W11" i="5" s="1"/>
  <c r="N7" i="5"/>
  <c r="G44" i="2"/>
  <c r="N4" i="5"/>
  <c r="U4" i="5" s="1"/>
  <c r="G41" i="2"/>
  <c r="H6" i="2"/>
  <c r="B6" i="5"/>
  <c r="G6" i="2"/>
  <c r="I6" i="2"/>
  <c r="G31" i="2"/>
  <c r="I10" i="5"/>
  <c r="S10" i="5" s="1"/>
  <c r="J17" i="2"/>
  <c r="D17" i="5"/>
  <c r="E17" i="2"/>
  <c r="J8" i="2"/>
  <c r="H8" i="2"/>
  <c r="G8" i="2"/>
  <c r="C8" i="5"/>
  <c r="G30" i="2"/>
  <c r="I9" i="5"/>
  <c r="N6" i="5"/>
  <c r="U6" i="5" s="1"/>
  <c r="G43" i="2"/>
  <c r="J4" i="2"/>
  <c r="C4" i="5"/>
  <c r="H4" i="2"/>
  <c r="G4" i="2"/>
  <c r="I4" i="2"/>
  <c r="B4" i="5"/>
  <c r="J9" i="2"/>
  <c r="G9" i="2"/>
  <c r="C9" i="5"/>
  <c r="H9" i="2"/>
  <c r="J16" i="2"/>
  <c r="E16" i="2"/>
  <c r="D16" i="5"/>
  <c r="J7" i="2"/>
  <c r="C7" i="5"/>
  <c r="G29" i="2"/>
  <c r="I8" i="5"/>
  <c r="S8" i="5" s="1"/>
  <c r="G49" i="2"/>
  <c r="O12" i="5"/>
  <c r="N5" i="5"/>
  <c r="G42" i="2"/>
  <c r="G7" i="2"/>
  <c r="G26" i="2"/>
  <c r="I5" i="5"/>
  <c r="S5" i="5" s="1"/>
  <c r="E9" i="2"/>
  <c r="D9" i="5"/>
  <c r="S9" i="5" s="1"/>
  <c r="B3" i="5"/>
  <c r="G3" i="2"/>
  <c r="I3" i="2"/>
  <c r="H3" i="2"/>
  <c r="J15" i="2"/>
  <c r="D15" i="5"/>
  <c r="E15" i="2"/>
  <c r="J6" i="2"/>
  <c r="C6" i="5"/>
  <c r="G28" i="2"/>
  <c r="I7" i="5"/>
  <c r="S7" i="5" s="1"/>
  <c r="H7" i="2"/>
  <c r="W5" i="5" l="1"/>
  <c r="W9" i="5"/>
  <c r="W8" i="5"/>
  <c r="W6" i="5"/>
  <c r="W7" i="5"/>
  <c r="U10" i="5"/>
  <c r="W10" i="5" s="1"/>
  <c r="S12" i="5"/>
  <c r="U7" i="5"/>
  <c r="T4" i="5"/>
</calcChain>
</file>

<file path=xl/sharedStrings.xml><?xml version="1.0" encoding="utf-8"?>
<sst xmlns="http://schemas.openxmlformats.org/spreadsheetml/2006/main" count="181" uniqueCount="40">
  <si>
    <t>Рост</t>
  </si>
  <si>
    <t>Техника</t>
  </si>
  <si>
    <t>Результативность</t>
  </si>
  <si>
    <t>Уверенность в отборе (F)</t>
  </si>
  <si>
    <t>Высокий</t>
  </si>
  <si>
    <t>Средний</t>
  </si>
  <si>
    <t>Низкий</t>
  </si>
  <si>
    <t>Звезда</t>
  </si>
  <si>
    <t>Уверенная</t>
  </si>
  <si>
    <t>Слабая</t>
  </si>
  <si>
    <t>Высокая</t>
  </si>
  <si>
    <t>Средняя</t>
  </si>
  <si>
    <t>Низкая</t>
  </si>
  <si>
    <t>Абсолютная</t>
  </si>
  <si>
    <t>Отказ</t>
  </si>
  <si>
    <t>Нормализованное значение роста</t>
  </si>
  <si>
    <t>Нормализованное значение техники</t>
  </si>
  <si>
    <t>Нормализованное значение результативности</t>
  </si>
  <si>
    <t>Кандидат</t>
  </si>
  <si>
    <t>А</t>
  </si>
  <si>
    <t>Б</t>
  </si>
  <si>
    <t>В</t>
  </si>
  <si>
    <t>Г</t>
  </si>
  <si>
    <t>Д</t>
  </si>
  <si>
    <t>Е</t>
  </si>
  <si>
    <t>Расчетный результат Рост</t>
  </si>
  <si>
    <t>Расчетный результат Техника</t>
  </si>
  <si>
    <t>Расчетный Результативность</t>
  </si>
  <si>
    <t>Решение/Уверенность</t>
  </si>
  <si>
    <t>Очень высокий</t>
  </si>
  <si>
    <t>Низкий2 (A)</t>
  </si>
  <si>
    <t>Низкий (B)</t>
  </si>
  <si>
    <t>Низкий и Средний (Сумма)</t>
  </si>
  <si>
    <t>Низкий и Средний (Произведение)</t>
  </si>
  <si>
    <t>Не низкий</t>
  </si>
  <si>
    <t>Уверенная ИЛИ звезда</t>
  </si>
  <si>
    <t>Средняя ИЛИ Высокая</t>
  </si>
  <si>
    <t>Функции отбора</t>
  </si>
  <si>
    <t>Среднего и Высокого</t>
  </si>
  <si>
    <t>Постусловие(принять/отказать)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</si>
</sst>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Рост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912465738830616"/>
          <c:y val="3.5111175351111759E-2"/>
          <c:w val="0.89019685039370078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strRef>
              <c:f>'mu-функции'!$B$1</c:f>
              <c:strCache>
                <c:ptCount val="1"/>
                <c:pt idx="0">
                  <c:v>Низкий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FB-4227-8219-0022CD48BC5D}"/>
            </c:ext>
          </c:extLst>
        </c:ser>
        <c:ser>
          <c:idx val="2"/>
          <c:order val="1"/>
          <c:tx>
            <c:strRef>
              <c:f>'mu-функции'!$C$1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 formatCode="0.00">
                  <c:v>0</c:v>
                </c:pt>
                <c:pt idx="3" formatCode="0.00">
                  <c:v>0.25</c:v>
                </c:pt>
                <c:pt idx="4" formatCode="0.00">
                  <c:v>0.5</c:v>
                </c:pt>
                <c:pt idx="5" formatCode="0.00">
                  <c:v>0.75</c:v>
                </c:pt>
                <c:pt idx="6" formatCode="0.00">
                  <c:v>1</c:v>
                </c:pt>
                <c:pt idx="7" formatCode="0.00">
                  <c:v>0.66666666666666663</c:v>
                </c:pt>
                <c:pt idx="8" formatCode="0.00">
                  <c:v>0.33333333333333331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FB-4227-8219-0022CD48BC5D}"/>
            </c:ext>
          </c:extLst>
        </c:ser>
        <c:ser>
          <c:idx val="3"/>
          <c:order val="2"/>
          <c:tx>
            <c:strRef>
              <c:f>'mu-функции'!$D$1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'mu-функции'!$F$1</c:f>
              <c:strCache>
                <c:ptCount val="1"/>
                <c:pt idx="0">
                  <c:v>Нормализованное значение роста</c:v>
                </c:pt>
              </c:strCache>
            </c:strRef>
          </c:cat>
          <c:val>
            <c:numRef>
              <c:f>'mu-функции'!$D$2:$D$18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0.2</c:v>
                </c:pt>
                <c:pt idx="9">
                  <c:v>0.3</c:v>
                </c:pt>
                <c:pt idx="10">
                  <c:v>0.4</c:v>
                </c:pt>
                <c:pt idx="11">
                  <c:v>0.5</c:v>
                </c:pt>
                <c:pt idx="12">
                  <c:v>0.6</c:v>
                </c:pt>
                <c:pt idx="13">
                  <c:v>0.7</c:v>
                </c:pt>
                <c:pt idx="14">
                  <c:v>0.8</c:v>
                </c:pt>
                <c:pt idx="15">
                  <c:v>0.9</c:v>
                </c:pt>
                <c:pt idx="16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FB-4227-8219-0022CD48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61456"/>
        <c:axId val="355464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3"/>
                <c:tx>
                  <c:strRef>
                    <c:extLst>
                      <c:ext uri="{02D57815-91ED-43cb-92C2-25804820EDAC}">
                        <c15:formulaRef>
                          <c15:sqref>'mu-функции'!$E$1</c15:sqref>
                        </c15:formulaRef>
                      </c:ext>
                    </c:extLst>
                    <c:strCache>
                      <c:ptCount val="1"/>
                      <c:pt idx="0">
                        <c:v>Очень высокий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'mu-функции'!$E$2:$E$18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1.0000000000000002E-2</c:v>
                      </c:pt>
                      <c:pt idx="8">
                        <c:v>4.0000000000000008E-2</c:v>
                      </c:pt>
                      <c:pt idx="9">
                        <c:v>0.09</c:v>
                      </c:pt>
                      <c:pt idx="10">
                        <c:v>0.16000000000000003</c:v>
                      </c:pt>
                      <c:pt idx="11">
                        <c:v>0.25</c:v>
                      </c:pt>
                      <c:pt idx="12">
                        <c:v>0.36</c:v>
                      </c:pt>
                      <c:pt idx="13">
                        <c:v>0.48999999999999994</c:v>
                      </c:pt>
                      <c:pt idx="14">
                        <c:v>0.64000000000000012</c:v>
                      </c:pt>
                      <c:pt idx="15">
                        <c:v>0.81</c:v>
                      </c:pt>
                      <c:pt idx="16">
                        <c:v>0.96039999999999992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C685-499A-A415-D43ED663F32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'mu-функции'!$I$1</c15:sqref>
                        </c15:formulaRef>
                      </c:ext>
                    </c:extLst>
                    <c:strCache>
                      <c:ptCount val="1"/>
                      <c:pt idx="0">
                        <c:v>Не низкий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'mu-функции'!$I$2:$I$18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0</c:v>
                      </c:pt>
                      <c:pt idx="1">
                        <c:v>0.19999999999999996</c:v>
                      </c:pt>
                      <c:pt idx="2">
                        <c:v>0.4</c:v>
                      </c:pt>
                      <c:pt idx="3">
                        <c:v>0.6</c:v>
                      </c:pt>
                      <c:pt idx="4">
                        <c:v>0.8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685-499A-A415-D43ED663F32E}"/>
                  </c:ext>
                </c:extLst>
              </c15:ser>
            </c15:filteredLineSeries>
          </c:ext>
        </c:extLst>
      </c:lineChart>
      <c:catAx>
        <c:axId val="35546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4408"/>
        <c:crosses val="autoZero"/>
        <c:auto val="1"/>
        <c:lblAlgn val="ctr"/>
        <c:lblOffset val="100"/>
        <c:noMultiLvlLbl val="0"/>
      </c:catAx>
      <c:valAx>
        <c:axId val="35546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61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Техника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'mu-функции'!$B$22</c:f>
              <c:strCache>
                <c:ptCount val="1"/>
                <c:pt idx="0">
                  <c:v>Слабая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'mu-функции'!$B$23:$B$33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E-4405-86D3-CAA7B01C5930}"/>
            </c:ext>
          </c:extLst>
        </c:ser>
        <c:ser>
          <c:idx val="1"/>
          <c:order val="1"/>
          <c:tx>
            <c:strRef>
              <c:f>'mu-функции'!$C$22</c:f>
              <c:strCache>
                <c:ptCount val="1"/>
                <c:pt idx="0">
                  <c:v>Уверенная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'mu-функции'!$C$23:$C$33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0.66666666666666663</c:v>
                </c:pt>
                <c:pt idx="7" formatCode="0.00">
                  <c:v>0.33333333333333331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8E-4405-86D3-CAA7B01C5930}"/>
            </c:ext>
          </c:extLst>
        </c:ser>
        <c:ser>
          <c:idx val="2"/>
          <c:order val="2"/>
          <c:tx>
            <c:strRef>
              <c:f>'mu-функции'!$D$22</c:f>
              <c:strCache>
                <c:ptCount val="1"/>
                <c:pt idx="0">
                  <c:v>Звезда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'mu-функции'!$F$22</c:f>
              <c:strCache>
                <c:ptCount val="1"/>
                <c:pt idx="0">
                  <c:v>Нормализованное значение техники</c:v>
                </c:pt>
              </c:strCache>
            </c:strRef>
          </c:cat>
          <c:val>
            <c:numRef>
              <c:f>'mu-функции'!$D$23:$D$33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 formatCode="0.00">
                  <c:v>0.33333333333333331</c:v>
                </c:pt>
                <c:pt idx="9" formatCode="0.00">
                  <c:v>0.66666666666666663</c:v>
                </c:pt>
                <c:pt idx="10" formatCode="0.0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8E-4405-86D3-CAA7B01C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230456"/>
        <c:axId val="462234392"/>
      </c:lineChart>
      <c:catAx>
        <c:axId val="46223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4392"/>
        <c:crosses val="autoZero"/>
        <c:auto val="1"/>
        <c:lblAlgn val="ctr"/>
        <c:lblOffset val="100"/>
        <c:noMultiLvlLbl val="0"/>
      </c:catAx>
      <c:valAx>
        <c:axId val="46223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230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'mu-функции'!$B$38</c:f>
              <c:strCache>
                <c:ptCount val="1"/>
                <c:pt idx="0">
                  <c:v>Низкая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'mu-функции'!$B$39:$B$49</c:f>
              <c:numCache>
                <c:formatCode>General</c:formatCode>
                <c:ptCount val="11"/>
                <c:pt idx="0">
                  <c:v>1</c:v>
                </c:pt>
                <c:pt idx="1">
                  <c:v>0.75</c:v>
                </c:pt>
                <c:pt idx="2">
                  <c:v>0.5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6-4BC5-81D9-95C0F9418CBC}"/>
            </c:ext>
          </c:extLst>
        </c:ser>
        <c:ser>
          <c:idx val="1"/>
          <c:order val="1"/>
          <c:tx>
            <c:strRef>
              <c:f>'mu-функции'!$C$38</c:f>
              <c:strCache>
                <c:ptCount val="1"/>
                <c:pt idx="0">
                  <c:v>Средняя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'mu-функции'!$C$39:$C$49</c:f>
              <c:numCache>
                <c:formatCode>General</c:formatCode>
                <c:ptCount val="11"/>
                <c:pt idx="2">
                  <c:v>0</c:v>
                </c:pt>
                <c:pt idx="3" formatCode="0.00">
                  <c:v>0.33333333333333331</c:v>
                </c:pt>
                <c:pt idx="4" formatCode="0.00">
                  <c:v>0.66666666666666663</c:v>
                </c:pt>
                <c:pt idx="5" formatCode="0.00">
                  <c:v>1</c:v>
                </c:pt>
                <c:pt idx="6" formatCode="0.00">
                  <c:v>0.75</c:v>
                </c:pt>
                <c:pt idx="7" formatCode="0.00">
                  <c:v>0.5</c:v>
                </c:pt>
                <c:pt idx="8" formatCode="0.00">
                  <c:v>0.25</c:v>
                </c:pt>
                <c:pt idx="9" formatCode="0.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6-4BC5-81D9-95C0F9418CBC}"/>
            </c:ext>
          </c:extLst>
        </c:ser>
        <c:ser>
          <c:idx val="2"/>
          <c:order val="2"/>
          <c:tx>
            <c:strRef>
              <c:f>'mu-функции'!$D$38</c:f>
              <c:strCache>
                <c:ptCount val="1"/>
                <c:pt idx="0">
                  <c:v>Высокая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'mu-функции'!$F$38</c:f>
              <c:strCache>
                <c:ptCount val="1"/>
                <c:pt idx="0">
                  <c:v>Нормализованное значение результативности</c:v>
                </c:pt>
              </c:strCache>
            </c:strRef>
          </c:cat>
          <c:val>
            <c:numRef>
              <c:f>'mu-функции'!$D$39:$D$49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6-4BC5-81D9-95C0F9418CBC}"/>
            </c:ext>
          </c:extLst>
        </c:ser>
        <c:ser>
          <c:idx val="3"/>
          <c:order val="3"/>
          <c:tx>
            <c:strRef>
              <c:f>'mu-функции'!$G$38</c:f>
              <c:strCache>
                <c:ptCount val="1"/>
                <c:pt idx="0">
                  <c:v>Средняя ИЛИ Высокая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'mu-функции'!$G$39:$G$49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1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2-4A19-B934-E4EA7587C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452928"/>
        <c:axId val="355455880"/>
      </c:lineChart>
      <c:catAx>
        <c:axId val="35545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5880"/>
        <c:crosses val="autoZero"/>
        <c:auto val="1"/>
        <c:lblAlgn val="ctr"/>
        <c:lblOffset val="100"/>
        <c:noMultiLvlLbl val="0"/>
      </c:catAx>
      <c:valAx>
        <c:axId val="35545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4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yVal>
          <c:bubbleSize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8006-46E6-BB57-7789D4797455}"/>
            </c:ext>
          </c:extLst>
        </c:ser>
        <c:ser>
          <c:idx val="1"/>
          <c:order val="1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xVal>
          <c:y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yVal>
          <c:bubbleSize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8006-46E6-BB57-7789D479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97276424"/>
        <c:axId val="497276752"/>
      </c:bubbleChart>
      <c:valAx>
        <c:axId val="49727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752"/>
        <c:crosses val="autoZero"/>
        <c:crossBetween val="midCat"/>
      </c:valAx>
      <c:valAx>
        <c:axId val="4972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727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'Расчет кандидатовВ1'!$B$1</c:f>
              <c:strCache>
                <c:ptCount val="1"/>
                <c:pt idx="0">
                  <c:v>Рост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кандидатовВ1'!$B$2:$B$7</c:f>
              <c:numCache>
                <c:formatCode>General</c:formatCode>
                <c:ptCount val="6"/>
                <c:pt idx="0">
                  <c:v>165</c:v>
                </c:pt>
                <c:pt idx="1">
                  <c:v>180</c:v>
                </c:pt>
                <c:pt idx="2">
                  <c:v>200</c:v>
                </c:pt>
                <c:pt idx="3">
                  <c:v>160</c:v>
                </c:pt>
                <c:pt idx="4">
                  <c:v>245</c:v>
                </c:pt>
                <c:pt idx="5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B-4A67-800D-08B75DA3D8DD}"/>
            </c:ext>
          </c:extLst>
        </c:ser>
        <c:ser>
          <c:idx val="1"/>
          <c:order val="1"/>
          <c:tx>
            <c:strRef>
              <c:f>'Расчет кандидатовВ1'!$C$1</c:f>
              <c:strCache>
                <c:ptCount val="1"/>
                <c:pt idx="0">
                  <c:v>Техника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кандидатовВ1'!$C$2:$C$7</c:f>
              <c:numCache>
                <c:formatCode>General</c:formatCode>
                <c:ptCount val="6"/>
                <c:pt idx="0">
                  <c:v>20</c:v>
                </c:pt>
                <c:pt idx="1">
                  <c:v>50</c:v>
                </c:pt>
                <c:pt idx="2">
                  <c:v>80</c:v>
                </c:pt>
                <c:pt idx="3">
                  <c:v>80</c:v>
                </c:pt>
                <c:pt idx="4">
                  <c:v>10</c:v>
                </c:pt>
                <c:pt idx="5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B-4A67-800D-08B75DA3D8DD}"/>
            </c:ext>
          </c:extLst>
        </c:ser>
        <c:ser>
          <c:idx val="2"/>
          <c:order val="2"/>
          <c:tx>
            <c:strRef>
              <c:f>'Расчет кандидатовВ1'!$D$1</c:f>
              <c:strCache>
                <c:ptCount val="1"/>
                <c:pt idx="0">
                  <c:v>Результативность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кандидатовВ1'!$D$2:$D$7</c:f>
              <c:numCache>
                <c:formatCode>General</c:formatCode>
                <c:ptCount val="6"/>
                <c:pt idx="0">
                  <c:v>10</c:v>
                </c:pt>
                <c:pt idx="1">
                  <c:v>50</c:v>
                </c:pt>
                <c:pt idx="2">
                  <c:v>25</c:v>
                </c:pt>
                <c:pt idx="3">
                  <c:v>45</c:v>
                </c:pt>
                <c:pt idx="4">
                  <c:v>35</c:v>
                </c:pt>
                <c:pt idx="5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B-4A67-800D-08B75DA3D8DD}"/>
            </c:ext>
          </c:extLst>
        </c:ser>
        <c:ser>
          <c:idx val="3"/>
          <c:order val="3"/>
          <c:tx>
            <c:strRef>
              <c:f>'Расчет кандидатовВ1'!$E$1</c:f>
              <c:strCache>
                <c:ptCount val="1"/>
                <c:pt idx="0">
                  <c:v>Решение/Уверенность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'Расчет кандидатовВ1'!$A$2:$A$7</c:f>
              <c:strCache>
                <c:ptCount val="6"/>
                <c:pt idx="0">
                  <c:v>А</c:v>
                </c:pt>
                <c:pt idx="1">
                  <c:v>Б</c:v>
                </c:pt>
                <c:pt idx="2">
                  <c:v>В</c:v>
                </c:pt>
                <c:pt idx="3">
                  <c:v>Г</c:v>
                </c:pt>
                <c:pt idx="4">
                  <c:v>Д</c:v>
                </c:pt>
                <c:pt idx="5">
                  <c:v>Е</c:v>
                </c:pt>
              </c:strCache>
            </c:strRef>
          </c:cat>
          <c:val>
            <c:numRef>
              <c:f>'Расчет кандидатовВ1'!$E$2:$E$7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7B-4A67-800D-08B75DA3D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7253152"/>
        <c:axId val="347250856"/>
      </c:radarChart>
      <c:catAx>
        <c:axId val="34725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0856"/>
        <c:crosses val="autoZero"/>
        <c:auto val="1"/>
        <c:lblAlgn val="ctr"/>
        <c:lblOffset val="100"/>
        <c:noMultiLvlLbl val="0"/>
      </c:catAx>
      <c:valAx>
        <c:axId val="34725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725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Низкий (B)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Лист1!$B$2:$B$18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0.19999999999999996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25-46D4-97BF-D5E23E513419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Низкий2 (A)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Лист1!$C$2:$C$18</c:f>
              <c:numCache>
                <c:formatCode>General</c:formatCode>
                <c:ptCount val="1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5-46D4-97BF-D5E23E51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169072"/>
        <c:axId val="735364480"/>
      </c:lineChart>
      <c:catAx>
        <c:axId val="805169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5364480"/>
        <c:crosses val="autoZero"/>
        <c:auto val="1"/>
        <c:lblAlgn val="ctr"/>
        <c:lblOffset val="100"/>
        <c:noMultiLvlLbl val="0"/>
      </c:catAx>
      <c:valAx>
        <c:axId val="7353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516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0</xdr:row>
      <xdr:rowOff>138112</xdr:rowOff>
    </xdr:from>
    <xdr:to>
      <xdr:col>18</xdr:col>
      <xdr:colOff>590550</xdr:colOff>
      <xdr:row>16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1D8E5-05EF-418A-A0AE-155C625CB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18</xdr:row>
      <xdr:rowOff>66675</xdr:rowOff>
    </xdr:from>
    <xdr:to>
      <xdr:col>19</xdr:col>
      <xdr:colOff>323850</xdr:colOff>
      <xdr:row>39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A5CEC3-4520-4643-A31F-65ED7DD92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342899</xdr:colOff>
      <xdr:row>38</xdr:row>
      <xdr:rowOff>90487</xdr:rowOff>
    </xdr:from>
    <xdr:to>
      <xdr:col>15</xdr:col>
      <xdr:colOff>409574</xdr:colOff>
      <xdr:row>53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EDACCA-561D-467C-9AC3-427A35F72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8</xdr:row>
      <xdr:rowOff>109536</xdr:rowOff>
    </xdr:from>
    <xdr:to>
      <xdr:col>4</xdr:col>
      <xdr:colOff>666749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5682FB-7AC6-4DA4-9A39-704DE5C5B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1219199</xdr:colOff>
      <xdr:row>8</xdr:row>
      <xdr:rowOff>176211</xdr:rowOff>
    </xdr:from>
    <xdr:to>
      <xdr:col>7</xdr:col>
      <xdr:colOff>1257299</xdr:colOff>
      <xdr:row>29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221BE4-598E-481C-A37D-27733A0D0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2</xdr:row>
      <xdr:rowOff>180975</xdr:rowOff>
    </xdr:from>
    <xdr:to>
      <xdr:col>13</xdr:col>
      <xdr:colOff>323850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0E4B513-A055-4EDD-AA1F-BD6910CC0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C5" sqref="C5"/>
    </sheetView>
  </sheetViews>
  <sheetFormatPr defaultRowHeight="14.4" x14ac:dyDescent="0.3"/>
  <cols>
    <col min="1" max="1" width="19.44140625" customWidth="1"/>
    <col min="2" max="2" width="15.44140625" customWidth="1"/>
    <col min="3" max="3" width="19.33203125" customWidth="1"/>
    <col min="4" max="4" width="24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10</v>
      </c>
      <c r="D2" t="s">
        <v>13</v>
      </c>
    </row>
    <row r="3" spans="1:4" x14ac:dyDescent="0.3">
      <c r="A3" t="s">
        <v>4</v>
      </c>
      <c r="B3" t="s">
        <v>7</v>
      </c>
      <c r="C3" t="s">
        <v>11</v>
      </c>
      <c r="D3" t="s">
        <v>13</v>
      </c>
    </row>
    <row r="4" spans="1:4" x14ac:dyDescent="0.3">
      <c r="A4" t="s">
        <v>4</v>
      </c>
      <c r="B4" t="s">
        <v>7</v>
      </c>
      <c r="C4" t="s">
        <v>12</v>
      </c>
      <c r="D4" t="s">
        <v>13</v>
      </c>
    </row>
    <row r="5" spans="1:4" x14ac:dyDescent="0.3">
      <c r="A5" t="s">
        <v>4</v>
      </c>
      <c r="B5" t="s">
        <v>8</v>
      </c>
      <c r="C5" t="s">
        <v>10</v>
      </c>
      <c r="D5" t="s">
        <v>13</v>
      </c>
    </row>
    <row r="6" spans="1:4" x14ac:dyDescent="0.3">
      <c r="A6" t="s">
        <v>5</v>
      </c>
      <c r="B6" t="s">
        <v>7</v>
      </c>
      <c r="C6" t="s">
        <v>10</v>
      </c>
      <c r="D6" t="s">
        <v>13</v>
      </c>
    </row>
    <row r="7" spans="1:4" x14ac:dyDescent="0.3">
      <c r="A7" t="s">
        <v>6</v>
      </c>
      <c r="B7" t="s">
        <v>7</v>
      </c>
      <c r="C7" t="s">
        <v>10</v>
      </c>
      <c r="D7" t="s">
        <v>13</v>
      </c>
    </row>
    <row r="8" spans="1:4" x14ac:dyDescent="0.3">
      <c r="A8" t="s">
        <v>4</v>
      </c>
      <c r="B8" t="s">
        <v>9</v>
      </c>
      <c r="C8" t="s">
        <v>11</v>
      </c>
      <c r="D8" t="s">
        <v>12</v>
      </c>
    </row>
    <row r="9" spans="1:4" x14ac:dyDescent="0.3">
      <c r="A9" t="s">
        <v>4</v>
      </c>
      <c r="B9" t="s">
        <v>9</v>
      </c>
      <c r="C9" t="s">
        <v>12</v>
      </c>
      <c r="D9" t="s">
        <v>12</v>
      </c>
    </row>
    <row r="10" spans="1:4" x14ac:dyDescent="0.3">
      <c r="A10" t="s">
        <v>5</v>
      </c>
      <c r="B10" t="s">
        <v>8</v>
      </c>
      <c r="C10" t="s">
        <v>12</v>
      </c>
      <c r="D10" t="s">
        <v>12</v>
      </c>
    </row>
    <row r="11" spans="1:4" x14ac:dyDescent="0.3">
      <c r="A11" t="s">
        <v>5</v>
      </c>
      <c r="B11" t="s">
        <v>9</v>
      </c>
      <c r="C11" t="s">
        <v>11</v>
      </c>
      <c r="D11" t="s">
        <v>12</v>
      </c>
    </row>
    <row r="12" spans="1:4" x14ac:dyDescent="0.3">
      <c r="A12" t="s">
        <v>5</v>
      </c>
      <c r="B12" t="s">
        <v>9</v>
      </c>
      <c r="C12" t="s">
        <v>12</v>
      </c>
      <c r="D12" t="s">
        <v>12</v>
      </c>
    </row>
    <row r="13" spans="1:4" x14ac:dyDescent="0.3">
      <c r="A13" t="s">
        <v>6</v>
      </c>
      <c r="B13" t="s">
        <v>8</v>
      </c>
      <c r="C13" t="s">
        <v>12</v>
      </c>
      <c r="D13" t="s">
        <v>12</v>
      </c>
    </row>
    <row r="14" spans="1:4" x14ac:dyDescent="0.3">
      <c r="A14" t="s">
        <v>6</v>
      </c>
      <c r="B14" t="s">
        <v>9</v>
      </c>
      <c r="C14" t="s">
        <v>11</v>
      </c>
      <c r="D14" t="s">
        <v>12</v>
      </c>
    </row>
    <row r="15" spans="1:4" x14ac:dyDescent="0.3">
      <c r="A15" t="s">
        <v>6</v>
      </c>
      <c r="B15" t="s">
        <v>9</v>
      </c>
      <c r="C15" t="s">
        <v>12</v>
      </c>
      <c r="D15" t="s">
        <v>14</v>
      </c>
    </row>
    <row r="16" spans="1:4" x14ac:dyDescent="0.3">
      <c r="A16" t="s">
        <v>4</v>
      </c>
      <c r="B16" t="s">
        <v>8</v>
      </c>
      <c r="C16" t="s">
        <v>11</v>
      </c>
      <c r="D16" t="s">
        <v>11</v>
      </c>
    </row>
    <row r="17" spans="1:4" x14ac:dyDescent="0.3">
      <c r="A17" t="s">
        <v>4</v>
      </c>
      <c r="B17" t="s">
        <v>8</v>
      </c>
      <c r="C17" t="s">
        <v>12</v>
      </c>
      <c r="D17" t="s">
        <v>11</v>
      </c>
    </row>
    <row r="18" spans="1:4" x14ac:dyDescent="0.3">
      <c r="A18" t="s">
        <v>4</v>
      </c>
      <c r="B18" t="s">
        <v>9</v>
      </c>
      <c r="C18" t="s">
        <v>10</v>
      </c>
      <c r="D18" t="s">
        <v>11</v>
      </c>
    </row>
    <row r="19" spans="1:4" x14ac:dyDescent="0.3">
      <c r="A19" t="s">
        <v>5</v>
      </c>
      <c r="B19" t="s">
        <v>7</v>
      </c>
      <c r="C19" t="s">
        <v>11</v>
      </c>
      <c r="D19" t="s">
        <v>11</v>
      </c>
    </row>
    <row r="20" spans="1:4" x14ac:dyDescent="0.3">
      <c r="A20" t="s">
        <v>5</v>
      </c>
      <c r="B20" t="s">
        <v>7</v>
      </c>
      <c r="C20" t="s">
        <v>12</v>
      </c>
      <c r="D20" t="s">
        <v>11</v>
      </c>
    </row>
    <row r="21" spans="1:4" x14ac:dyDescent="0.3">
      <c r="A21" t="s">
        <v>5</v>
      </c>
      <c r="B21" t="s">
        <v>8</v>
      </c>
      <c r="C21" t="s">
        <v>10</v>
      </c>
      <c r="D21" t="s">
        <v>11</v>
      </c>
    </row>
    <row r="22" spans="1:4" x14ac:dyDescent="0.3">
      <c r="A22" t="s">
        <v>5</v>
      </c>
      <c r="B22" t="s">
        <v>8</v>
      </c>
      <c r="C22" t="s">
        <v>11</v>
      </c>
      <c r="D22" t="s">
        <v>11</v>
      </c>
    </row>
    <row r="23" spans="1:4" x14ac:dyDescent="0.3">
      <c r="A23" t="s">
        <v>5</v>
      </c>
      <c r="B23" t="s">
        <v>9</v>
      </c>
      <c r="C23" t="s">
        <v>10</v>
      </c>
      <c r="D23" t="s">
        <v>11</v>
      </c>
    </row>
    <row r="24" spans="1:4" x14ac:dyDescent="0.3">
      <c r="A24" t="s">
        <v>6</v>
      </c>
      <c r="B24" t="s">
        <v>7</v>
      </c>
      <c r="C24" t="s">
        <v>11</v>
      </c>
      <c r="D24" t="s">
        <v>11</v>
      </c>
    </row>
    <row r="25" spans="1:4" x14ac:dyDescent="0.3">
      <c r="A25" t="s">
        <v>6</v>
      </c>
      <c r="B25" t="s">
        <v>7</v>
      </c>
      <c r="C25" t="s">
        <v>12</v>
      </c>
      <c r="D25" t="s">
        <v>11</v>
      </c>
    </row>
    <row r="26" spans="1:4" x14ac:dyDescent="0.3">
      <c r="A26" t="s">
        <v>6</v>
      </c>
      <c r="B26" t="s">
        <v>8</v>
      </c>
      <c r="C26" t="s">
        <v>10</v>
      </c>
      <c r="D26" t="s">
        <v>11</v>
      </c>
    </row>
    <row r="27" spans="1:4" x14ac:dyDescent="0.3">
      <c r="A27" t="s">
        <v>6</v>
      </c>
      <c r="B27" t="s">
        <v>8</v>
      </c>
      <c r="C27" t="s">
        <v>11</v>
      </c>
      <c r="D27" t="s">
        <v>11</v>
      </c>
    </row>
    <row r="28" spans="1:4" x14ac:dyDescent="0.3">
      <c r="A28" t="s">
        <v>6</v>
      </c>
      <c r="B28" t="s">
        <v>9</v>
      </c>
      <c r="C28" t="s">
        <v>10</v>
      </c>
      <c r="D28" t="s">
        <v>11</v>
      </c>
    </row>
  </sheetData>
  <sortState xmlns:xlrd2="http://schemas.microsoft.com/office/spreadsheetml/2017/richdata2" ref="A2:D28">
    <sortCondition ref="D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topLeftCell="A25" zoomScaleNormal="100" workbookViewId="0">
      <selection activeCell="G39" sqref="G39"/>
    </sheetView>
  </sheetViews>
  <sheetFormatPr defaultRowHeight="14.4" x14ac:dyDescent="0.3"/>
  <cols>
    <col min="1" max="1" width="18.109375" customWidth="1"/>
    <col min="2" max="5" width="15.109375" customWidth="1"/>
    <col min="6" max="6" width="44.88671875" bestFit="1" customWidth="1"/>
    <col min="7" max="7" width="27.33203125" customWidth="1"/>
    <col min="8" max="8" width="24.6640625" customWidth="1"/>
    <col min="9" max="9" width="20" customWidth="1"/>
    <col min="10" max="10" width="36.33203125" customWidth="1"/>
  </cols>
  <sheetData>
    <row r="1" spans="1:10" x14ac:dyDescent="0.3">
      <c r="A1" s="1" t="s">
        <v>0</v>
      </c>
      <c r="B1" s="1" t="s">
        <v>6</v>
      </c>
      <c r="C1" s="1" t="s">
        <v>5</v>
      </c>
      <c r="D1" s="1" t="s">
        <v>4</v>
      </c>
      <c r="E1" s="1" t="s">
        <v>29</v>
      </c>
      <c r="F1" s="1" t="s">
        <v>15</v>
      </c>
      <c r="G1" s="1" t="s">
        <v>32</v>
      </c>
      <c r="H1" s="1" t="s">
        <v>33</v>
      </c>
      <c r="I1" s="1" t="s">
        <v>34</v>
      </c>
      <c r="J1" s="1" t="s">
        <v>38</v>
      </c>
    </row>
    <row r="2" spans="1:10" x14ac:dyDescent="0.3">
      <c r="A2">
        <v>160</v>
      </c>
      <c r="B2">
        <f>1-(A2-160)/25</f>
        <v>1</v>
      </c>
      <c r="C2">
        <v>0</v>
      </c>
      <c r="D2">
        <v>0</v>
      </c>
      <c r="E2">
        <f>D2*D2</f>
        <v>0</v>
      </c>
      <c r="F2" s="2">
        <f>(A2-160)/80</f>
        <v>0</v>
      </c>
      <c r="G2">
        <f>MAX(B2,C2)</f>
        <v>1</v>
      </c>
      <c r="H2">
        <f>MIN(B2,C2)</f>
        <v>0</v>
      </c>
      <c r="I2">
        <f>1-B2</f>
        <v>0</v>
      </c>
      <c r="J2">
        <f>MIN(C2,D2)</f>
        <v>0</v>
      </c>
    </row>
    <row r="3" spans="1:10" x14ac:dyDescent="0.3">
      <c r="A3">
        <v>165</v>
      </c>
      <c r="B3">
        <f t="shared" ref="B3:B6" si="0">1-(A3-160)/25</f>
        <v>0.8</v>
      </c>
      <c r="C3">
        <v>0</v>
      </c>
      <c r="D3">
        <v>0</v>
      </c>
      <c r="E3">
        <f t="shared" ref="E3:E18" si="1">D3*D3</f>
        <v>0</v>
      </c>
      <c r="F3" s="2">
        <f t="shared" ref="F3:F18" si="2">(A3-160)/80</f>
        <v>6.25E-2</v>
      </c>
      <c r="G3">
        <f t="shared" ref="G3:G18" si="3">MAX(B3,C3)</f>
        <v>0.8</v>
      </c>
      <c r="H3">
        <f t="shared" ref="H3:H18" si="4">MIN(B3,C3)</f>
        <v>0</v>
      </c>
      <c r="I3">
        <f t="shared" ref="I3:I18" si="5">1-B3</f>
        <v>0.19999999999999996</v>
      </c>
      <c r="J3">
        <f t="shared" ref="J3:J18" si="6">MIN(C3,D3)</f>
        <v>0</v>
      </c>
    </row>
    <row r="4" spans="1:10" x14ac:dyDescent="0.3">
      <c r="A4">
        <v>170</v>
      </c>
      <c r="B4">
        <f t="shared" si="0"/>
        <v>0.6</v>
      </c>
      <c r="C4" s="2">
        <f>IF(A4&lt;=190,(A4-170)/20,(205-A4)/15)</f>
        <v>0</v>
      </c>
      <c r="D4">
        <v>0</v>
      </c>
      <c r="E4">
        <f t="shared" si="1"/>
        <v>0</v>
      </c>
      <c r="F4" s="2">
        <f t="shared" si="2"/>
        <v>0.125</v>
      </c>
      <c r="G4">
        <f t="shared" si="3"/>
        <v>0.6</v>
      </c>
      <c r="H4">
        <f t="shared" si="4"/>
        <v>0</v>
      </c>
      <c r="I4">
        <f t="shared" si="5"/>
        <v>0.4</v>
      </c>
      <c r="J4">
        <f t="shared" si="6"/>
        <v>0</v>
      </c>
    </row>
    <row r="5" spans="1:10" x14ac:dyDescent="0.3">
      <c r="A5">
        <v>175</v>
      </c>
      <c r="B5">
        <f t="shared" si="0"/>
        <v>0.4</v>
      </c>
      <c r="C5" s="2">
        <f t="shared" ref="C5:C10" si="7">IF(A5&lt;=190,(A5-170)/20,(205-A5)/15)</f>
        <v>0.25</v>
      </c>
      <c r="D5">
        <v>0</v>
      </c>
      <c r="E5">
        <f t="shared" si="1"/>
        <v>0</v>
      </c>
      <c r="F5" s="2">
        <f t="shared" si="2"/>
        <v>0.1875</v>
      </c>
      <c r="G5">
        <f t="shared" si="3"/>
        <v>0.4</v>
      </c>
      <c r="H5">
        <f t="shared" si="4"/>
        <v>0.25</v>
      </c>
      <c r="I5">
        <f t="shared" si="5"/>
        <v>0.6</v>
      </c>
      <c r="J5">
        <f t="shared" si="6"/>
        <v>0</v>
      </c>
    </row>
    <row r="6" spans="1:10" x14ac:dyDescent="0.3">
      <c r="A6">
        <v>180</v>
      </c>
      <c r="B6">
        <f t="shared" si="0"/>
        <v>0.19999999999999996</v>
      </c>
      <c r="C6" s="2">
        <f t="shared" si="7"/>
        <v>0.5</v>
      </c>
      <c r="D6">
        <v>0</v>
      </c>
      <c r="E6">
        <f t="shared" si="1"/>
        <v>0</v>
      </c>
      <c r="F6" s="2">
        <f t="shared" si="2"/>
        <v>0.25</v>
      </c>
      <c r="G6">
        <f t="shared" si="3"/>
        <v>0.5</v>
      </c>
      <c r="H6">
        <f t="shared" si="4"/>
        <v>0.19999999999999996</v>
      </c>
      <c r="I6">
        <f t="shared" si="5"/>
        <v>0.8</v>
      </c>
      <c r="J6">
        <f t="shared" si="6"/>
        <v>0</v>
      </c>
    </row>
    <row r="7" spans="1:10" x14ac:dyDescent="0.3">
      <c r="A7">
        <v>185</v>
      </c>
      <c r="B7">
        <f>1-(A7-160)/25</f>
        <v>0</v>
      </c>
      <c r="C7" s="2">
        <f t="shared" si="7"/>
        <v>0.75</v>
      </c>
      <c r="D7">
        <v>0</v>
      </c>
      <c r="E7">
        <f t="shared" si="1"/>
        <v>0</v>
      </c>
      <c r="F7" s="2">
        <f t="shared" si="2"/>
        <v>0.3125</v>
      </c>
      <c r="G7">
        <f t="shared" si="3"/>
        <v>0.75</v>
      </c>
      <c r="H7">
        <f t="shared" si="4"/>
        <v>0</v>
      </c>
      <c r="I7">
        <f t="shared" si="5"/>
        <v>1</v>
      </c>
      <c r="J7">
        <f t="shared" si="6"/>
        <v>0</v>
      </c>
    </row>
    <row r="8" spans="1:10" x14ac:dyDescent="0.3">
      <c r="A8">
        <v>190</v>
      </c>
      <c r="B8">
        <v>0</v>
      </c>
      <c r="C8" s="2">
        <f t="shared" si="7"/>
        <v>1</v>
      </c>
      <c r="D8">
        <f>(A8-190)/50</f>
        <v>0</v>
      </c>
      <c r="E8">
        <f t="shared" si="1"/>
        <v>0</v>
      </c>
      <c r="F8" s="2">
        <f t="shared" si="2"/>
        <v>0.375</v>
      </c>
      <c r="G8">
        <f t="shared" si="3"/>
        <v>1</v>
      </c>
      <c r="H8">
        <f t="shared" si="4"/>
        <v>0</v>
      </c>
      <c r="I8">
        <f t="shared" si="5"/>
        <v>1</v>
      </c>
      <c r="J8">
        <f t="shared" si="6"/>
        <v>0</v>
      </c>
    </row>
    <row r="9" spans="1:10" x14ac:dyDescent="0.3">
      <c r="A9">
        <v>195</v>
      </c>
      <c r="B9">
        <v>0</v>
      </c>
      <c r="C9" s="2">
        <f t="shared" si="7"/>
        <v>0.66666666666666663</v>
      </c>
      <c r="D9">
        <f t="shared" ref="D9:D17" si="8">(A9-190)/50</f>
        <v>0.1</v>
      </c>
      <c r="E9">
        <f t="shared" si="1"/>
        <v>1.0000000000000002E-2</v>
      </c>
      <c r="F9" s="2">
        <f t="shared" si="2"/>
        <v>0.4375</v>
      </c>
      <c r="G9" s="2">
        <f>MAX(B9,C9)</f>
        <v>0.66666666666666663</v>
      </c>
      <c r="H9">
        <f t="shared" si="4"/>
        <v>0</v>
      </c>
      <c r="I9">
        <f t="shared" si="5"/>
        <v>1</v>
      </c>
      <c r="J9">
        <f t="shared" si="6"/>
        <v>0.1</v>
      </c>
    </row>
    <row r="10" spans="1:10" x14ac:dyDescent="0.3">
      <c r="A10">
        <v>200</v>
      </c>
      <c r="B10">
        <v>0</v>
      </c>
      <c r="C10" s="2">
        <f t="shared" si="7"/>
        <v>0.33333333333333331</v>
      </c>
      <c r="D10">
        <f t="shared" si="8"/>
        <v>0.2</v>
      </c>
      <c r="E10">
        <f t="shared" si="1"/>
        <v>4.0000000000000008E-2</v>
      </c>
      <c r="F10" s="2">
        <f t="shared" si="2"/>
        <v>0.5</v>
      </c>
      <c r="G10" s="2">
        <f t="shared" si="3"/>
        <v>0.33333333333333331</v>
      </c>
      <c r="H10">
        <f t="shared" si="4"/>
        <v>0</v>
      </c>
      <c r="I10">
        <f t="shared" si="5"/>
        <v>1</v>
      </c>
      <c r="J10">
        <f t="shared" si="6"/>
        <v>0.2</v>
      </c>
    </row>
    <row r="11" spans="1:10" x14ac:dyDescent="0.3">
      <c r="A11">
        <v>205</v>
      </c>
      <c r="B11">
        <v>0</v>
      </c>
      <c r="C11">
        <v>0</v>
      </c>
      <c r="D11">
        <f t="shared" si="8"/>
        <v>0.3</v>
      </c>
      <c r="E11">
        <f t="shared" si="1"/>
        <v>0.09</v>
      </c>
      <c r="F11" s="2">
        <f t="shared" si="2"/>
        <v>0.5625</v>
      </c>
      <c r="G11">
        <f t="shared" si="3"/>
        <v>0</v>
      </c>
      <c r="H11">
        <f t="shared" si="4"/>
        <v>0</v>
      </c>
      <c r="I11">
        <f t="shared" si="5"/>
        <v>1</v>
      </c>
      <c r="J11">
        <f t="shared" si="6"/>
        <v>0</v>
      </c>
    </row>
    <row r="12" spans="1:10" x14ac:dyDescent="0.3">
      <c r="A12">
        <v>210</v>
      </c>
      <c r="B12">
        <v>0</v>
      </c>
      <c r="C12">
        <v>0</v>
      </c>
      <c r="D12">
        <f t="shared" si="8"/>
        <v>0.4</v>
      </c>
      <c r="E12">
        <f t="shared" si="1"/>
        <v>0.16000000000000003</v>
      </c>
      <c r="F12" s="2">
        <f t="shared" si="2"/>
        <v>0.625</v>
      </c>
      <c r="G12">
        <f t="shared" si="3"/>
        <v>0</v>
      </c>
      <c r="H12">
        <f t="shared" si="4"/>
        <v>0</v>
      </c>
      <c r="I12">
        <f t="shared" si="5"/>
        <v>1</v>
      </c>
      <c r="J12">
        <f t="shared" si="6"/>
        <v>0</v>
      </c>
    </row>
    <row r="13" spans="1:10" x14ac:dyDescent="0.3">
      <c r="A13">
        <v>215</v>
      </c>
      <c r="B13">
        <v>0</v>
      </c>
      <c r="C13">
        <v>0</v>
      </c>
      <c r="D13">
        <f t="shared" si="8"/>
        <v>0.5</v>
      </c>
      <c r="E13">
        <f t="shared" si="1"/>
        <v>0.25</v>
      </c>
      <c r="F13" s="2">
        <f t="shared" si="2"/>
        <v>0.6875</v>
      </c>
      <c r="G13">
        <f t="shared" si="3"/>
        <v>0</v>
      </c>
      <c r="H13">
        <f t="shared" si="4"/>
        <v>0</v>
      </c>
      <c r="I13">
        <f t="shared" si="5"/>
        <v>1</v>
      </c>
      <c r="J13">
        <f t="shared" si="6"/>
        <v>0</v>
      </c>
    </row>
    <row r="14" spans="1:10" x14ac:dyDescent="0.3">
      <c r="A14">
        <v>220</v>
      </c>
      <c r="B14">
        <v>0</v>
      </c>
      <c r="C14">
        <v>0</v>
      </c>
      <c r="D14">
        <f t="shared" si="8"/>
        <v>0.6</v>
      </c>
      <c r="E14">
        <f t="shared" si="1"/>
        <v>0.36</v>
      </c>
      <c r="F14" s="2">
        <f t="shared" si="2"/>
        <v>0.75</v>
      </c>
      <c r="G14">
        <f t="shared" si="3"/>
        <v>0</v>
      </c>
      <c r="H14">
        <f t="shared" si="4"/>
        <v>0</v>
      </c>
      <c r="I14">
        <f t="shared" si="5"/>
        <v>1</v>
      </c>
      <c r="J14">
        <f t="shared" si="6"/>
        <v>0</v>
      </c>
    </row>
    <row r="15" spans="1:10" x14ac:dyDescent="0.3">
      <c r="A15">
        <v>225</v>
      </c>
      <c r="B15">
        <v>0</v>
      </c>
      <c r="C15">
        <v>0</v>
      </c>
      <c r="D15">
        <f t="shared" si="8"/>
        <v>0.7</v>
      </c>
      <c r="E15">
        <f t="shared" si="1"/>
        <v>0.48999999999999994</v>
      </c>
      <c r="F15" s="2">
        <f t="shared" si="2"/>
        <v>0.8125</v>
      </c>
      <c r="G15">
        <f t="shared" si="3"/>
        <v>0</v>
      </c>
      <c r="H15">
        <f t="shared" si="4"/>
        <v>0</v>
      </c>
      <c r="I15">
        <f t="shared" si="5"/>
        <v>1</v>
      </c>
      <c r="J15">
        <f t="shared" si="6"/>
        <v>0</v>
      </c>
    </row>
    <row r="16" spans="1:10" x14ac:dyDescent="0.3">
      <c r="A16">
        <v>230</v>
      </c>
      <c r="B16">
        <v>0</v>
      </c>
      <c r="C16">
        <v>0</v>
      </c>
      <c r="D16">
        <f t="shared" si="8"/>
        <v>0.8</v>
      </c>
      <c r="E16">
        <f t="shared" si="1"/>
        <v>0.64000000000000012</v>
      </c>
      <c r="F16" s="2">
        <f t="shared" si="2"/>
        <v>0.875</v>
      </c>
      <c r="G16">
        <f t="shared" si="3"/>
        <v>0</v>
      </c>
      <c r="H16">
        <f t="shared" si="4"/>
        <v>0</v>
      </c>
      <c r="I16">
        <f t="shared" si="5"/>
        <v>1</v>
      </c>
      <c r="J16">
        <f t="shared" si="6"/>
        <v>0</v>
      </c>
    </row>
    <row r="17" spans="1:10" x14ac:dyDescent="0.3">
      <c r="A17">
        <v>235</v>
      </c>
      <c r="B17">
        <v>0</v>
      </c>
      <c r="C17">
        <v>0</v>
      </c>
      <c r="D17">
        <f t="shared" si="8"/>
        <v>0.9</v>
      </c>
      <c r="E17">
        <f t="shared" si="1"/>
        <v>0.81</v>
      </c>
      <c r="F17" s="2">
        <f t="shared" si="2"/>
        <v>0.9375</v>
      </c>
      <c r="G17">
        <f t="shared" si="3"/>
        <v>0</v>
      </c>
      <c r="H17">
        <f t="shared" si="4"/>
        <v>0</v>
      </c>
      <c r="I17">
        <f t="shared" si="5"/>
        <v>1</v>
      </c>
      <c r="J17">
        <f t="shared" si="6"/>
        <v>0</v>
      </c>
    </row>
    <row r="18" spans="1:10" x14ac:dyDescent="0.3">
      <c r="A18">
        <v>240</v>
      </c>
      <c r="B18">
        <v>0</v>
      </c>
      <c r="C18">
        <v>0</v>
      </c>
      <c r="D18">
        <v>0.98</v>
      </c>
      <c r="E18">
        <f t="shared" si="1"/>
        <v>0.96039999999999992</v>
      </c>
      <c r="F18" s="2">
        <f t="shared" si="2"/>
        <v>1</v>
      </c>
      <c r="G18">
        <f t="shared" si="3"/>
        <v>0</v>
      </c>
      <c r="H18">
        <f t="shared" si="4"/>
        <v>0</v>
      </c>
      <c r="I18">
        <f t="shared" si="5"/>
        <v>1</v>
      </c>
      <c r="J18">
        <f t="shared" si="6"/>
        <v>0</v>
      </c>
    </row>
    <row r="19" spans="1:10" x14ac:dyDescent="0.3">
      <c r="F19" s="2"/>
    </row>
    <row r="20" spans="1:10" x14ac:dyDescent="0.3">
      <c r="F20" s="2"/>
    </row>
    <row r="22" spans="1:10" x14ac:dyDescent="0.3">
      <c r="A22" s="1" t="s">
        <v>1</v>
      </c>
      <c r="B22" s="1" t="s">
        <v>9</v>
      </c>
      <c r="C22" s="1" t="s">
        <v>8</v>
      </c>
      <c r="D22" s="1" t="s">
        <v>7</v>
      </c>
      <c r="E22" s="1"/>
      <c r="F22" s="1" t="s">
        <v>16</v>
      </c>
      <c r="G22" s="1" t="s">
        <v>35</v>
      </c>
    </row>
    <row r="23" spans="1:10" x14ac:dyDescent="0.3">
      <c r="A23">
        <v>0</v>
      </c>
      <c r="B23">
        <f>(40-A23)/40</f>
        <v>1</v>
      </c>
      <c r="C23">
        <v>0</v>
      </c>
      <c r="D23">
        <v>0</v>
      </c>
      <c r="F23">
        <v>0</v>
      </c>
      <c r="G23">
        <f>MAX(C23:D23)</f>
        <v>0</v>
      </c>
    </row>
    <row r="24" spans="1:10" x14ac:dyDescent="0.3">
      <c r="A24">
        <v>10</v>
      </c>
      <c r="B24">
        <f t="shared" ref="B24:B27" si="9">(40-A24)/40</f>
        <v>0.75</v>
      </c>
      <c r="C24">
        <v>0</v>
      </c>
      <c r="D24">
        <v>0</v>
      </c>
      <c r="F24">
        <v>0.1</v>
      </c>
      <c r="G24">
        <f t="shared" ref="G24:G33" si="10">MAX(C24:D24)</f>
        <v>0</v>
      </c>
    </row>
    <row r="25" spans="1:10" x14ac:dyDescent="0.3">
      <c r="A25">
        <v>20</v>
      </c>
      <c r="B25">
        <f t="shared" si="9"/>
        <v>0.5</v>
      </c>
      <c r="C25">
        <f>IF(A25&lt;=50,(A25-20)/30,(80-A25)/30)</f>
        <v>0</v>
      </c>
      <c r="D25">
        <v>0</v>
      </c>
      <c r="F25">
        <v>0.2</v>
      </c>
      <c r="G25">
        <f t="shared" si="10"/>
        <v>0</v>
      </c>
    </row>
    <row r="26" spans="1:10" x14ac:dyDescent="0.3">
      <c r="A26">
        <v>30</v>
      </c>
      <c r="B26">
        <f t="shared" si="9"/>
        <v>0.25</v>
      </c>
      <c r="C26" s="2">
        <f t="shared" ref="C26:C31" si="11">IF(A26&lt;=50,(A26-20)/30,(80-A26)/30)</f>
        <v>0.33333333333333331</v>
      </c>
      <c r="D26">
        <v>0</v>
      </c>
      <c r="F26">
        <v>0.3</v>
      </c>
      <c r="G26">
        <f t="shared" si="10"/>
        <v>0.33333333333333331</v>
      </c>
    </row>
    <row r="27" spans="1:10" x14ac:dyDescent="0.3">
      <c r="A27">
        <v>40</v>
      </c>
      <c r="B27">
        <f t="shared" si="9"/>
        <v>0</v>
      </c>
      <c r="C27" s="2">
        <f t="shared" si="11"/>
        <v>0.66666666666666663</v>
      </c>
      <c r="D27">
        <v>0</v>
      </c>
      <c r="F27">
        <v>0.4</v>
      </c>
      <c r="G27">
        <f t="shared" si="10"/>
        <v>0.66666666666666663</v>
      </c>
    </row>
    <row r="28" spans="1:10" x14ac:dyDescent="0.3">
      <c r="A28">
        <v>50</v>
      </c>
      <c r="B28">
        <v>0</v>
      </c>
      <c r="C28" s="2">
        <f t="shared" si="11"/>
        <v>1</v>
      </c>
      <c r="D28">
        <v>0</v>
      </c>
      <c r="F28">
        <v>0.5</v>
      </c>
      <c r="G28">
        <f t="shared" si="10"/>
        <v>1</v>
      </c>
    </row>
    <row r="29" spans="1:10" x14ac:dyDescent="0.3">
      <c r="A29">
        <v>60</v>
      </c>
      <c r="B29">
        <v>0</v>
      </c>
      <c r="C29" s="2">
        <f t="shared" si="11"/>
        <v>0.66666666666666663</v>
      </c>
      <c r="D29">
        <v>0</v>
      </c>
      <c r="F29">
        <v>0.6</v>
      </c>
      <c r="G29">
        <f t="shared" si="10"/>
        <v>0.66666666666666663</v>
      </c>
    </row>
    <row r="30" spans="1:10" x14ac:dyDescent="0.3">
      <c r="A30">
        <v>70</v>
      </c>
      <c r="B30">
        <v>0</v>
      </c>
      <c r="C30" s="2">
        <f t="shared" si="11"/>
        <v>0.33333333333333331</v>
      </c>
      <c r="D30" s="2">
        <f>(A30-70)/30</f>
        <v>0</v>
      </c>
      <c r="E30" s="2"/>
      <c r="F30">
        <v>0.7</v>
      </c>
      <c r="G30">
        <f t="shared" si="10"/>
        <v>0.33333333333333331</v>
      </c>
    </row>
    <row r="31" spans="1:10" x14ac:dyDescent="0.3">
      <c r="A31">
        <v>80</v>
      </c>
      <c r="B31">
        <v>0</v>
      </c>
      <c r="C31">
        <f t="shared" si="11"/>
        <v>0</v>
      </c>
      <c r="D31" s="2">
        <f t="shared" ref="D31:D33" si="12">(A31-70)/30</f>
        <v>0.33333333333333331</v>
      </c>
      <c r="E31" s="2"/>
      <c r="F31">
        <v>0.8</v>
      </c>
      <c r="G31">
        <f t="shared" si="10"/>
        <v>0.33333333333333331</v>
      </c>
    </row>
    <row r="32" spans="1:10" x14ac:dyDescent="0.3">
      <c r="A32">
        <v>90</v>
      </c>
      <c r="B32">
        <v>0</v>
      </c>
      <c r="C32">
        <v>0</v>
      </c>
      <c r="D32" s="2">
        <f t="shared" si="12"/>
        <v>0.66666666666666663</v>
      </c>
      <c r="E32" s="2"/>
      <c r="F32">
        <v>0.9</v>
      </c>
      <c r="G32">
        <f t="shared" si="10"/>
        <v>0.66666666666666663</v>
      </c>
    </row>
    <row r="33" spans="1:7" x14ac:dyDescent="0.3">
      <c r="A33">
        <v>100</v>
      </c>
      <c r="B33">
        <v>0</v>
      </c>
      <c r="C33">
        <v>0</v>
      </c>
      <c r="D33" s="2">
        <f t="shared" si="12"/>
        <v>1</v>
      </c>
      <c r="E33" s="2"/>
      <c r="F33">
        <v>1</v>
      </c>
      <c r="G33">
        <f t="shared" si="10"/>
        <v>1</v>
      </c>
    </row>
    <row r="34" spans="1:7" x14ac:dyDescent="0.3">
      <c r="D34" s="2"/>
      <c r="E34" s="2"/>
    </row>
    <row r="35" spans="1:7" x14ac:dyDescent="0.3">
      <c r="D35" s="2"/>
      <c r="E35" s="2"/>
    </row>
    <row r="36" spans="1:7" x14ac:dyDescent="0.3">
      <c r="D36" s="2"/>
      <c r="E36" s="2"/>
    </row>
    <row r="38" spans="1:7" s="1" customFormat="1" x14ac:dyDescent="0.3">
      <c r="A38" s="1" t="s">
        <v>2</v>
      </c>
      <c r="B38" s="1" t="s">
        <v>12</v>
      </c>
      <c r="C38" s="1" t="s">
        <v>11</v>
      </c>
      <c r="D38" s="1" t="s">
        <v>10</v>
      </c>
      <c r="F38" s="1" t="s">
        <v>17</v>
      </c>
      <c r="G38" s="1" t="s">
        <v>36</v>
      </c>
    </row>
    <row r="39" spans="1:7" x14ac:dyDescent="0.3">
      <c r="A39">
        <v>0</v>
      </c>
      <c r="B39">
        <f>(20-A39)/20</f>
        <v>1</v>
      </c>
      <c r="D39">
        <v>0</v>
      </c>
      <c r="F39">
        <v>0</v>
      </c>
      <c r="G39">
        <f>MAX(C39,D39)</f>
        <v>0</v>
      </c>
    </row>
    <row r="40" spans="1:7" x14ac:dyDescent="0.3">
      <c r="A40">
        <v>5</v>
      </c>
      <c r="B40">
        <f t="shared" ref="B40:B43" si="13">(20-A40)/20</f>
        <v>0.75</v>
      </c>
      <c r="D40">
        <v>0</v>
      </c>
      <c r="F40">
        <v>0.1</v>
      </c>
      <c r="G40">
        <f t="shared" ref="G40:G49" si="14">MAX(C40,D40)</f>
        <v>0</v>
      </c>
    </row>
    <row r="41" spans="1:7" x14ac:dyDescent="0.3">
      <c r="A41">
        <v>10</v>
      </c>
      <c r="B41">
        <f t="shared" si="13"/>
        <v>0.5</v>
      </c>
      <c r="C41">
        <f>IF(A41&lt;=25,(A41-10)/15,(45-A41)/20)</f>
        <v>0</v>
      </c>
      <c r="D41">
        <v>0</v>
      </c>
      <c r="F41">
        <v>0.2</v>
      </c>
      <c r="G41">
        <f t="shared" si="14"/>
        <v>0</v>
      </c>
    </row>
    <row r="42" spans="1:7" x14ac:dyDescent="0.3">
      <c r="A42">
        <v>15</v>
      </c>
      <c r="B42">
        <f t="shared" si="13"/>
        <v>0.25</v>
      </c>
      <c r="C42" s="2">
        <f t="shared" ref="C42:C48" si="15">IF(A42&lt;=25,(A42-10)/15,(45-A42)/20)</f>
        <v>0.33333333333333331</v>
      </c>
      <c r="D42">
        <v>0</v>
      </c>
      <c r="F42">
        <v>0.3</v>
      </c>
      <c r="G42">
        <f t="shared" si="14"/>
        <v>0.33333333333333331</v>
      </c>
    </row>
    <row r="43" spans="1:7" x14ac:dyDescent="0.3">
      <c r="A43">
        <v>20</v>
      </c>
      <c r="B43">
        <f t="shared" si="13"/>
        <v>0</v>
      </c>
      <c r="C43" s="2">
        <f t="shared" si="15"/>
        <v>0.66666666666666663</v>
      </c>
      <c r="D43">
        <v>0</v>
      </c>
      <c r="F43">
        <v>0.4</v>
      </c>
      <c r="G43">
        <f t="shared" si="14"/>
        <v>0.66666666666666663</v>
      </c>
    </row>
    <row r="44" spans="1:7" x14ac:dyDescent="0.3">
      <c r="A44">
        <v>25</v>
      </c>
      <c r="B44">
        <v>0</v>
      </c>
      <c r="C44" s="2">
        <f t="shared" si="15"/>
        <v>1</v>
      </c>
      <c r="D44">
        <v>0</v>
      </c>
      <c r="F44">
        <v>0.5</v>
      </c>
      <c r="G44">
        <f t="shared" si="14"/>
        <v>1</v>
      </c>
    </row>
    <row r="45" spans="1:7" x14ac:dyDescent="0.3">
      <c r="A45">
        <v>30</v>
      </c>
      <c r="B45">
        <v>0</v>
      </c>
      <c r="C45" s="2">
        <f t="shared" si="15"/>
        <v>0.75</v>
      </c>
      <c r="D45">
        <f>(A45-30)/20</f>
        <v>0</v>
      </c>
      <c r="F45">
        <v>0.6</v>
      </c>
      <c r="G45">
        <f t="shared" si="14"/>
        <v>0.75</v>
      </c>
    </row>
    <row r="46" spans="1:7" x14ac:dyDescent="0.3">
      <c r="A46">
        <v>35</v>
      </c>
      <c r="B46">
        <v>0</v>
      </c>
      <c r="C46" s="2">
        <f t="shared" si="15"/>
        <v>0.5</v>
      </c>
      <c r="D46">
        <f t="shared" ref="D46:D49" si="16">(A46-30)/20</f>
        <v>0.25</v>
      </c>
      <c r="F46">
        <v>0.7</v>
      </c>
      <c r="G46">
        <f t="shared" si="14"/>
        <v>0.5</v>
      </c>
    </row>
    <row r="47" spans="1:7" x14ac:dyDescent="0.3">
      <c r="A47">
        <v>40</v>
      </c>
      <c r="B47">
        <v>0</v>
      </c>
      <c r="C47" s="2">
        <f t="shared" si="15"/>
        <v>0.25</v>
      </c>
      <c r="D47">
        <f t="shared" si="16"/>
        <v>0.5</v>
      </c>
      <c r="F47">
        <v>0.8</v>
      </c>
      <c r="G47">
        <f t="shared" si="14"/>
        <v>0.5</v>
      </c>
    </row>
    <row r="48" spans="1:7" x14ac:dyDescent="0.3">
      <c r="A48">
        <v>45</v>
      </c>
      <c r="B48">
        <v>0</v>
      </c>
      <c r="C48" s="2">
        <f t="shared" si="15"/>
        <v>0</v>
      </c>
      <c r="D48">
        <f t="shared" si="16"/>
        <v>0.75</v>
      </c>
      <c r="F48">
        <v>0.9</v>
      </c>
      <c r="G48">
        <f t="shared" si="14"/>
        <v>0.75</v>
      </c>
    </row>
    <row r="49" spans="1:7" x14ac:dyDescent="0.3">
      <c r="A49">
        <v>50</v>
      </c>
      <c r="B49">
        <v>0</v>
      </c>
      <c r="D49">
        <f t="shared" si="16"/>
        <v>1</v>
      </c>
      <c r="F49">
        <v>1</v>
      </c>
      <c r="G49">
        <f t="shared" si="14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"/>
  <sheetViews>
    <sheetView tabSelected="1" topLeftCell="F1" workbookViewId="0">
      <selection activeCell="T8" sqref="T8"/>
    </sheetView>
  </sheetViews>
  <sheetFormatPr defaultRowHeight="14.4" x14ac:dyDescent="0.3"/>
  <cols>
    <col min="1" max="1" width="15" customWidth="1"/>
    <col min="2" max="2" width="13.6640625" customWidth="1"/>
    <col min="3" max="5" width="16" customWidth="1"/>
    <col min="6" max="6" width="14.6640625" customWidth="1"/>
    <col min="9" max="9" width="16.88671875" customWidth="1"/>
    <col min="19" max="19" width="16.33203125" customWidth="1"/>
    <col min="20" max="20" width="10.33203125" customWidth="1"/>
    <col min="23" max="23" width="32.44140625" customWidth="1"/>
  </cols>
  <sheetData>
    <row r="1" spans="1:23" ht="100.8" x14ac:dyDescent="0.3">
      <c r="A1" s="1" t="str">
        <f>'mu-функции'!A1</f>
        <v>Рост</v>
      </c>
      <c r="B1" s="1" t="str">
        <f>'mu-функции'!B1</f>
        <v>Низкий</v>
      </c>
      <c r="C1" s="1" t="str">
        <f>'mu-функции'!C1</f>
        <v>Средний</v>
      </c>
      <c r="D1" s="1" t="str">
        <f>'mu-функции'!D1</f>
        <v>Высокий</v>
      </c>
      <c r="E1" s="3" t="str">
        <f>'mu-функции'!F1</f>
        <v>Нормализованное значение роста</v>
      </c>
      <c r="G1" s="1" t="str">
        <f>'mu-функции'!A22</f>
        <v>Техника</v>
      </c>
      <c r="H1" s="1" t="str">
        <f>'mu-функции'!B22</f>
        <v>Слабая</v>
      </c>
      <c r="I1" s="1" t="str">
        <f>'mu-функции'!C22</f>
        <v>Уверенная</v>
      </c>
      <c r="J1" s="1" t="str">
        <f>'mu-функции'!D22</f>
        <v>Звезда</v>
      </c>
      <c r="K1" s="3" t="str">
        <f>'mu-функции'!F22</f>
        <v>Нормализованное значение техники</v>
      </c>
      <c r="L1" s="4"/>
      <c r="M1" s="3" t="str">
        <f>'mu-функции'!B38</f>
        <v>Низкая</v>
      </c>
      <c r="N1" s="3" t="str">
        <f>'mu-функции'!C38</f>
        <v>Средняя</v>
      </c>
      <c r="O1" s="3" t="str">
        <f>'mu-функции'!D38</f>
        <v>Высокая</v>
      </c>
      <c r="P1" s="3" t="str">
        <f>'mu-функции'!F38</f>
        <v>Нормализованное значение результативности</v>
      </c>
      <c r="R1" s="3" t="s">
        <v>37</v>
      </c>
      <c r="S1" s="1" t="s">
        <v>13</v>
      </c>
      <c r="T1" s="1" t="s">
        <v>11</v>
      </c>
      <c r="U1" s="1" t="s">
        <v>12</v>
      </c>
      <c r="V1" s="1" t="s">
        <v>14</v>
      </c>
      <c r="W1" s="1" t="s">
        <v>39</v>
      </c>
    </row>
    <row r="2" spans="1:23" x14ac:dyDescent="0.3">
      <c r="A2">
        <f>'mu-функции'!A2</f>
        <v>160</v>
      </c>
      <c r="B2">
        <f>'mu-функции'!B2</f>
        <v>1</v>
      </c>
      <c r="C2">
        <f>'mu-функции'!C2</f>
        <v>0</v>
      </c>
      <c r="D2">
        <f>'mu-функции'!D2</f>
        <v>0</v>
      </c>
      <c r="E2">
        <f>'mu-функции'!F2</f>
        <v>0</v>
      </c>
      <c r="G2">
        <f>'mu-функции'!A23</f>
        <v>0</v>
      </c>
      <c r="H2">
        <f>'mu-функции'!B23</f>
        <v>1</v>
      </c>
      <c r="I2">
        <f>'mu-функции'!C23</f>
        <v>0</v>
      </c>
      <c r="J2">
        <f>'mu-функции'!D23</f>
        <v>0</v>
      </c>
      <c r="K2">
        <f>'mu-функции'!F23</f>
        <v>0</v>
      </c>
      <c r="M2">
        <f>'mu-функции'!B39</f>
        <v>1</v>
      </c>
      <c r="N2">
        <f>'mu-функции'!C39</f>
        <v>0</v>
      </c>
      <c r="O2">
        <f>'mu-функции'!D39</f>
        <v>0</v>
      </c>
      <c r="P2">
        <f>'mu-функции'!F39</f>
        <v>0</v>
      </c>
      <c r="S2">
        <f t="shared" ref="S2:S11" si="0">IF(OR(AND(J2&gt;0,D2&gt;0),
AND(D2&gt;0,I2&gt;0,O2&gt;0)),
MAX(MAX(I2,J2),D2,O2),0)</f>
        <v>0</v>
      </c>
      <c r="T2">
        <f>MAX(V2)</f>
        <v>0</v>
      </c>
      <c r="U2">
        <f>MIN(C2,MIN(MIN(G2,H2),M2,N2))</f>
        <v>0</v>
      </c>
      <c r="W2" t="str">
        <f>IF(OR(S2&gt;U2,T2&gt;U2),"принять","отказать")</f>
        <v>отказать</v>
      </c>
    </row>
    <row r="3" spans="1:23" x14ac:dyDescent="0.3">
      <c r="A3">
        <f>'mu-функции'!A3</f>
        <v>165</v>
      </c>
      <c r="B3">
        <f>'mu-функции'!B3</f>
        <v>0.8</v>
      </c>
      <c r="C3">
        <f>'mu-функции'!C3</f>
        <v>0</v>
      </c>
      <c r="D3">
        <f>'mu-функции'!D3</f>
        <v>0</v>
      </c>
      <c r="E3">
        <f>'mu-функции'!F3</f>
        <v>6.25E-2</v>
      </c>
      <c r="G3">
        <f>'mu-функции'!A24</f>
        <v>10</v>
      </c>
      <c r="H3">
        <f>'mu-функции'!B24</f>
        <v>0.75</v>
      </c>
      <c r="I3">
        <f>'mu-функции'!C24</f>
        <v>0</v>
      </c>
      <c r="J3">
        <f>'mu-функции'!D24</f>
        <v>0</v>
      </c>
      <c r="K3">
        <f>'mu-функции'!F24</f>
        <v>0.1</v>
      </c>
      <c r="M3">
        <f>'mu-функции'!B40</f>
        <v>0.75</v>
      </c>
      <c r="N3">
        <f>'mu-функции'!C40</f>
        <v>0</v>
      </c>
      <c r="O3">
        <f>'mu-функции'!D40</f>
        <v>0</v>
      </c>
      <c r="P3">
        <f>'mu-функции'!F40</f>
        <v>0.1</v>
      </c>
      <c r="S3">
        <f t="shared" si="0"/>
        <v>0</v>
      </c>
      <c r="T3">
        <f t="shared" ref="T3:T12" si="1">MAX(MIN(MAX(C3,D3),MAX(H3,I3)),MIN(N3,O3))</f>
        <v>0</v>
      </c>
      <c r="U3">
        <f t="shared" ref="U3:U12" si="2">MIN(C3,MIN(MIN(G3,H3),M3,N3))</f>
        <v>0</v>
      </c>
      <c r="W3" t="str">
        <f t="shared" ref="W3:W12" si="3">IF(OR(S3&gt;U3,T3&gt;U3),"принять","отказать")</f>
        <v>отказать</v>
      </c>
    </row>
    <row r="4" spans="1:23" x14ac:dyDescent="0.3">
      <c r="A4">
        <f>'mu-функции'!A4</f>
        <v>170</v>
      </c>
      <c r="B4">
        <f>'mu-функции'!B4</f>
        <v>0.6</v>
      </c>
      <c r="C4">
        <f>'mu-функции'!C4</f>
        <v>0</v>
      </c>
      <c r="D4">
        <f>'mu-функции'!D4</f>
        <v>0</v>
      </c>
      <c r="E4">
        <f>'mu-функции'!F4</f>
        <v>0.125</v>
      </c>
      <c r="G4">
        <f>'mu-функции'!A25</f>
        <v>20</v>
      </c>
      <c r="H4">
        <f>'mu-функции'!B25</f>
        <v>0.5</v>
      </c>
      <c r="I4">
        <f>'mu-функции'!C25</f>
        <v>0</v>
      </c>
      <c r="J4">
        <f>'mu-функции'!D25</f>
        <v>0</v>
      </c>
      <c r="K4">
        <f>'mu-функции'!F25</f>
        <v>0.2</v>
      </c>
      <c r="M4">
        <f>'mu-функции'!B41</f>
        <v>0.5</v>
      </c>
      <c r="N4">
        <f>'mu-функции'!C41</f>
        <v>0</v>
      </c>
      <c r="O4">
        <f>'mu-функции'!D41</f>
        <v>0</v>
      </c>
      <c r="P4">
        <f>'mu-функции'!F41</f>
        <v>0.2</v>
      </c>
      <c r="S4">
        <f t="shared" si="0"/>
        <v>0</v>
      </c>
      <c r="T4">
        <f t="shared" si="1"/>
        <v>0</v>
      </c>
      <c r="U4">
        <f t="shared" si="2"/>
        <v>0</v>
      </c>
      <c r="W4" t="str">
        <f>IF(OR(S4&gt;U4,T4&gt;U4),"принять","отказать")</f>
        <v>отказать</v>
      </c>
    </row>
    <row r="5" spans="1:23" x14ac:dyDescent="0.3">
      <c r="A5">
        <f>'mu-функции'!A5</f>
        <v>175</v>
      </c>
      <c r="B5">
        <f>'mu-функции'!B5</f>
        <v>0.4</v>
      </c>
      <c r="C5">
        <f>'mu-функции'!C5</f>
        <v>0.25</v>
      </c>
      <c r="D5">
        <f>'mu-функции'!D5</f>
        <v>0</v>
      </c>
      <c r="E5">
        <f>'mu-функции'!F5</f>
        <v>0.1875</v>
      </c>
      <c r="G5">
        <f>'mu-функции'!A26</f>
        <v>30</v>
      </c>
      <c r="H5">
        <f>'mu-функции'!B26</f>
        <v>0.25</v>
      </c>
      <c r="I5">
        <f>'mu-функции'!C26</f>
        <v>0.33333333333333331</v>
      </c>
      <c r="J5">
        <f>'mu-функции'!D26</f>
        <v>0</v>
      </c>
      <c r="K5">
        <f>'mu-функции'!F26</f>
        <v>0.3</v>
      </c>
      <c r="M5">
        <f>'mu-функции'!B42</f>
        <v>0.25</v>
      </c>
      <c r="N5">
        <f>'mu-функции'!C42</f>
        <v>0.33333333333333331</v>
      </c>
      <c r="O5">
        <f>'mu-функции'!D42</f>
        <v>0</v>
      </c>
      <c r="P5">
        <f>'mu-функции'!F42</f>
        <v>0.3</v>
      </c>
      <c r="S5">
        <f t="shared" si="0"/>
        <v>0</v>
      </c>
      <c r="T5">
        <f>MAX(MIN(MAX(C5,D5),MAX(H5,I5)),MIN(N5,O5))</f>
        <v>0.25</v>
      </c>
      <c r="U5">
        <f>MIN(C5,MIN(MIN(G5,H5),M5,N5))</f>
        <v>0.25</v>
      </c>
      <c r="W5" t="str">
        <f t="shared" si="3"/>
        <v>отказать</v>
      </c>
    </row>
    <row r="6" spans="1:23" x14ac:dyDescent="0.3">
      <c r="A6">
        <f>'mu-функции'!A6</f>
        <v>180</v>
      </c>
      <c r="B6">
        <f>'mu-функции'!B6</f>
        <v>0.19999999999999996</v>
      </c>
      <c r="C6">
        <f>'mu-функции'!C6</f>
        <v>0.5</v>
      </c>
      <c r="D6">
        <f>'mu-функции'!D6</f>
        <v>0</v>
      </c>
      <c r="E6">
        <f>'mu-функции'!F6</f>
        <v>0.25</v>
      </c>
      <c r="G6">
        <f>'mu-функции'!A27</f>
        <v>40</v>
      </c>
      <c r="H6">
        <f>'mu-функции'!B27</f>
        <v>0</v>
      </c>
      <c r="I6">
        <f>'mu-функции'!C27</f>
        <v>0.66666666666666663</v>
      </c>
      <c r="J6">
        <f>'mu-функции'!D27</f>
        <v>0</v>
      </c>
      <c r="K6">
        <f>'mu-функции'!F27</f>
        <v>0.4</v>
      </c>
      <c r="M6">
        <f>'mu-функции'!B43</f>
        <v>0</v>
      </c>
      <c r="N6">
        <f>'mu-функции'!C43</f>
        <v>0.66666666666666663</v>
      </c>
      <c r="O6">
        <f>'mu-функции'!D43</f>
        <v>0</v>
      </c>
      <c r="P6">
        <f>'mu-функции'!F43</f>
        <v>0.4</v>
      </c>
      <c r="S6">
        <f t="shared" si="0"/>
        <v>0</v>
      </c>
      <c r="T6">
        <f>MAX(MIN(MAX(C6,D6),MAX(H6,I6)),MIN(N6,O6))</f>
        <v>0.5</v>
      </c>
      <c r="U6">
        <f t="shared" si="2"/>
        <v>0</v>
      </c>
      <c r="W6" t="str">
        <f t="shared" si="3"/>
        <v>принять</v>
      </c>
    </row>
    <row r="7" spans="1:23" x14ac:dyDescent="0.3">
      <c r="A7">
        <f>'mu-функции'!A7</f>
        <v>185</v>
      </c>
      <c r="B7">
        <f>'mu-функции'!B7</f>
        <v>0</v>
      </c>
      <c r="C7">
        <f>'mu-функции'!C7</f>
        <v>0.75</v>
      </c>
      <c r="D7">
        <f>'mu-функции'!D7</f>
        <v>0</v>
      </c>
      <c r="E7">
        <f>'mu-функции'!F7</f>
        <v>0.3125</v>
      </c>
      <c r="G7">
        <f>'mu-функции'!A28</f>
        <v>50</v>
      </c>
      <c r="H7">
        <f>'mu-функции'!B28</f>
        <v>0</v>
      </c>
      <c r="I7">
        <f>'mu-функции'!C28</f>
        <v>1</v>
      </c>
      <c r="J7">
        <f>'mu-функции'!D28</f>
        <v>0</v>
      </c>
      <c r="K7">
        <f>'mu-функции'!F28</f>
        <v>0.5</v>
      </c>
      <c r="M7">
        <f>'mu-функции'!B44</f>
        <v>0</v>
      </c>
      <c r="N7">
        <f>'mu-функции'!C44</f>
        <v>1</v>
      </c>
      <c r="O7">
        <f>'mu-функции'!D44</f>
        <v>0</v>
      </c>
      <c r="P7">
        <f>'mu-функции'!F44</f>
        <v>0.5</v>
      </c>
      <c r="S7">
        <f t="shared" si="0"/>
        <v>0</v>
      </c>
      <c r="T7">
        <f t="shared" si="1"/>
        <v>0.75</v>
      </c>
      <c r="U7">
        <f t="shared" si="2"/>
        <v>0</v>
      </c>
      <c r="W7" t="str">
        <f t="shared" si="3"/>
        <v>принять</v>
      </c>
    </row>
    <row r="8" spans="1:23" x14ac:dyDescent="0.3">
      <c r="A8">
        <f>'mu-функции'!A8</f>
        <v>190</v>
      </c>
      <c r="B8">
        <f>'mu-функции'!B8</f>
        <v>0</v>
      </c>
      <c r="C8">
        <f>'mu-функции'!C8</f>
        <v>1</v>
      </c>
      <c r="D8">
        <f>'mu-функции'!D8</f>
        <v>0</v>
      </c>
      <c r="E8">
        <f>'mu-функции'!F8</f>
        <v>0.375</v>
      </c>
      <c r="G8">
        <f>'mu-функции'!A29</f>
        <v>60</v>
      </c>
      <c r="H8">
        <f>'mu-функции'!B29</f>
        <v>0</v>
      </c>
      <c r="I8">
        <f>'mu-функции'!C29</f>
        <v>0.66666666666666663</v>
      </c>
      <c r="J8">
        <f>'mu-функции'!D29</f>
        <v>0</v>
      </c>
      <c r="K8">
        <f>'mu-функции'!F29</f>
        <v>0.6</v>
      </c>
      <c r="M8">
        <f>'mu-функции'!B45</f>
        <v>0</v>
      </c>
      <c r="N8">
        <f>'mu-функции'!C45</f>
        <v>0.75</v>
      </c>
      <c r="O8">
        <f>'mu-функции'!D45</f>
        <v>0</v>
      </c>
      <c r="P8">
        <f>'mu-функции'!F45</f>
        <v>0.6</v>
      </c>
      <c r="S8">
        <f t="shared" si="0"/>
        <v>0</v>
      </c>
      <c r="T8">
        <f t="shared" si="1"/>
        <v>0.66666666666666663</v>
      </c>
      <c r="U8">
        <f t="shared" si="2"/>
        <v>0</v>
      </c>
      <c r="W8" t="str">
        <f t="shared" si="3"/>
        <v>принять</v>
      </c>
    </row>
    <row r="9" spans="1:23" x14ac:dyDescent="0.3">
      <c r="A9">
        <f>'mu-функции'!A9</f>
        <v>195</v>
      </c>
      <c r="B9">
        <f>'mu-функции'!B9</f>
        <v>0</v>
      </c>
      <c r="C9">
        <f>'mu-функции'!C9</f>
        <v>0.66666666666666663</v>
      </c>
      <c r="D9">
        <f>'mu-функции'!D9</f>
        <v>0.1</v>
      </c>
      <c r="E9">
        <f>'mu-функции'!F9</f>
        <v>0.4375</v>
      </c>
      <c r="G9">
        <f>'mu-функции'!A30</f>
        <v>70</v>
      </c>
      <c r="H9">
        <f>'mu-функции'!B30</f>
        <v>0</v>
      </c>
      <c r="I9">
        <f>'mu-функции'!C30</f>
        <v>0.33333333333333331</v>
      </c>
      <c r="J9">
        <f>'mu-функции'!D30</f>
        <v>0</v>
      </c>
      <c r="K9">
        <f>'mu-функции'!F30</f>
        <v>0.7</v>
      </c>
      <c r="M9">
        <f>'mu-функции'!B46</f>
        <v>0</v>
      </c>
      <c r="N9">
        <f>'mu-функции'!C46</f>
        <v>0.5</v>
      </c>
      <c r="O9">
        <f>'mu-функции'!D46</f>
        <v>0.25</v>
      </c>
      <c r="P9">
        <f>'mu-функции'!F46</f>
        <v>0.7</v>
      </c>
      <c r="S9">
        <f t="shared" si="0"/>
        <v>0.33333333333333331</v>
      </c>
      <c r="T9">
        <f t="shared" si="1"/>
        <v>0.33333333333333331</v>
      </c>
      <c r="U9">
        <f t="shared" si="2"/>
        <v>0</v>
      </c>
      <c r="W9" t="str">
        <f t="shared" si="3"/>
        <v>принять</v>
      </c>
    </row>
    <row r="10" spans="1:23" x14ac:dyDescent="0.3">
      <c r="A10">
        <f>'mu-функции'!A10</f>
        <v>200</v>
      </c>
      <c r="B10">
        <f>'mu-функции'!B10</f>
        <v>0</v>
      </c>
      <c r="C10">
        <f>'mu-функции'!C10</f>
        <v>0.33333333333333331</v>
      </c>
      <c r="D10">
        <f>'mu-функции'!D10</f>
        <v>0.2</v>
      </c>
      <c r="E10">
        <f>'mu-функции'!F10</f>
        <v>0.5</v>
      </c>
      <c r="G10">
        <f>'mu-функции'!A31</f>
        <v>80</v>
      </c>
      <c r="H10">
        <f>'mu-функции'!B31</f>
        <v>0</v>
      </c>
      <c r="I10">
        <f>'mu-функции'!C31</f>
        <v>0</v>
      </c>
      <c r="J10">
        <f>'mu-функции'!D31</f>
        <v>0.33333333333333331</v>
      </c>
      <c r="K10">
        <f>'mu-функции'!F31</f>
        <v>0.8</v>
      </c>
      <c r="M10">
        <f>'mu-функции'!B47</f>
        <v>0</v>
      </c>
      <c r="N10">
        <f>'mu-функции'!C47</f>
        <v>0.25</v>
      </c>
      <c r="O10">
        <f>'mu-функции'!D47</f>
        <v>0.5</v>
      </c>
      <c r="P10">
        <f>'mu-функции'!F47</f>
        <v>0.8</v>
      </c>
      <c r="S10">
        <f t="shared" si="0"/>
        <v>0.5</v>
      </c>
      <c r="T10">
        <f t="shared" si="1"/>
        <v>0.25</v>
      </c>
      <c r="U10">
        <f t="shared" si="2"/>
        <v>0</v>
      </c>
      <c r="W10" t="str">
        <f t="shared" si="3"/>
        <v>принять</v>
      </c>
    </row>
    <row r="11" spans="1:23" x14ac:dyDescent="0.3">
      <c r="A11">
        <f>'mu-функции'!A11</f>
        <v>205</v>
      </c>
      <c r="B11">
        <f>'mu-функции'!B11</f>
        <v>0</v>
      </c>
      <c r="C11">
        <f>'mu-функции'!C11</f>
        <v>0</v>
      </c>
      <c r="D11">
        <f>'mu-функции'!D11</f>
        <v>0.3</v>
      </c>
      <c r="E11">
        <f>'mu-функции'!F11</f>
        <v>0.5625</v>
      </c>
      <c r="G11">
        <f>'mu-функции'!A32</f>
        <v>90</v>
      </c>
      <c r="H11">
        <f>'mu-функции'!B32</f>
        <v>0</v>
      </c>
      <c r="I11">
        <f>'mu-функции'!C32</f>
        <v>0</v>
      </c>
      <c r="J11">
        <f>'mu-функции'!D32</f>
        <v>0.66666666666666663</v>
      </c>
      <c r="K11">
        <f>'mu-функции'!F32</f>
        <v>0.9</v>
      </c>
      <c r="M11">
        <f>'mu-функции'!B48</f>
        <v>0</v>
      </c>
      <c r="N11">
        <f>'mu-функции'!C48</f>
        <v>0</v>
      </c>
      <c r="O11">
        <f>'mu-функции'!D48</f>
        <v>0.75</v>
      </c>
      <c r="P11">
        <f>'mu-функции'!F48</f>
        <v>0.9</v>
      </c>
      <c r="S11">
        <f t="shared" si="0"/>
        <v>0.75</v>
      </c>
      <c r="T11">
        <f t="shared" si="1"/>
        <v>0</v>
      </c>
      <c r="U11">
        <f t="shared" si="2"/>
        <v>0</v>
      </c>
      <c r="W11" t="str">
        <f t="shared" si="3"/>
        <v>принять</v>
      </c>
    </row>
    <row r="12" spans="1:23" x14ac:dyDescent="0.3">
      <c r="A12">
        <f>'mu-функции'!A12</f>
        <v>210</v>
      </c>
      <c r="B12">
        <f>'mu-функции'!B12</f>
        <v>0</v>
      </c>
      <c r="C12">
        <f>'mu-функции'!C12</f>
        <v>0</v>
      </c>
      <c r="D12">
        <f>'mu-функции'!D12</f>
        <v>0.4</v>
      </c>
      <c r="E12">
        <f>'mu-функции'!F12</f>
        <v>0.625</v>
      </c>
      <c r="G12">
        <f>'mu-функции'!A33</f>
        <v>100</v>
      </c>
      <c r="H12">
        <f>'mu-функции'!B33</f>
        <v>0</v>
      </c>
      <c r="I12">
        <f>'mu-функции'!C33</f>
        <v>0</v>
      </c>
      <c r="J12">
        <f>'mu-функции'!D33</f>
        <v>1</v>
      </c>
      <c r="K12">
        <f>'mu-функции'!F33</f>
        <v>1</v>
      </c>
      <c r="M12">
        <f>'mu-функции'!B49</f>
        <v>0</v>
      </c>
      <c r="N12">
        <f>'mu-функции'!C49</f>
        <v>0</v>
      </c>
      <c r="O12">
        <f>'mu-функции'!D49</f>
        <v>1</v>
      </c>
      <c r="P12">
        <f>'mu-функции'!F49</f>
        <v>1</v>
      </c>
      <c r="S12">
        <f>IF(OR(AND(J12&gt;0,D12&gt;0),
AND(D12&gt;0,I12&gt;0,O12&gt;0)),
MAX(MAX(I12,J12),D12,O12),0)</f>
        <v>1</v>
      </c>
      <c r="T12">
        <f t="shared" si="1"/>
        <v>0</v>
      </c>
      <c r="U12">
        <f t="shared" si="2"/>
        <v>0</v>
      </c>
      <c r="W12" t="str">
        <f>IF(OR(S12&gt;U12,T12&gt;U12),"принять","отказать")</f>
        <v>принять</v>
      </c>
    </row>
    <row r="13" spans="1:23" x14ac:dyDescent="0.3">
      <c r="A13">
        <f>'mu-функции'!A13</f>
        <v>215</v>
      </c>
      <c r="B13">
        <f>'mu-функции'!B13</f>
        <v>0</v>
      </c>
      <c r="C13">
        <f>'mu-функции'!C13</f>
        <v>0</v>
      </c>
      <c r="D13">
        <f>'mu-функции'!D13</f>
        <v>0.5</v>
      </c>
      <c r="E13">
        <f>'mu-функции'!F13</f>
        <v>0.6875</v>
      </c>
    </row>
    <row r="14" spans="1:23" x14ac:dyDescent="0.3">
      <c r="A14">
        <f>'mu-функции'!A14</f>
        <v>220</v>
      </c>
      <c r="B14">
        <f>'mu-функции'!B14</f>
        <v>0</v>
      </c>
      <c r="C14">
        <f>'mu-функции'!C14</f>
        <v>0</v>
      </c>
      <c r="D14">
        <f>'mu-функции'!D14</f>
        <v>0.6</v>
      </c>
      <c r="E14">
        <f>'mu-функции'!F14</f>
        <v>0.75</v>
      </c>
    </row>
    <row r="15" spans="1:23" x14ac:dyDescent="0.3">
      <c r="A15">
        <f>'mu-функции'!A15</f>
        <v>225</v>
      </c>
      <c r="B15">
        <f>'mu-функции'!B15</f>
        <v>0</v>
      </c>
      <c r="C15">
        <f>'mu-функции'!C15</f>
        <v>0</v>
      </c>
      <c r="D15">
        <f>'mu-функции'!D15</f>
        <v>0.7</v>
      </c>
      <c r="E15">
        <f>'mu-функции'!F15</f>
        <v>0.8125</v>
      </c>
    </row>
    <row r="16" spans="1:23" x14ac:dyDescent="0.3">
      <c r="A16">
        <f>'mu-функции'!A16</f>
        <v>230</v>
      </c>
      <c r="B16">
        <f>'mu-функции'!B16</f>
        <v>0</v>
      </c>
      <c r="C16">
        <f>'mu-функции'!C16</f>
        <v>0</v>
      </c>
      <c r="D16">
        <f>'mu-функции'!D16</f>
        <v>0.8</v>
      </c>
      <c r="E16">
        <f>'mu-функции'!F16</f>
        <v>0.875</v>
      </c>
    </row>
    <row r="17" spans="1:5" x14ac:dyDescent="0.3">
      <c r="A17">
        <f>'mu-функции'!A17</f>
        <v>235</v>
      </c>
      <c r="B17">
        <f>'mu-функции'!B17</f>
        <v>0</v>
      </c>
      <c r="C17">
        <f>'mu-функции'!C17</f>
        <v>0</v>
      </c>
      <c r="D17">
        <f>'mu-функции'!D17</f>
        <v>0.9</v>
      </c>
      <c r="E17">
        <f>'mu-функции'!F17</f>
        <v>0.9375</v>
      </c>
    </row>
    <row r="18" spans="1:5" x14ac:dyDescent="0.3">
      <c r="A18">
        <f>'mu-функции'!A18</f>
        <v>240</v>
      </c>
      <c r="B18">
        <f>'mu-функции'!B18</f>
        <v>0</v>
      </c>
      <c r="C18">
        <f>'mu-функции'!C18</f>
        <v>0</v>
      </c>
      <c r="D18">
        <f>'mu-функции'!D18</f>
        <v>0.98</v>
      </c>
      <c r="E18">
        <f>'mu-функции'!F18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selection activeCell="D6" sqref="D6"/>
    </sheetView>
  </sheetViews>
  <sheetFormatPr defaultRowHeight="14.4" x14ac:dyDescent="0.3"/>
  <cols>
    <col min="1" max="1" width="16.33203125" customWidth="1"/>
    <col min="2" max="2" width="17" customWidth="1"/>
    <col min="3" max="3" width="14.88671875" customWidth="1"/>
    <col min="4" max="4" width="19.5546875" customWidth="1"/>
    <col min="5" max="5" width="33.44140625" customWidth="1"/>
    <col min="6" max="6" width="28" customWidth="1"/>
    <col min="7" max="7" width="31" customWidth="1"/>
    <col min="8" max="8" width="29" customWidth="1"/>
    <col min="9" max="9" width="23" customWidth="1"/>
  </cols>
  <sheetData>
    <row r="1" spans="1:8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28</v>
      </c>
      <c r="F1" s="1" t="s">
        <v>25</v>
      </c>
      <c r="G1" s="1" t="s">
        <v>26</v>
      </c>
      <c r="H1" s="1" t="s">
        <v>27</v>
      </c>
    </row>
    <row r="2" spans="1:8" x14ac:dyDescent="0.3">
      <c r="A2" t="s">
        <v>19</v>
      </c>
      <c r="B2">
        <v>165</v>
      </c>
      <c r="C2">
        <v>20</v>
      </c>
      <c r="D2">
        <v>10</v>
      </c>
      <c r="E2" t="s">
        <v>14</v>
      </c>
      <c r="F2" t="s">
        <v>6</v>
      </c>
      <c r="G2" t="s">
        <v>9</v>
      </c>
      <c r="H2" t="s">
        <v>12</v>
      </c>
    </row>
    <row r="3" spans="1:8" x14ac:dyDescent="0.3">
      <c r="A3" t="s">
        <v>20</v>
      </c>
      <c r="B3">
        <v>180</v>
      </c>
      <c r="C3">
        <v>50</v>
      </c>
      <c r="D3">
        <v>50</v>
      </c>
      <c r="E3" t="s">
        <v>11</v>
      </c>
      <c r="F3" t="s">
        <v>6</v>
      </c>
      <c r="G3" t="s">
        <v>8</v>
      </c>
      <c r="H3" t="s">
        <v>10</v>
      </c>
    </row>
    <row r="4" spans="1:8" x14ac:dyDescent="0.3">
      <c r="A4" t="s">
        <v>21</v>
      </c>
      <c r="B4">
        <v>200</v>
      </c>
      <c r="C4">
        <v>80</v>
      </c>
      <c r="D4">
        <v>25</v>
      </c>
      <c r="E4" t="s">
        <v>11</v>
      </c>
      <c r="F4" t="s">
        <v>5</v>
      </c>
      <c r="G4" t="s">
        <v>7</v>
      </c>
      <c r="H4" t="s">
        <v>11</v>
      </c>
    </row>
    <row r="5" spans="1:8" x14ac:dyDescent="0.3">
      <c r="A5" t="s">
        <v>22</v>
      </c>
      <c r="B5">
        <v>160</v>
      </c>
      <c r="C5">
        <v>80</v>
      </c>
      <c r="D5">
        <v>45</v>
      </c>
      <c r="E5" t="s">
        <v>13</v>
      </c>
      <c r="F5" t="s">
        <v>6</v>
      </c>
      <c r="G5" t="s">
        <v>7</v>
      </c>
      <c r="H5" t="s">
        <v>10</v>
      </c>
    </row>
    <row r="6" spans="1:8" x14ac:dyDescent="0.3">
      <c r="A6" t="s">
        <v>23</v>
      </c>
      <c r="B6">
        <v>245</v>
      </c>
      <c r="C6">
        <v>10</v>
      </c>
      <c r="D6">
        <v>35</v>
      </c>
      <c r="E6" t="s">
        <v>12</v>
      </c>
      <c r="F6" t="s">
        <v>4</v>
      </c>
      <c r="G6" t="s">
        <v>9</v>
      </c>
      <c r="H6" t="s">
        <v>11</v>
      </c>
    </row>
    <row r="7" spans="1:8" x14ac:dyDescent="0.3">
      <c r="A7" t="s">
        <v>24</v>
      </c>
      <c r="B7">
        <v>250</v>
      </c>
      <c r="C7">
        <v>90</v>
      </c>
      <c r="D7">
        <v>45</v>
      </c>
      <c r="E7" t="s">
        <v>13</v>
      </c>
      <c r="F7" t="s">
        <v>4</v>
      </c>
      <c r="G7" t="s">
        <v>7</v>
      </c>
      <c r="H7" t="s">
        <v>10</v>
      </c>
    </row>
    <row r="31" spans="1:1" x14ac:dyDescent="0.3">
      <c r="A31" s="1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D6" sqref="D6"/>
    </sheetView>
  </sheetViews>
  <sheetFormatPr defaultRowHeight="14.4" x14ac:dyDescent="0.3"/>
  <cols>
    <col min="2" max="2" width="11.6640625" customWidth="1"/>
    <col min="3" max="3" width="16.5546875" customWidth="1"/>
  </cols>
  <sheetData>
    <row r="1" spans="1:4" x14ac:dyDescent="0.3">
      <c r="A1" t="s">
        <v>0</v>
      </c>
      <c r="B1" t="s">
        <v>31</v>
      </c>
      <c r="C1" t="s">
        <v>30</v>
      </c>
    </row>
    <row r="2" spans="1:4" x14ac:dyDescent="0.3">
      <c r="A2">
        <v>160</v>
      </c>
      <c r="B2">
        <v>1</v>
      </c>
      <c r="C2">
        <v>1</v>
      </c>
    </row>
    <row r="3" spans="1:4" x14ac:dyDescent="0.3">
      <c r="A3">
        <v>165</v>
      </c>
      <c r="B3">
        <v>0.8</v>
      </c>
      <c r="C3">
        <v>0.8</v>
      </c>
    </row>
    <row r="4" spans="1:4" x14ac:dyDescent="0.3">
      <c r="A4">
        <v>170</v>
      </c>
      <c r="B4">
        <v>0.6</v>
      </c>
      <c r="C4">
        <v>0.6</v>
      </c>
    </row>
    <row r="5" spans="1:4" x14ac:dyDescent="0.3">
      <c r="A5">
        <v>175</v>
      </c>
      <c r="B5">
        <v>0.4</v>
      </c>
      <c r="C5">
        <v>0.5</v>
      </c>
    </row>
    <row r="6" spans="1:4" x14ac:dyDescent="0.3">
      <c r="A6">
        <v>180</v>
      </c>
      <c r="B6">
        <v>0.19999999999999996</v>
      </c>
      <c r="C6">
        <v>0</v>
      </c>
      <c r="D6">
        <v>0.8</v>
      </c>
    </row>
    <row r="7" spans="1:4" x14ac:dyDescent="0.3">
      <c r="A7">
        <v>185</v>
      </c>
      <c r="B7">
        <v>0</v>
      </c>
      <c r="C7">
        <v>0</v>
      </c>
    </row>
    <row r="8" spans="1:4" x14ac:dyDescent="0.3">
      <c r="A8">
        <v>190</v>
      </c>
      <c r="B8">
        <v>0</v>
      </c>
      <c r="C8">
        <v>0</v>
      </c>
    </row>
    <row r="9" spans="1:4" x14ac:dyDescent="0.3">
      <c r="A9">
        <v>195</v>
      </c>
      <c r="B9">
        <v>0</v>
      </c>
      <c r="C9">
        <v>0</v>
      </c>
    </row>
    <row r="10" spans="1:4" x14ac:dyDescent="0.3">
      <c r="A10">
        <v>200</v>
      </c>
      <c r="B10">
        <v>0</v>
      </c>
      <c r="C10">
        <v>0</v>
      </c>
    </row>
    <row r="11" spans="1:4" x14ac:dyDescent="0.3">
      <c r="A11">
        <v>205</v>
      </c>
      <c r="B11">
        <v>0</v>
      </c>
      <c r="C11">
        <v>0</v>
      </c>
    </row>
    <row r="12" spans="1:4" x14ac:dyDescent="0.3">
      <c r="A12">
        <v>210</v>
      </c>
      <c r="B12">
        <v>0</v>
      </c>
      <c r="C12">
        <v>0</v>
      </c>
    </row>
    <row r="13" spans="1:4" x14ac:dyDescent="0.3">
      <c r="A13">
        <v>215</v>
      </c>
      <c r="B13">
        <v>0</v>
      </c>
      <c r="C13">
        <v>0</v>
      </c>
    </row>
    <row r="14" spans="1:4" x14ac:dyDescent="0.3">
      <c r="A14">
        <v>220</v>
      </c>
      <c r="B14">
        <v>0</v>
      </c>
      <c r="C14">
        <v>0</v>
      </c>
    </row>
    <row r="15" spans="1:4" x14ac:dyDescent="0.3">
      <c r="A15">
        <v>225</v>
      </c>
      <c r="B15">
        <v>0</v>
      </c>
      <c r="C15">
        <v>0</v>
      </c>
    </row>
    <row r="16" spans="1:4" x14ac:dyDescent="0.3">
      <c r="A16">
        <v>230</v>
      </c>
      <c r="B16">
        <v>0</v>
      </c>
      <c r="C16">
        <v>0</v>
      </c>
    </row>
    <row r="17" spans="1:3" x14ac:dyDescent="0.3">
      <c r="A17">
        <v>235</v>
      </c>
      <c r="B17">
        <v>0</v>
      </c>
      <c r="C17">
        <v>0</v>
      </c>
    </row>
    <row r="18" spans="1:3" x14ac:dyDescent="0.3">
      <c r="A18">
        <v>240</v>
      </c>
      <c r="B18">
        <v>0</v>
      </c>
      <c r="C1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БазовыеПравила</vt:lpstr>
      <vt:lpstr>mu-функции</vt:lpstr>
      <vt:lpstr>ОтборИгрока2</vt:lpstr>
      <vt:lpstr>Расчет кандидатовВ1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 IAMCP</dc:creator>
  <cp:lastModifiedBy>Danil Dintsis</cp:lastModifiedBy>
  <dcterms:created xsi:type="dcterms:W3CDTF">2015-06-05T18:17:20Z</dcterms:created>
  <dcterms:modified xsi:type="dcterms:W3CDTF">2021-12-10T13:52:02Z</dcterms:modified>
</cp:coreProperties>
</file>