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03e102d659b3c6/Документы/1специалист/1СПЕЦ_WORK/Статистика/mod3_statistics/раздача_мод3_статистика/"/>
    </mc:Choice>
  </mc:AlternateContent>
  <xr:revisionPtr revIDLastSave="20" documentId="13_ncr:1_{78DEBB1C-011B-4539-9E5D-C884DE1FAD31}" xr6:coauthVersionLast="47" xr6:coauthVersionMax="47" xr10:uidLastSave="{EB658568-C425-48D7-8760-280A3B6F7578}"/>
  <bookViews>
    <workbookView xWindow="-108" yWindow="-108" windowWidth="23256" windowHeight="12456" xr2:uid="{375D0EDC-05ED-4553-BCB3-FC28D25DAB69}"/>
  </bookViews>
  <sheets>
    <sheet name="Линейная корреляция" sheetId="13" r:id="rId1"/>
    <sheet name="Линейная корреляция р" sheetId="22" r:id="rId2"/>
    <sheet name="Автокорреляция 2" sheetId="23" r:id="rId3"/>
    <sheet name="Автокорреляция 2 р" sheetId="24" r:id="rId4"/>
    <sheet name="Регрессия" sheetId="20" r:id="rId5"/>
    <sheet name="Регрессия р" sheetId="2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4" l="1"/>
  <c r="F2" i="24"/>
  <c r="G2" i="24"/>
  <c r="H2" i="24"/>
  <c r="F3" i="24"/>
  <c r="G3" i="24"/>
  <c r="H3" i="24"/>
  <c r="I3" i="24"/>
  <c r="J3" i="24"/>
  <c r="K3" i="24"/>
  <c r="L3" i="24"/>
  <c r="M3" i="24"/>
  <c r="N3" i="24"/>
  <c r="D2" i="24"/>
  <c r="I2" i="24"/>
  <c r="V2" i="24"/>
  <c r="J2" i="24"/>
  <c r="K2" i="24"/>
  <c r="L2" i="24"/>
  <c r="M2" i="24"/>
  <c r="N2" i="24"/>
  <c r="O2" i="24"/>
  <c r="P2" i="24"/>
  <c r="Q2" i="24"/>
  <c r="R2" i="24"/>
  <c r="S2" i="24"/>
  <c r="T2" i="24"/>
  <c r="U2" i="24"/>
  <c r="B18" i="22"/>
  <c r="C16" i="22"/>
  <c r="F3" i="22" s="1"/>
  <c r="D15" i="22"/>
  <c r="D14" i="22"/>
  <c r="D4" i="22"/>
  <c r="D5" i="22"/>
  <c r="D6" i="22"/>
  <c r="D7" i="22"/>
  <c r="D8" i="22"/>
  <c r="D9" i="22"/>
  <c r="D10" i="22"/>
  <c r="D11" i="22"/>
  <c r="D12" i="22"/>
  <c r="D13" i="22"/>
  <c r="D3" i="22"/>
  <c r="B16" i="22"/>
  <c r="C15" i="22"/>
  <c r="B15" i="22"/>
  <c r="D34" i="21"/>
  <c r="F13" i="22" l="1"/>
  <c r="F11" i="22"/>
  <c r="F9" i="22"/>
  <c r="F8" i="22"/>
  <c r="F6" i="22"/>
  <c r="F5" i="22"/>
  <c r="E14" i="22"/>
  <c r="F4" i="22"/>
  <c r="F14" i="22"/>
  <c r="F12" i="22"/>
  <c r="F10" i="22"/>
  <c r="F7" i="22"/>
  <c r="E5" i="22"/>
  <c r="E10" i="22"/>
  <c r="E8" i="22"/>
  <c r="E4" i="22"/>
  <c r="E11" i="22"/>
  <c r="E7" i="22"/>
  <c r="E3" i="22"/>
  <c r="E13" i="22"/>
  <c r="E12" i="22"/>
  <c r="E9" i="22"/>
  <c r="E6" i="22"/>
  <c r="E27" i="21"/>
  <c r="F15" i="22" l="1"/>
  <c r="E15" i="22"/>
  <c r="C17" i="22" s="1"/>
  <c r="V3" i="24"/>
  <c r="U3" i="24"/>
  <c r="T3" i="24"/>
  <c r="S3" i="24"/>
  <c r="R3" i="24"/>
  <c r="Q3" i="24"/>
  <c r="P3" i="24"/>
  <c r="O3" i="24"/>
  <c r="E3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0" i="21" l="1"/>
  <c r="B17" i="22" l="1"/>
  <c r="B19" i="22" l="1"/>
  <c r="C60" i="21"/>
  <c r="C58" i="21"/>
  <c r="C62" i="21" s="1"/>
  <c r="D55" i="21"/>
  <c r="C52" i="21"/>
  <c r="C51" i="21"/>
  <c r="E50" i="21"/>
  <c r="E49" i="21"/>
  <c r="D49" i="21"/>
  <c r="E48" i="21"/>
  <c r="D48" i="21"/>
  <c r="E47" i="21"/>
  <c r="D47" i="21"/>
  <c r="E46" i="21"/>
  <c r="D46" i="21"/>
  <c r="E45" i="21"/>
  <c r="D45" i="21"/>
  <c r="E44" i="21"/>
  <c r="D44" i="21"/>
  <c r="E43" i="21"/>
  <c r="D43" i="21"/>
  <c r="E42" i="21"/>
  <c r="D42" i="21"/>
  <c r="E41" i="21"/>
  <c r="D41" i="21"/>
  <c r="E40" i="21"/>
  <c r="D51" i="21"/>
  <c r="E39" i="21"/>
  <c r="E51" i="21" s="1"/>
  <c r="C64" i="21" s="1"/>
</calcChain>
</file>

<file path=xl/sharedStrings.xml><?xml version="1.0" encoding="utf-8"?>
<sst xmlns="http://schemas.openxmlformats.org/spreadsheetml/2006/main" count="129" uniqueCount="87">
  <si>
    <t>Среднее</t>
  </si>
  <si>
    <t>Месяц</t>
  </si>
  <si>
    <t>=</t>
  </si>
  <si>
    <t>Сумма</t>
  </si>
  <si>
    <t>Итого</t>
  </si>
  <si>
    <t>Величина внешнеторгового оборота и таможенных платежей</t>
  </si>
  <si>
    <t>Оборот
млрд. $ (x)</t>
  </si>
  <si>
    <t>Платежи.
млрд. руб. (y)</t>
  </si>
  <si>
    <t>r</t>
  </si>
  <si>
    <r>
      <t>t</t>
    </r>
    <r>
      <rPr>
        <b/>
        <sz val="10"/>
        <color rgb="FF0070C0"/>
        <rFont val="Calibri"/>
        <family val="2"/>
        <charset val="204"/>
        <scheme val="minor"/>
      </rPr>
      <t>расч</t>
    </r>
  </si>
  <si>
    <r>
      <t>σ</t>
    </r>
    <r>
      <rPr>
        <b/>
        <sz val="11"/>
        <color rgb="FF0070C0"/>
        <rFont val="Calibri"/>
        <family val="2"/>
        <charset val="204"/>
        <scheme val="minor"/>
      </rPr>
      <t>r</t>
    </r>
  </si>
  <si>
    <t>=КОРРЕЛ(B3:B14;C3:C14)</t>
  </si>
  <si>
    <t>=B17/B18</t>
  </si>
  <si>
    <r>
      <t>t</t>
    </r>
    <r>
      <rPr>
        <sz val="11"/>
        <color rgb="FF0070C0"/>
        <rFont val="Calibri"/>
        <family val="2"/>
        <charset val="204"/>
        <scheme val="minor"/>
      </rPr>
      <t xml:space="preserve">табл = </t>
    </r>
  </si>
  <si>
    <t>Неделя</t>
  </si>
  <si>
    <t>Температура воздуха (x)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</si>
  <si>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</si>
  <si>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</si>
  <si>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</si>
  <si>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</si>
  <si>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</si>
  <si>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</si>
  <si>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</si>
  <si>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</si>
  <si>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</si>
  <si>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</si>
  <si>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df</t>
  </si>
  <si>
    <t>SS</t>
  </si>
  <si>
    <t>MS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</si>
  <si>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</si>
  <si>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</si>
  <si>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</si>
  <si>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</si>
  <si>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</si>
  <si>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</si>
  <si>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Переменная X 1</t>
  </si>
  <si>
    <t>ВЫВОД ОСТАТКА</t>
  </si>
  <si>
    <t>Наблюдение</t>
  </si>
  <si>
    <t>Предсказанное Y</t>
  </si>
  <si>
    <t>Остатки</t>
  </si>
  <si>
    <t xml:space="preserve">1) Данные - анализ данных - регрессия - входные интервалы - выходной интервал - остатки </t>
  </si>
  <si>
    <r>
      <t>Y-пересечение - коэф. a</t>
    </r>
    <r>
      <rPr>
        <sz val="6"/>
        <color theme="1"/>
        <rFont val="Calibri"/>
        <family val="2"/>
        <charset val="204"/>
        <scheme val="minor"/>
      </rPr>
      <t>0</t>
    </r>
  </si>
  <si>
    <t>Коэффициенты a0, a1
линейного ур-я регрессии</t>
  </si>
  <si>
    <t>Y=10.517+1.02x</t>
  </si>
  <si>
    <t>уравнение регрессии</t>
  </si>
  <si>
    <t>2) Напишем уравнение регрессии</t>
  </si>
  <si>
    <t>разница предсказания (модели) и факта</t>
  </si>
  <si>
    <t>3) Посмотрим на остатки, их сумму и среднее, выведем график остатков</t>
  </si>
  <si>
    <t>4) Посчитаем поворотные точки</t>
  </si>
  <si>
    <t>=ЕСЛИ(ИЛИ(И(C40&gt;C39;C40&gt;C41);И(C40&lt;C39;C40&lt;C41));1;0)</t>
  </si>
  <si>
    <t>свойство случайности остатков выполняется</t>
  </si>
  <si>
    <t>F (критерий
Фишера)</t>
  </si>
  <si>
    <t>характеристики дисперсии остатков</t>
  </si>
  <si>
    <t>5) Сравним со значением Pкрит</t>
  </si>
  <si>
    <t>Se=</t>
  </si>
  <si>
    <t>=ABS(C52)/C58*КОРЕНЬ(12)</t>
  </si>
  <si>
    <t>=СТАНДОТКЛОН.В(C39:C50)</t>
  </si>
  <si>
    <t xml:space="preserve">7) RS - критерий     𝑅/𝑆 = (𝑒𝑚𝑎𝑥 − 𝑒𝑚𝑖𝑛 )/S𝑒 </t>
  </si>
  <si>
    <t>6) Проверим на равенство нулю матожидания остатков, предварительно посчитав стандартное отклонение - tтабл=2.2 Стьюдент</t>
  </si>
  <si>
    <t>=(МАКС(C39:C50)-МИН(C39:C50))/C58</t>
  </si>
  <si>
    <t>2.80&lt;3.241&lt;3.91</t>
  </si>
  <si>
    <t>попадает в табличное RS</t>
  </si>
  <si>
    <t>значит наши остатки подчиняются нормальному распределению</t>
  </si>
  <si>
    <t xml:space="preserve">𝑅/𝑆 = (𝑒𝑚𝑎𝑥 − 𝑒𝑚𝑖𝑛 )/S𝑒 </t>
  </si>
  <si>
    <t>8) Проверка значимости уравнения регрессии с помощью критерия Стьюдента - t-статистика. a0=2.73=const (не привязано к х), поэтому смотрим на a1=6.216. Табличное значение=2.23</t>
  </si>
  <si>
    <t>tтаб=2.23</t>
  </si>
  <si>
    <t>80% наших данных могут быть описаны этой моделью</t>
  </si>
  <si>
    <t>9) R-квадрат - 80% наших данных могут быть описаны этой моделью</t>
  </si>
  <si>
    <t>10) Критерий Фишера - сравниваем с табличным = 4.96</t>
  </si>
  <si>
    <t>11) В совокупности R-квадрат и критерий Фишера дают понимание о качестве модели</t>
  </si>
  <si>
    <t>Значимость F (мера уверенности - не должно быть &gt;0.05)</t>
  </si>
  <si>
    <t>12) Если значимости F и P меньше заданного нами 0.05 - можем не смотреть в таблицы</t>
  </si>
  <si>
    <t>E</t>
  </si>
  <si>
    <t>=E51/12</t>
  </si>
  <si>
    <t>выводить в А15</t>
  </si>
  <si>
    <t>число степеней свободы ν=n–2</t>
  </si>
  <si>
    <t>число степеней свободы ν=n–2=10</t>
  </si>
  <si>
    <t>Точки поворота</t>
  </si>
  <si>
    <t>Коэффициент корреляции</t>
  </si>
  <si>
    <r>
      <t>t</t>
    </r>
    <r>
      <rPr>
        <sz val="8"/>
        <color theme="1"/>
        <rFont val="Calibri"/>
        <family val="2"/>
        <charset val="204"/>
        <scheme val="minor"/>
      </rPr>
      <t>табл</t>
    </r>
  </si>
  <si>
    <r>
      <rPr>
        <sz val="14"/>
        <color theme="1"/>
        <rFont val="Calibri"/>
        <family val="2"/>
        <charset val="204"/>
        <scheme val="minor"/>
      </rPr>
      <t>t</t>
    </r>
    <r>
      <rPr>
        <sz val="8"/>
        <color theme="1"/>
        <rFont val="Calibri"/>
        <family val="2"/>
        <charset val="204"/>
        <scheme val="minor"/>
      </rPr>
      <t>расч</t>
    </r>
  </si>
  <si>
    <t>=СТЬЮДЕНТ.ОБР.2Х(0,05;36-E1-2)</t>
  </si>
  <si>
    <t>=КОРЕНЬ((1-B17^2)/(12-2))</t>
  </si>
  <si>
    <t>=КОРРЕЛ(ИНДЕКС($D$1:$D$40;СТОЛБЕЦ()+1):$D40;ИНДЕКС(E1:E80;СТОЛБЕЦ()+1):E$40)</t>
  </si>
  <si>
    <t>=СТЬЮДЕНТ.ОБР.2Х(0,05;10)</t>
  </si>
  <si>
    <t>Количество ОРВИ (Y)</t>
  </si>
  <si>
    <t>13) Точность модели - Средняя относительная ошибка аппроксимации E=3.5&lt;10 - аппроксимация точная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</si>
</sst>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2E75B6"/>
      <name val="Times New Roman"/>
      <family val="1"/>
      <charset val="204"/>
    </font>
    <font>
      <b/>
      <sz val="14"/>
      <color theme="4" tint="-0.499984740745262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quotePrefix="1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2" fillId="0" borderId="3" xfId="0" applyFont="1" applyBorder="1"/>
    <xf numFmtId="0" fontId="2" fillId="0" borderId="0" xfId="0" quotePrefix="1" applyFont="1"/>
    <xf numFmtId="0" fontId="2" fillId="0" borderId="2" xfId="0" applyFont="1" applyBorder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0" fontId="8" fillId="0" borderId="5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right"/>
    </xf>
    <xf numFmtId="0" fontId="0" fillId="2" borderId="0" xfId="0" applyFill="1"/>
    <xf numFmtId="0" fontId="0" fillId="3" borderId="0" xfId="0" applyFill="1"/>
    <xf numFmtId="0" fontId="8" fillId="3" borderId="5" xfId="0" applyFont="1" applyFill="1" applyBorder="1" applyAlignment="1">
      <alignment horizontal="center" wrapText="1"/>
    </xf>
    <xf numFmtId="0" fontId="0" fillId="4" borderId="0" xfId="0" applyFill="1"/>
    <xf numFmtId="0" fontId="4" fillId="0" borderId="0" xfId="0" quotePrefix="1" applyFont="1"/>
    <xf numFmtId="0" fontId="8" fillId="5" borderId="5" xfId="0" applyFont="1" applyFill="1" applyBorder="1" applyAlignment="1">
      <alignment horizontal="center"/>
    </xf>
    <xf numFmtId="0" fontId="0" fillId="5" borderId="0" xfId="0" applyFill="1"/>
    <xf numFmtId="0" fontId="0" fillId="5" borderId="4" xfId="0" applyFill="1" applyBorder="1"/>
    <xf numFmtId="0" fontId="4" fillId="6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0" borderId="5" xfId="0" applyFont="1" applyBorder="1" applyAlignment="1">
      <alignment horizontal="left"/>
    </xf>
    <xf numFmtId="0" fontId="0" fillId="9" borderId="0" xfId="0" applyFill="1"/>
    <xf numFmtId="0" fontId="0" fillId="9" borderId="4" xfId="0" applyFill="1" applyBorder="1"/>
    <xf numFmtId="0" fontId="0" fillId="10" borderId="0" xfId="0" applyFill="1"/>
    <xf numFmtId="0" fontId="4" fillId="10" borderId="0" xfId="0" applyFont="1" applyFill="1"/>
    <xf numFmtId="164" fontId="4" fillId="0" borderId="0" xfId="1" quotePrefix="1" applyNumberFormat="1" applyFont="1"/>
    <xf numFmtId="0" fontId="10" fillId="0" borderId="0" xfId="0" applyFont="1"/>
    <xf numFmtId="0" fontId="2" fillId="2" borderId="0" xfId="0" quotePrefix="1" applyFont="1" applyFill="1" applyAlignment="1">
      <alignment horizontal="left"/>
    </xf>
    <xf numFmtId="0" fontId="11" fillId="0" borderId="0" xfId="0" applyFont="1"/>
    <xf numFmtId="0" fontId="8" fillId="11" borderId="0" xfId="0" applyFont="1" applyFill="1" applyAlignment="1">
      <alignment horizontal="left"/>
    </xf>
    <xf numFmtId="0" fontId="0" fillId="12" borderId="0" xfId="0" applyFill="1"/>
    <xf numFmtId="0" fontId="0" fillId="13" borderId="0" xfId="0" applyFill="1"/>
    <xf numFmtId="0" fontId="12" fillId="13" borderId="0" xfId="0" applyFont="1" applyFill="1"/>
    <xf numFmtId="0" fontId="2" fillId="2" borderId="1" xfId="0" applyFont="1" applyFill="1" applyBorder="1" applyAlignment="1">
      <alignment wrapText="1"/>
    </xf>
    <xf numFmtId="0" fontId="2" fillId="2" borderId="1" xfId="0" quotePrefix="1" applyFont="1" applyFill="1" applyBorder="1"/>
    <xf numFmtId="0" fontId="2" fillId="2" borderId="1" xfId="0" applyFont="1" applyFill="1" applyBorder="1"/>
    <xf numFmtId="0" fontId="2" fillId="2" borderId="0" xfId="0" applyFont="1" applyFill="1"/>
    <xf numFmtId="165" fontId="2" fillId="2" borderId="1" xfId="0" applyNumberFormat="1" applyFont="1" applyFill="1" applyBorder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'Автокорреляция 2'!$E$2:$V$2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7-41BC-B34A-AF27B6DA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004784"/>
        <c:axId val="880735840"/>
      </c:lineChart>
      <c:catAx>
        <c:axId val="79000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0735840"/>
        <c:crosses val="autoZero"/>
        <c:auto val="1"/>
        <c:lblAlgn val="ctr"/>
        <c:lblOffset val="100"/>
        <c:noMultiLvlLbl val="0"/>
      </c:catAx>
      <c:valAx>
        <c:axId val="8807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00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'Автокорреляция 2 р'!$E$2:$V$2</c:f>
              <c:numCache>
                <c:formatCode>General</c:formatCode>
                <c:ptCount val="18"/>
                <c:pt idx="0">
                  <c:v>0.74391756308941503</c:v>
                </c:pt>
                <c:pt idx="1">
                  <c:v>0.52538481667387316</c:v>
                </c:pt>
                <c:pt idx="2">
                  <c:v>0.39348890251997454</c:v>
                </c:pt>
                <c:pt idx="3">
                  <c:v>0.39768532510175569</c:v>
                </c:pt>
                <c:pt idx="4">
                  <c:v>0.57989401013921993</c:v>
                </c:pt>
                <c:pt idx="5">
                  <c:v>0.82789899455571458</c:v>
                </c:pt>
                <c:pt idx="6">
                  <c:v>0.56291115067569686</c:v>
                </c:pt>
                <c:pt idx="7">
                  <c:v>0.29237510017626922</c:v>
                </c:pt>
                <c:pt idx="8">
                  <c:v>0.20421960032339651</c:v>
                </c:pt>
                <c:pt idx="9">
                  <c:v>0.27181059337225527</c:v>
                </c:pt>
                <c:pt idx="10">
                  <c:v>0.5122758222224838</c:v>
                </c:pt>
                <c:pt idx="11">
                  <c:v>0.99442722942507122</c:v>
                </c:pt>
                <c:pt idx="12">
                  <c:v>0.69158842666537212</c:v>
                </c:pt>
                <c:pt idx="13">
                  <c:v>0.38373804383420723</c:v>
                </c:pt>
                <c:pt idx="14">
                  <c:v>0.17587684854544069</c:v>
                </c:pt>
                <c:pt idx="15">
                  <c:v>0.16570078133645771</c:v>
                </c:pt>
                <c:pt idx="16">
                  <c:v>0.41897466548792245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1-4818-9378-ECB6EDC55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004784"/>
        <c:axId val="880735840"/>
      </c:lineChart>
      <c:catAx>
        <c:axId val="79000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0735840"/>
        <c:crosses val="autoZero"/>
        <c:auto val="1"/>
        <c:lblAlgn val="ctr"/>
        <c:lblOffset val="100"/>
        <c:noMultiLvlLbl val="0"/>
      </c:catAx>
      <c:valAx>
        <c:axId val="8807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00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'Регрессия р'!$C$39:$C$50</c:f>
              <c:numCache>
                <c:formatCode>General</c:formatCode>
                <c:ptCount val="12"/>
                <c:pt idx="0">
                  <c:v>-0.932467532467534</c:v>
                </c:pt>
                <c:pt idx="1">
                  <c:v>-0.95324675324675567</c:v>
                </c:pt>
                <c:pt idx="2">
                  <c:v>2.5974025974022652E-2</c:v>
                </c:pt>
                <c:pt idx="3">
                  <c:v>5.1948051948045304E-3</c:v>
                </c:pt>
                <c:pt idx="4">
                  <c:v>2.0467532467532443</c:v>
                </c:pt>
                <c:pt idx="5">
                  <c:v>-3.6363636363638818E-2</c:v>
                </c:pt>
                <c:pt idx="6">
                  <c:v>1.9636363636363612</c:v>
                </c:pt>
                <c:pt idx="7">
                  <c:v>-1.1194805194805184</c:v>
                </c:pt>
                <c:pt idx="8">
                  <c:v>-1.0987012987013003</c:v>
                </c:pt>
                <c:pt idx="9">
                  <c:v>2.0051948051948045</c:v>
                </c:pt>
                <c:pt idx="10">
                  <c:v>-2.932467532467534</c:v>
                </c:pt>
                <c:pt idx="11">
                  <c:v>1.0259740259740227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7-4A6B-8FB9-60F846DEE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38591"/>
        <c:axId val="520352303"/>
      </c:lineChart>
      <c:catAx>
        <c:axId val="212633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352303"/>
        <c:crosses val="autoZero"/>
        <c:auto val="1"/>
        <c:lblAlgn val="ctr"/>
        <c:lblOffset val="100"/>
        <c:noMultiLvlLbl val="0"/>
      </c:catAx>
      <c:valAx>
        <c:axId val="5203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633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7.png"/><Relationship Id="rId5" Type="http://schemas.openxmlformats.org/officeDocument/2006/relationships/image" Target="../media/image6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chart" Target="../charts/chart3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441960</xdr:rowOff>
    </xdr:from>
    <xdr:to>
      <xdr:col>4</xdr:col>
      <xdr:colOff>12345</xdr:colOff>
      <xdr:row>1</xdr:row>
      <xdr:rowOff>739140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0ADF62F-F223-4F78-93F7-D8B38C1C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" y="670560"/>
          <a:ext cx="76672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624840</xdr:colOff>
      <xdr:row>1</xdr:row>
      <xdr:rowOff>429454</xdr:rowOff>
    </xdr:from>
    <xdr:to>
      <xdr:col>4</xdr:col>
      <xdr:colOff>678180</xdr:colOff>
      <xdr:row>1</xdr:row>
      <xdr:rowOff>708660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826CE51-FDA0-44F6-8572-3835CC03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658054"/>
          <a:ext cx="731520" cy="279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655319</xdr:colOff>
      <xdr:row>1</xdr:row>
      <xdr:rowOff>446237</xdr:rowOff>
    </xdr:from>
    <xdr:to>
      <xdr:col>6</xdr:col>
      <xdr:colOff>83820</xdr:colOff>
      <xdr:row>1</xdr:row>
      <xdr:rowOff>693418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AEB5359-6E01-4E39-BB9D-D9621F91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59" y="674837"/>
          <a:ext cx="1127761" cy="24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167640</xdr:colOff>
      <xdr:row>20</xdr:row>
      <xdr:rowOff>29037</xdr:rowOff>
    </xdr:from>
    <xdr:to>
      <xdr:col>6</xdr:col>
      <xdr:colOff>289560</xdr:colOff>
      <xdr:row>21</xdr:row>
      <xdr:rowOff>22859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148ABA5-AAF8-402A-8877-AA7139B3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2360" y="5058237"/>
          <a:ext cx="1104900" cy="519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358140</xdr:colOff>
      <xdr:row>5</xdr:row>
      <xdr:rowOff>205740</xdr:rowOff>
    </xdr:from>
    <xdr:to>
      <xdr:col>11</xdr:col>
      <xdr:colOff>15240</xdr:colOff>
      <xdr:row>8</xdr:row>
      <xdr:rowOff>213360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EEE0177-162D-4C84-8705-D265AF82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840" y="2034540"/>
          <a:ext cx="27051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198120</xdr:colOff>
      <xdr:row>4</xdr:row>
      <xdr:rowOff>167640</xdr:rowOff>
    </xdr:from>
    <xdr:to>
      <xdr:col>11</xdr:col>
      <xdr:colOff>198120</xdr:colOff>
      <xdr:row>10</xdr:row>
      <xdr:rowOff>160020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3B8D35CD-858B-47DD-A2F9-CF74BEDAF686}"/>
            </a:ext>
          </a:extLst>
        </xdr:cNvPr>
        <xdr:cNvSpPr/>
      </xdr:nvSpPr>
      <xdr:spPr>
        <a:xfrm>
          <a:off x="4655820" y="1767840"/>
          <a:ext cx="3048000" cy="136398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7620</xdr:colOff>
      <xdr:row>19</xdr:row>
      <xdr:rowOff>114300</xdr:rowOff>
    </xdr:from>
    <xdr:to>
      <xdr:col>7</xdr:col>
      <xdr:colOff>281940</xdr:colOff>
      <xdr:row>21</xdr:row>
      <xdr:rowOff>152400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AF98E30B-9348-4C60-BFDD-39A3A69CD005}"/>
            </a:ext>
          </a:extLst>
        </xdr:cNvPr>
        <xdr:cNvSpPr/>
      </xdr:nvSpPr>
      <xdr:spPr>
        <a:xfrm>
          <a:off x="3482340" y="5143500"/>
          <a:ext cx="1866900" cy="79248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9</xdr:col>
      <xdr:colOff>0</xdr:colOff>
      <xdr:row>19</xdr:row>
      <xdr:rowOff>180974</xdr:rowOff>
    </xdr:from>
    <xdr:to>
      <xdr:col>12</xdr:col>
      <xdr:colOff>403860</xdr:colOff>
      <xdr:row>20</xdr:row>
      <xdr:rowOff>510539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FD3C4F5-F15C-4D01-AB87-B6030DFF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5210174"/>
          <a:ext cx="2232660" cy="558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533400</xdr:colOff>
      <xdr:row>19</xdr:row>
      <xdr:rowOff>30480</xdr:rowOff>
    </xdr:from>
    <xdr:to>
      <xdr:col>12</xdr:col>
      <xdr:colOff>525780</xdr:colOff>
      <xdr:row>21</xdr:row>
      <xdr:rowOff>99060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05C9C5C0-E478-4797-9EF1-F9344A22998B}"/>
            </a:ext>
          </a:extLst>
        </xdr:cNvPr>
        <xdr:cNvSpPr/>
      </xdr:nvSpPr>
      <xdr:spPr>
        <a:xfrm>
          <a:off x="6210300" y="5059680"/>
          <a:ext cx="2430780" cy="82296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441960</xdr:rowOff>
    </xdr:from>
    <xdr:to>
      <xdr:col>4</xdr:col>
      <xdr:colOff>12345</xdr:colOff>
      <xdr:row>1</xdr:row>
      <xdr:rowOff>739140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0E88190-4327-43CC-994B-29E5B73D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" y="670560"/>
          <a:ext cx="76672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624840</xdr:colOff>
      <xdr:row>1</xdr:row>
      <xdr:rowOff>429454</xdr:rowOff>
    </xdr:from>
    <xdr:to>
      <xdr:col>4</xdr:col>
      <xdr:colOff>678180</xdr:colOff>
      <xdr:row>1</xdr:row>
      <xdr:rowOff>708660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996C2FB-D349-44D6-A6A5-D1CBAEAE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658054"/>
          <a:ext cx="731520" cy="279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655319</xdr:colOff>
      <xdr:row>1</xdr:row>
      <xdr:rowOff>446237</xdr:rowOff>
    </xdr:from>
    <xdr:to>
      <xdr:col>6</xdr:col>
      <xdr:colOff>83820</xdr:colOff>
      <xdr:row>1</xdr:row>
      <xdr:rowOff>693418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3F359EB-3FE5-47EC-B218-93D6128D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59" y="674837"/>
          <a:ext cx="1127761" cy="24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167640</xdr:colOff>
      <xdr:row>20</xdr:row>
      <xdr:rowOff>29037</xdr:rowOff>
    </xdr:from>
    <xdr:to>
      <xdr:col>6</xdr:col>
      <xdr:colOff>289560</xdr:colOff>
      <xdr:row>21</xdr:row>
      <xdr:rowOff>22859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9CD7F26-75C9-4F5E-95EF-B210AF30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2360" y="5286837"/>
          <a:ext cx="1104900" cy="519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541020</xdr:colOff>
      <xdr:row>19</xdr:row>
      <xdr:rowOff>114300</xdr:rowOff>
    </xdr:from>
    <xdr:to>
      <xdr:col>7</xdr:col>
      <xdr:colOff>220980</xdr:colOff>
      <xdr:row>21</xdr:row>
      <xdr:rowOff>152400</xdr:rowOff>
    </xdr:to>
    <xdr:sp macro="" textlink="">
      <xdr:nvSpPr>
        <xdr:cNvPr id="6" name="Прямоугольник: скругленные углы 5">
          <a:extLst>
            <a:ext uri="{FF2B5EF4-FFF2-40B4-BE49-F238E27FC236}">
              <a16:creationId xmlns:a16="http://schemas.microsoft.com/office/drawing/2014/main" id="{27C74D51-E7DB-4527-BE2D-C8BDB0DE2599}"/>
            </a:ext>
          </a:extLst>
        </xdr:cNvPr>
        <xdr:cNvSpPr/>
      </xdr:nvSpPr>
      <xdr:spPr>
        <a:xfrm>
          <a:off x="3299460" y="5143500"/>
          <a:ext cx="1988820" cy="79248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12</xdr:col>
      <xdr:colOff>0</xdr:colOff>
      <xdr:row>11</xdr:row>
      <xdr:rowOff>220980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7CAF3B20-67A7-4F04-B6B4-C5003F7F685C}"/>
            </a:ext>
          </a:extLst>
        </xdr:cNvPr>
        <xdr:cNvSpPr/>
      </xdr:nvSpPr>
      <xdr:spPr>
        <a:xfrm>
          <a:off x="5067300" y="2057400"/>
          <a:ext cx="3048000" cy="136398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8</xdr:col>
      <xdr:colOff>365760</xdr:colOff>
      <xdr:row>20</xdr:row>
      <xdr:rowOff>13334</xdr:rowOff>
    </xdr:from>
    <xdr:to>
      <xdr:col>12</xdr:col>
      <xdr:colOff>160020</xdr:colOff>
      <xdr:row>21</xdr:row>
      <xdr:rowOff>45719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41AFD17-41C7-493C-BF77-7128AA81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2660" y="5271134"/>
          <a:ext cx="2232660" cy="558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289560</xdr:colOff>
      <xdr:row>19</xdr:row>
      <xdr:rowOff>91440</xdr:rowOff>
    </xdr:from>
    <xdr:to>
      <xdr:col>12</xdr:col>
      <xdr:colOff>281940</xdr:colOff>
      <xdr:row>21</xdr:row>
      <xdr:rowOff>160020</xdr:rowOff>
    </xdr:to>
    <xdr:sp macro="" textlink="">
      <xdr:nvSpPr>
        <xdr:cNvPr id="10" name="Прямоугольник: скругленные углы 9">
          <a:extLst>
            <a:ext uri="{FF2B5EF4-FFF2-40B4-BE49-F238E27FC236}">
              <a16:creationId xmlns:a16="http://schemas.microsoft.com/office/drawing/2014/main" id="{82900F0D-F510-48CD-A2A1-7594A126262D}"/>
            </a:ext>
          </a:extLst>
        </xdr:cNvPr>
        <xdr:cNvSpPr/>
      </xdr:nvSpPr>
      <xdr:spPr>
        <a:xfrm>
          <a:off x="5966460" y="5120640"/>
          <a:ext cx="2430780" cy="82296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7</xdr:col>
      <xdr:colOff>76200</xdr:colOff>
      <xdr:row>7</xdr:row>
      <xdr:rowOff>53340</xdr:rowOff>
    </xdr:from>
    <xdr:to>
      <xdr:col>11</xdr:col>
      <xdr:colOff>497072</xdr:colOff>
      <xdr:row>10</xdr:row>
      <xdr:rowOff>56448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83917C4-3F82-4997-8DDB-51AB1085C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43500" y="2339340"/>
          <a:ext cx="2859272" cy="6889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297180</xdr:colOff>
      <xdr:row>2</xdr:row>
      <xdr:rowOff>167640</xdr:rowOff>
    </xdr:from>
    <xdr:to>
      <xdr:col>23</xdr:col>
      <xdr:colOff>601980</xdr:colOff>
      <xdr:row>17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0333AD-0E8A-48B8-86AA-0F78ADC42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91441</xdr:colOff>
      <xdr:row>2</xdr:row>
      <xdr:rowOff>52280</xdr:rowOff>
    </xdr:from>
    <xdr:to>
      <xdr:col>1</xdr:col>
      <xdr:colOff>1485901</xdr:colOff>
      <xdr:row>4</xdr:row>
      <xdr:rowOff>99059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AB321E7-0933-4AFD-AC55-094746FC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1" y="418040"/>
          <a:ext cx="2004060" cy="503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5</xdr:row>
      <xdr:rowOff>137160</xdr:rowOff>
    </xdr:from>
    <xdr:to>
      <xdr:col>24</xdr:col>
      <xdr:colOff>335280</xdr:colOff>
      <xdr:row>20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BA64E2-174A-4526-A146-F54E203B3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91441</xdr:colOff>
      <xdr:row>2</xdr:row>
      <xdr:rowOff>52280</xdr:rowOff>
    </xdr:from>
    <xdr:to>
      <xdr:col>1</xdr:col>
      <xdr:colOff>1485901</xdr:colOff>
      <xdr:row>4</xdr:row>
      <xdr:rowOff>99059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9AD482C-CDA3-4A62-BEE6-FAADAE54B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1" y="418040"/>
          <a:ext cx="2004060" cy="503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2087880</xdr:colOff>
      <xdr:row>41</xdr:row>
      <xdr:rowOff>91440</xdr:rowOff>
    </xdr:from>
    <xdr:to>
      <xdr:col>10</xdr:col>
      <xdr:colOff>548640</xdr:colOff>
      <xdr:row>56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79C31B-7053-4609-A4B3-E8BF106FC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251460</xdr:colOff>
      <xdr:row>52</xdr:row>
      <xdr:rowOff>182286</xdr:rowOff>
    </xdr:from>
    <xdr:to>
      <xdr:col>2</xdr:col>
      <xdr:colOff>1409700</xdr:colOff>
      <xdr:row>56</xdr:row>
      <xdr:rowOff>83820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06DF60-0FCD-429F-845C-47E86B09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340" y="10324506"/>
          <a:ext cx="2887980" cy="633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419100</xdr:colOff>
      <xdr:row>58</xdr:row>
      <xdr:rowOff>83820</xdr:rowOff>
    </xdr:from>
    <xdr:to>
      <xdr:col>1</xdr:col>
      <xdr:colOff>1125220</xdr:colOff>
      <xdr:row>60</xdr:row>
      <xdr:rowOff>99060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7468061-B0D8-459E-BE84-EEA3FB2E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980" y="11338560"/>
          <a:ext cx="70612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556260</xdr:colOff>
      <xdr:row>63</xdr:row>
      <xdr:rowOff>152400</xdr:rowOff>
    </xdr:from>
    <xdr:to>
      <xdr:col>7</xdr:col>
      <xdr:colOff>329362</xdr:colOff>
      <xdr:row>64</xdr:row>
      <xdr:rowOff>175260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0A501D2-F021-4839-B0B3-0788E2E3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0940" y="12367260"/>
          <a:ext cx="3339262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251460</xdr:colOff>
      <xdr:row>35</xdr:row>
      <xdr:rowOff>179762</xdr:rowOff>
    </xdr:from>
    <xdr:to>
      <xdr:col>4</xdr:col>
      <xdr:colOff>472440</xdr:colOff>
      <xdr:row>38</xdr:row>
      <xdr:rowOff>15239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F716B35-5A62-4C77-A7EC-5B77D201C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180" y="7197782"/>
          <a:ext cx="220980" cy="39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5B04-41BD-45FB-9BAC-4281941F6E71}">
  <dimension ref="A1:J23"/>
  <sheetViews>
    <sheetView tabSelected="1" workbookViewId="0">
      <selection activeCell="F23" sqref="F23"/>
    </sheetView>
  </sheetViews>
  <sheetFormatPr defaultRowHeight="14.4" x14ac:dyDescent="0.3"/>
  <cols>
    <col min="1" max="1" width="12.5546875" customWidth="1"/>
    <col min="4" max="4" width="9.88671875" customWidth="1"/>
    <col min="5" max="5" width="10.44140625" customWidth="1"/>
    <col min="6" max="6" width="14.33203125" customWidth="1"/>
  </cols>
  <sheetData>
    <row r="1" spans="1:6" ht="18" x14ac:dyDescent="0.3">
      <c r="A1" s="6" t="s">
        <v>5</v>
      </c>
      <c r="B1" s="5"/>
      <c r="C1" s="5"/>
      <c r="D1" s="5"/>
      <c r="E1" s="5"/>
      <c r="F1" s="5"/>
    </row>
    <row r="2" spans="1:6" ht="72" x14ac:dyDescent="0.3">
      <c r="A2" s="7" t="s">
        <v>1</v>
      </c>
      <c r="B2" s="8" t="s">
        <v>6</v>
      </c>
      <c r="C2" s="8" t="s">
        <v>7</v>
      </c>
      <c r="D2" s="7"/>
      <c r="E2" s="7"/>
      <c r="F2" s="7"/>
    </row>
    <row r="3" spans="1:6" ht="18" x14ac:dyDescent="0.35">
      <c r="A3" s="2">
        <v>1</v>
      </c>
      <c r="B3" s="2">
        <v>27.068000000000001</v>
      </c>
      <c r="C3" s="2">
        <v>172.17</v>
      </c>
      <c r="D3" s="50"/>
      <c r="E3" s="50"/>
      <c r="F3" s="50"/>
    </row>
    <row r="4" spans="1:6" ht="18" x14ac:dyDescent="0.35">
      <c r="A4" s="2">
        <v>2</v>
      </c>
      <c r="B4" s="2">
        <v>29.888999999999999</v>
      </c>
      <c r="C4" s="2">
        <v>200.9</v>
      </c>
      <c r="D4" s="50"/>
      <c r="E4" s="50"/>
      <c r="F4" s="50"/>
    </row>
    <row r="5" spans="1:6" ht="18" x14ac:dyDescent="0.35">
      <c r="A5" s="2">
        <v>3</v>
      </c>
      <c r="B5" s="2">
        <v>34.444000000000003</v>
      </c>
      <c r="C5" s="2">
        <v>231.83</v>
      </c>
      <c r="D5" s="50"/>
      <c r="E5" s="50"/>
      <c r="F5" s="50"/>
    </row>
    <row r="6" spans="1:6" ht="18" x14ac:dyDescent="0.35">
      <c r="A6" s="2">
        <v>4</v>
      </c>
      <c r="B6" s="2">
        <v>33.158000000000001</v>
      </c>
      <c r="C6" s="2">
        <v>232.1</v>
      </c>
      <c r="D6" s="50"/>
      <c r="E6" s="50"/>
      <c r="F6" s="50"/>
    </row>
    <row r="7" spans="1:6" ht="18" x14ac:dyDescent="0.35">
      <c r="A7" s="2">
        <v>5</v>
      </c>
      <c r="B7" s="2">
        <v>37.755000000000003</v>
      </c>
      <c r="C7" s="2">
        <v>233.4</v>
      </c>
      <c r="D7" s="50"/>
      <c r="E7" s="50"/>
      <c r="F7" s="50"/>
    </row>
    <row r="8" spans="1:6" ht="18" x14ac:dyDescent="0.35">
      <c r="A8" s="2">
        <v>6</v>
      </c>
      <c r="B8" s="11">
        <v>37.554000000000002</v>
      </c>
      <c r="C8" s="2">
        <v>236.99</v>
      </c>
      <c r="D8" s="50"/>
      <c r="E8" s="50"/>
      <c r="F8" s="50"/>
    </row>
    <row r="9" spans="1:6" ht="18" x14ac:dyDescent="0.35">
      <c r="A9" s="2">
        <v>7</v>
      </c>
      <c r="B9" s="2">
        <v>37.298999999999999</v>
      </c>
      <c r="C9" s="2">
        <v>246.53</v>
      </c>
      <c r="D9" s="50"/>
      <c r="E9" s="50"/>
      <c r="F9" s="50"/>
    </row>
    <row r="10" spans="1:6" ht="18" x14ac:dyDescent="0.35">
      <c r="A10" s="2">
        <v>8</v>
      </c>
      <c r="B10" s="2">
        <v>40.369999999999997</v>
      </c>
      <c r="C10" s="2">
        <v>253.62</v>
      </c>
      <c r="D10" s="50"/>
      <c r="E10" s="50"/>
      <c r="F10" s="50"/>
    </row>
    <row r="11" spans="1:6" ht="18" x14ac:dyDescent="0.35">
      <c r="A11" s="2">
        <v>9</v>
      </c>
      <c r="B11" s="2">
        <v>37.908999999999999</v>
      </c>
      <c r="C11" s="2">
        <v>256.52999999999997</v>
      </c>
      <c r="D11" s="50"/>
      <c r="E11" s="50"/>
      <c r="F11" s="50"/>
    </row>
    <row r="12" spans="1:6" ht="18" x14ac:dyDescent="0.35">
      <c r="A12" s="2">
        <v>10</v>
      </c>
      <c r="B12" s="2">
        <v>38.347999999999999</v>
      </c>
      <c r="C12" s="2">
        <v>261.89</v>
      </c>
      <c r="D12" s="50"/>
      <c r="E12" s="50"/>
      <c r="F12" s="50"/>
    </row>
    <row r="13" spans="1:6" ht="18" x14ac:dyDescent="0.35">
      <c r="A13" s="2">
        <v>11</v>
      </c>
      <c r="B13" s="2">
        <v>39.137</v>
      </c>
      <c r="C13" s="2">
        <v>259.36</v>
      </c>
      <c r="D13" s="50"/>
      <c r="E13" s="50"/>
      <c r="F13" s="50"/>
    </row>
    <row r="14" spans="1:6" ht="18" x14ac:dyDescent="0.35">
      <c r="A14" s="2">
        <v>12</v>
      </c>
      <c r="B14" s="2">
        <v>46.298000000000002</v>
      </c>
      <c r="C14" s="2">
        <v>278.87</v>
      </c>
      <c r="D14" s="50"/>
      <c r="E14" s="50"/>
      <c r="F14" s="50"/>
    </row>
    <row r="15" spans="1:6" ht="18" x14ac:dyDescent="0.35">
      <c r="A15" s="2" t="s">
        <v>3</v>
      </c>
      <c r="B15" s="50"/>
      <c r="C15" s="51"/>
      <c r="D15" s="1"/>
      <c r="E15" s="1"/>
      <c r="F15" s="1"/>
    </row>
    <row r="16" spans="1:6" ht="18" x14ac:dyDescent="0.35">
      <c r="A16" s="2" t="s">
        <v>0</v>
      </c>
      <c r="B16" s="50"/>
      <c r="C16" s="51"/>
      <c r="D16" s="1"/>
      <c r="E16" s="1"/>
      <c r="F16" s="1"/>
    </row>
    <row r="17" spans="1:10" ht="18" x14ac:dyDescent="0.35">
      <c r="A17" s="2" t="s">
        <v>8</v>
      </c>
      <c r="B17" s="49"/>
      <c r="C17" s="1"/>
      <c r="D17" s="1"/>
      <c r="E17" s="12" t="s">
        <v>11</v>
      </c>
      <c r="F17" s="1"/>
    </row>
    <row r="18" spans="1:10" ht="18" x14ac:dyDescent="0.35">
      <c r="A18" s="2" t="s">
        <v>10</v>
      </c>
      <c r="B18" s="49"/>
      <c r="C18" s="1"/>
      <c r="D18" s="1"/>
      <c r="E18" s="12" t="s">
        <v>82</v>
      </c>
      <c r="F18" s="1"/>
    </row>
    <row r="19" spans="1:10" ht="18" x14ac:dyDescent="0.35">
      <c r="A19" s="13" t="s">
        <v>9</v>
      </c>
      <c r="B19" s="49"/>
      <c r="C19" s="1"/>
      <c r="D19" s="1"/>
      <c r="E19" s="12" t="s">
        <v>12</v>
      </c>
      <c r="F19" s="1"/>
    </row>
    <row r="20" spans="1:10" ht="18" x14ac:dyDescent="0.35">
      <c r="A20" s="1"/>
      <c r="B20" s="1"/>
      <c r="C20" s="1"/>
      <c r="D20" s="1"/>
      <c r="E20" s="1"/>
      <c r="F20" s="1"/>
    </row>
    <row r="21" spans="1:10" ht="41.4" customHeight="1" x14ac:dyDescent="0.35">
      <c r="A21" s="14"/>
      <c r="B21" s="1"/>
      <c r="C21" s="1"/>
      <c r="D21" s="1"/>
      <c r="E21" s="1"/>
      <c r="F21" s="1"/>
    </row>
    <row r="22" spans="1:10" ht="18" x14ac:dyDescent="0.35">
      <c r="A22" s="43" t="s">
        <v>75</v>
      </c>
      <c r="B22" s="1"/>
      <c r="C22" s="1"/>
      <c r="D22" s="1"/>
      <c r="E22" s="1"/>
      <c r="F22" s="1"/>
    </row>
    <row r="23" spans="1:10" ht="18" x14ac:dyDescent="0.35">
      <c r="A23" s="10"/>
      <c r="B23" s="10"/>
      <c r="C23" s="10"/>
      <c r="D23" s="10"/>
      <c r="E23" s="9" t="s">
        <v>13</v>
      </c>
      <c r="F23" s="52"/>
      <c r="H23" s="3"/>
      <c r="J23" s="3" t="s">
        <v>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DFF8-1BCC-4A47-835C-A7CEA887E4BE}">
  <dimension ref="A1:J23"/>
  <sheetViews>
    <sheetView topLeftCell="A7" workbookViewId="0">
      <selection activeCell="H23" sqref="H23"/>
    </sheetView>
  </sheetViews>
  <sheetFormatPr defaultRowHeight="14.4" x14ac:dyDescent="0.3"/>
  <cols>
    <col min="1" max="1" width="12.5546875" customWidth="1"/>
    <col min="4" max="4" width="9.88671875" customWidth="1"/>
    <col min="5" max="5" width="10.44140625" customWidth="1"/>
    <col min="6" max="6" width="14.33203125" customWidth="1"/>
  </cols>
  <sheetData>
    <row r="1" spans="1:6" ht="18" x14ac:dyDescent="0.3">
      <c r="A1" s="6" t="s">
        <v>5</v>
      </c>
      <c r="B1" s="5"/>
      <c r="C1" s="5"/>
      <c r="D1" s="5"/>
      <c r="E1" s="5"/>
      <c r="F1" s="5"/>
    </row>
    <row r="2" spans="1:6" ht="72" x14ac:dyDescent="0.3">
      <c r="A2" s="7" t="s">
        <v>1</v>
      </c>
      <c r="B2" s="8" t="s">
        <v>6</v>
      </c>
      <c r="C2" s="8" t="s">
        <v>7</v>
      </c>
      <c r="D2" s="7"/>
      <c r="E2" s="7"/>
      <c r="F2" s="7"/>
    </row>
    <row r="3" spans="1:6" ht="18" x14ac:dyDescent="0.35">
      <c r="A3" s="2">
        <v>1</v>
      </c>
      <c r="B3" s="2">
        <v>27.068000000000001</v>
      </c>
      <c r="C3" s="2">
        <v>172.17</v>
      </c>
      <c r="D3" s="2">
        <f>(B3-$B$16)^2</f>
        <v>90.905101173611158</v>
      </c>
      <c r="E3" s="2">
        <f>(C3-$C$16)^2</f>
        <v>4423.9126562499987</v>
      </c>
      <c r="F3" s="2">
        <f>(B3-$B$16)*(C3-$C$16)</f>
        <v>634.15788854166669</v>
      </c>
    </row>
    <row r="4" spans="1:6" ht="18" x14ac:dyDescent="0.35">
      <c r="A4" s="2">
        <v>2</v>
      </c>
      <c r="B4" s="2">
        <v>29.888999999999999</v>
      </c>
      <c r="C4" s="2">
        <v>200.9</v>
      </c>
      <c r="D4" s="2">
        <f t="shared" ref="D4:D14" si="0">(B4-$B$16)^2</f>
        <v>45.06996334027783</v>
      </c>
      <c r="E4" s="2">
        <f t="shared" ref="E4:E14" si="1">(C4-$C$16)^2</f>
        <v>1427.5173062499978</v>
      </c>
      <c r="F4" s="2">
        <f t="shared" ref="F4:F14" si="2">(B4-$B$16)*(C4-$C$16)</f>
        <v>253.64966520833329</v>
      </c>
    </row>
    <row r="5" spans="1:6" ht="18" x14ac:dyDescent="0.35">
      <c r="A5" s="2">
        <v>3</v>
      </c>
      <c r="B5" s="2">
        <v>34.444000000000003</v>
      </c>
      <c r="C5" s="2">
        <v>231.83</v>
      </c>
      <c r="D5" s="2">
        <f t="shared" si="0"/>
        <v>4.6587625069444485</v>
      </c>
      <c r="E5" s="2">
        <f t="shared" si="1"/>
        <v>46.956756249999501</v>
      </c>
      <c r="F5" s="2">
        <f t="shared" si="2"/>
        <v>14.790550208333261</v>
      </c>
    </row>
    <row r="6" spans="1:6" ht="18" x14ac:dyDescent="0.35">
      <c r="A6" s="2">
        <v>4</v>
      </c>
      <c r="B6" s="2">
        <v>33.158000000000001</v>
      </c>
      <c r="C6" s="2">
        <v>232.1</v>
      </c>
      <c r="D6" s="2">
        <f t="shared" si="0"/>
        <v>11.864006173611127</v>
      </c>
      <c r="E6" s="2">
        <f t="shared" si="1"/>
        <v>43.32930624999976</v>
      </c>
      <c r="F6" s="2">
        <f t="shared" si="2"/>
        <v>22.672872708333287</v>
      </c>
    </row>
    <row r="7" spans="1:6" ht="18" x14ac:dyDescent="0.35">
      <c r="A7" s="2">
        <v>5</v>
      </c>
      <c r="B7" s="2">
        <v>37.755000000000003</v>
      </c>
      <c r="C7" s="2">
        <v>233.4</v>
      </c>
      <c r="D7" s="2">
        <f t="shared" si="0"/>
        <v>1.3284483402777756</v>
      </c>
      <c r="E7" s="2">
        <f t="shared" si="1"/>
        <v>27.904806249999687</v>
      </c>
      <c r="F7" s="2">
        <f t="shared" si="2"/>
        <v>-6.0885214583332941</v>
      </c>
    </row>
    <row r="8" spans="1:6" ht="18" x14ac:dyDescent="0.35">
      <c r="A8" s="2">
        <v>6</v>
      </c>
      <c r="B8" s="11">
        <v>37.554000000000002</v>
      </c>
      <c r="C8" s="2">
        <v>236.99</v>
      </c>
      <c r="D8" s="2">
        <f t="shared" si="0"/>
        <v>0.90551084027777506</v>
      </c>
      <c r="E8" s="2">
        <f t="shared" si="1"/>
        <v>2.8645562499998882</v>
      </c>
      <c r="F8" s="2">
        <f t="shared" si="2"/>
        <v>-1.610554791666633</v>
      </c>
    </row>
    <row r="9" spans="1:6" ht="18" x14ac:dyDescent="0.35">
      <c r="A9" s="2">
        <v>7</v>
      </c>
      <c r="B9" s="2">
        <v>37.298999999999999</v>
      </c>
      <c r="C9" s="2">
        <v>246.53</v>
      </c>
      <c r="D9" s="2">
        <f t="shared" si="0"/>
        <v>0.48522834027777223</v>
      </c>
      <c r="E9" s="2">
        <f t="shared" si="1"/>
        <v>61.583256250000396</v>
      </c>
      <c r="F9" s="2">
        <f t="shared" si="2"/>
        <v>5.4664377083333191</v>
      </c>
    </row>
    <row r="10" spans="1:6" ht="18" x14ac:dyDescent="0.35">
      <c r="A10" s="2">
        <v>8</v>
      </c>
      <c r="B10" s="2">
        <v>40.369999999999997</v>
      </c>
      <c r="C10" s="2">
        <v>253.62</v>
      </c>
      <c r="D10" s="2">
        <f t="shared" si="0"/>
        <v>14.194684173611066</v>
      </c>
      <c r="E10" s="2">
        <f t="shared" si="1"/>
        <v>223.12890625000085</v>
      </c>
      <c r="F10" s="2">
        <f t="shared" si="2"/>
        <v>56.278276041666686</v>
      </c>
    </row>
    <row r="11" spans="1:6" ht="18" x14ac:dyDescent="0.35">
      <c r="A11" s="2">
        <v>9</v>
      </c>
      <c r="B11" s="2">
        <v>37.908999999999999</v>
      </c>
      <c r="C11" s="2">
        <v>256.52999999999997</v>
      </c>
      <c r="D11" s="2">
        <f t="shared" si="0"/>
        <v>1.7071600069444326</v>
      </c>
      <c r="E11" s="2">
        <f t="shared" si="1"/>
        <v>318.53325624999985</v>
      </c>
      <c r="F11" s="2">
        <f t="shared" si="2"/>
        <v>23.319246041666581</v>
      </c>
    </row>
    <row r="12" spans="1:6" ht="18" x14ac:dyDescent="0.35">
      <c r="A12" s="2">
        <v>10</v>
      </c>
      <c r="B12" s="2">
        <v>38.347999999999999</v>
      </c>
      <c r="C12" s="2">
        <v>261.89</v>
      </c>
      <c r="D12" s="2">
        <f t="shared" si="0"/>
        <v>3.0470611736110955</v>
      </c>
      <c r="E12" s="2">
        <f t="shared" si="1"/>
        <v>538.58805625000048</v>
      </c>
      <c r="F12" s="2">
        <f t="shared" si="2"/>
        <v>40.510625208333245</v>
      </c>
    </row>
    <row r="13" spans="1:6" ht="18" x14ac:dyDescent="0.35">
      <c r="A13" s="2">
        <v>11</v>
      </c>
      <c r="B13" s="2">
        <v>39.137</v>
      </c>
      <c r="C13" s="2">
        <v>259.36</v>
      </c>
      <c r="D13" s="2">
        <f t="shared" si="0"/>
        <v>6.4241126736110958</v>
      </c>
      <c r="E13" s="2">
        <f t="shared" si="1"/>
        <v>427.55900625000157</v>
      </c>
      <c r="F13" s="2">
        <f t="shared" si="2"/>
        <v>52.40884687500003</v>
      </c>
    </row>
    <row r="14" spans="1:6" ht="18" x14ac:dyDescent="0.35">
      <c r="A14" s="2">
        <v>12</v>
      </c>
      <c r="B14" s="2">
        <v>46.298000000000002</v>
      </c>
      <c r="C14" s="2">
        <v>278.87</v>
      </c>
      <c r="D14" s="2">
        <f t="shared" si="0"/>
        <v>94.00433617361108</v>
      </c>
      <c r="E14" s="2">
        <f t="shared" si="1"/>
        <v>1615.0351562500023</v>
      </c>
      <c r="F14" s="2">
        <f t="shared" si="2"/>
        <v>389.64125520833352</v>
      </c>
    </row>
    <row r="15" spans="1:6" ht="18" x14ac:dyDescent="0.35">
      <c r="A15" s="2" t="s">
        <v>3</v>
      </c>
      <c r="B15" s="2">
        <f>SUM(B3:B14)</f>
        <v>439.22900000000004</v>
      </c>
      <c r="C15" s="1">
        <f>SUM(C3:C14)</f>
        <v>2864.1899999999996</v>
      </c>
      <c r="D15" s="1">
        <f t="shared" ref="D15:F15" si="3">SUM(D3:D14)</f>
        <v>274.59437491666665</v>
      </c>
      <c r="E15" s="1">
        <f t="shared" si="3"/>
        <v>9156.9130249999998</v>
      </c>
      <c r="F15" s="1">
        <f t="shared" si="3"/>
        <v>1485.1965875000001</v>
      </c>
    </row>
    <row r="16" spans="1:6" ht="18" x14ac:dyDescent="0.35">
      <c r="A16" s="2" t="s">
        <v>0</v>
      </c>
      <c r="B16" s="2">
        <f>AVERAGE(B3:B14)</f>
        <v>36.60241666666667</v>
      </c>
      <c r="C16" s="2">
        <f>AVERAGE(C3:C14)</f>
        <v>238.68249999999998</v>
      </c>
      <c r="D16" s="1"/>
      <c r="E16" s="1"/>
      <c r="F16" s="1"/>
    </row>
    <row r="17" spans="1:10" ht="18" x14ac:dyDescent="0.35">
      <c r="A17" s="2" t="s">
        <v>8</v>
      </c>
      <c r="B17" s="49">
        <f>CORREL(B3:B14,C3:C14)</f>
        <v>0.93662032930205519</v>
      </c>
      <c r="C17" s="1">
        <f>F15/SQRT(D15*E15)</f>
        <v>0.93662032930205508</v>
      </c>
      <c r="D17" s="1"/>
      <c r="E17" s="12" t="s">
        <v>11</v>
      </c>
      <c r="F17" s="1"/>
    </row>
    <row r="18" spans="1:10" ht="18" x14ac:dyDescent="0.35">
      <c r="A18" s="2" t="s">
        <v>10</v>
      </c>
      <c r="B18" s="12">
        <f>SQRT((1-B17^2)/(12-2))</f>
        <v>0.11078915052391623</v>
      </c>
      <c r="C18" s="1"/>
      <c r="D18" s="1"/>
      <c r="E18" s="12" t="s">
        <v>82</v>
      </c>
      <c r="F18" s="1"/>
    </row>
    <row r="19" spans="1:10" ht="18" x14ac:dyDescent="0.35">
      <c r="A19" s="13" t="s">
        <v>9</v>
      </c>
      <c r="B19" s="49">
        <f>B17/B18</f>
        <v>8.4540798884441806</v>
      </c>
      <c r="C19" s="1"/>
      <c r="D19" s="1"/>
      <c r="E19" s="12" t="s">
        <v>12</v>
      </c>
      <c r="F19" s="1"/>
    </row>
    <row r="20" spans="1:10" ht="18" x14ac:dyDescent="0.35">
      <c r="A20" s="1"/>
      <c r="B20" s="1"/>
      <c r="C20" s="1"/>
      <c r="D20" s="1"/>
      <c r="E20" s="1"/>
      <c r="F20" s="1"/>
    </row>
    <row r="21" spans="1:10" ht="41.4" customHeight="1" x14ac:dyDescent="0.35">
      <c r="A21" s="14"/>
      <c r="B21" s="1"/>
      <c r="C21" s="1"/>
      <c r="D21" s="1"/>
      <c r="E21" s="1"/>
      <c r="F21" s="1"/>
    </row>
    <row r="22" spans="1:10" ht="18" x14ac:dyDescent="0.35">
      <c r="A22" s="43" t="s">
        <v>76</v>
      </c>
      <c r="B22" s="1"/>
      <c r="C22" s="1"/>
      <c r="D22" s="1"/>
      <c r="E22" s="1"/>
      <c r="F22" s="1"/>
    </row>
    <row r="23" spans="1:10" ht="18" x14ac:dyDescent="0.35">
      <c r="A23" s="10"/>
      <c r="B23" s="10"/>
      <c r="C23" s="10"/>
      <c r="D23" s="10"/>
      <c r="E23" s="9" t="s">
        <v>13</v>
      </c>
      <c r="F23" s="48">
        <v>2.2281</v>
      </c>
      <c r="H23" s="42"/>
      <c r="J23" s="3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D504-2783-462E-8AB1-B4750E3C9A6F}">
  <dimension ref="A1:V58"/>
  <sheetViews>
    <sheetView workbookViewId="0">
      <selection activeCell="L10" sqref="L10"/>
    </sheetView>
  </sheetViews>
  <sheetFormatPr defaultRowHeight="14.4" x14ac:dyDescent="0.3"/>
  <cols>
    <col min="2" max="2" width="24" customWidth="1"/>
    <col min="3" max="3" width="9.21875" customWidth="1"/>
  </cols>
  <sheetData>
    <row r="1" spans="1:22" x14ac:dyDescent="0.3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</row>
    <row r="2" spans="1:22" x14ac:dyDescent="0.3">
      <c r="B2" t="s">
        <v>78</v>
      </c>
      <c r="E2" s="21"/>
      <c r="F2" s="21"/>
    </row>
    <row r="3" spans="1:22" ht="18" x14ac:dyDescent="0.35">
      <c r="C3" s="10" t="s">
        <v>79</v>
      </c>
      <c r="D3" s="21"/>
      <c r="E3" s="21"/>
    </row>
    <row r="4" spans="1:22" ht="18" x14ac:dyDescent="0.35">
      <c r="C4" t="s">
        <v>80</v>
      </c>
    </row>
    <row r="5" spans="1:22" x14ac:dyDescent="0.3">
      <c r="C5">
        <v>1</v>
      </c>
      <c r="D5">
        <v>1000</v>
      </c>
    </row>
    <row r="6" spans="1:22" x14ac:dyDescent="0.3">
      <c r="C6">
        <v>2</v>
      </c>
      <c r="D6">
        <v>1300</v>
      </c>
      <c r="E6">
        <v>1000</v>
      </c>
    </row>
    <row r="7" spans="1:22" x14ac:dyDescent="0.3">
      <c r="A7" s="21" t="s">
        <v>81</v>
      </c>
      <c r="C7">
        <v>3</v>
      </c>
      <c r="D7">
        <v>1410</v>
      </c>
      <c r="E7">
        <v>1300</v>
      </c>
      <c r="F7">
        <v>1000</v>
      </c>
    </row>
    <row r="8" spans="1:22" x14ac:dyDescent="0.3">
      <c r="C8">
        <v>4</v>
      </c>
      <c r="D8">
        <v>1397</v>
      </c>
      <c r="E8">
        <v>1410</v>
      </c>
      <c r="F8">
        <v>1300</v>
      </c>
      <c r="G8">
        <v>1000</v>
      </c>
    </row>
    <row r="9" spans="1:22" x14ac:dyDescent="0.3">
      <c r="C9">
        <v>5</v>
      </c>
      <c r="D9">
        <v>2040</v>
      </c>
      <c r="E9">
        <v>1397</v>
      </c>
      <c r="F9">
        <v>1410</v>
      </c>
      <c r="G9">
        <v>1300</v>
      </c>
      <c r="H9">
        <v>1000</v>
      </c>
    </row>
    <row r="10" spans="1:22" x14ac:dyDescent="0.3">
      <c r="A10" s="21" t="s">
        <v>83</v>
      </c>
      <c r="C10">
        <v>6</v>
      </c>
      <c r="D10">
        <v>2269</v>
      </c>
      <c r="E10">
        <v>2040</v>
      </c>
      <c r="F10">
        <v>1397</v>
      </c>
      <c r="G10">
        <v>1410</v>
      </c>
      <c r="H10">
        <v>1300</v>
      </c>
      <c r="I10">
        <v>1000</v>
      </c>
    </row>
    <row r="11" spans="1:22" x14ac:dyDescent="0.3">
      <c r="C11">
        <v>7</v>
      </c>
      <c r="D11">
        <v>1610</v>
      </c>
      <c r="E11">
        <v>2269</v>
      </c>
      <c r="F11">
        <v>2040</v>
      </c>
      <c r="G11">
        <v>1397</v>
      </c>
      <c r="H11">
        <v>1410</v>
      </c>
      <c r="I11">
        <v>1300</v>
      </c>
      <c r="J11">
        <v>1000</v>
      </c>
    </row>
    <row r="12" spans="1:22" x14ac:dyDescent="0.3">
      <c r="C12">
        <v>8</v>
      </c>
      <c r="D12">
        <v>1723</v>
      </c>
      <c r="E12">
        <v>1610</v>
      </c>
      <c r="F12">
        <v>2269</v>
      </c>
      <c r="G12">
        <v>2040</v>
      </c>
      <c r="H12">
        <v>1397</v>
      </c>
      <c r="I12">
        <v>1410</v>
      </c>
      <c r="J12">
        <v>1300</v>
      </c>
      <c r="K12">
        <v>1000</v>
      </c>
    </row>
    <row r="13" spans="1:22" x14ac:dyDescent="0.3">
      <c r="C13">
        <v>9</v>
      </c>
      <c r="D13">
        <v>1700</v>
      </c>
      <c r="E13">
        <v>1723</v>
      </c>
      <c r="F13">
        <v>1610</v>
      </c>
      <c r="G13">
        <v>2269</v>
      </c>
      <c r="H13">
        <v>2040</v>
      </c>
      <c r="I13">
        <v>1397</v>
      </c>
      <c r="J13">
        <v>1410</v>
      </c>
      <c r="K13">
        <v>1300</v>
      </c>
      <c r="L13">
        <v>1000</v>
      </c>
    </row>
    <row r="14" spans="1:22" x14ac:dyDescent="0.3">
      <c r="C14">
        <v>10</v>
      </c>
      <c r="D14">
        <v>2290</v>
      </c>
      <c r="E14">
        <v>1700</v>
      </c>
      <c r="F14">
        <v>1723</v>
      </c>
      <c r="G14">
        <v>1610</v>
      </c>
      <c r="H14">
        <v>2269</v>
      </c>
      <c r="I14">
        <v>2040</v>
      </c>
      <c r="J14">
        <v>1397</v>
      </c>
      <c r="K14">
        <v>1410</v>
      </c>
      <c r="L14">
        <v>1300</v>
      </c>
      <c r="M14">
        <v>1000</v>
      </c>
    </row>
    <row r="15" spans="1:22" x14ac:dyDescent="0.3">
      <c r="C15">
        <v>11</v>
      </c>
      <c r="D15">
        <v>2698</v>
      </c>
      <c r="E15">
        <v>2290</v>
      </c>
      <c r="F15">
        <v>1700</v>
      </c>
      <c r="G15">
        <v>1723</v>
      </c>
      <c r="H15">
        <v>1610</v>
      </c>
      <c r="I15">
        <v>2269</v>
      </c>
      <c r="J15">
        <v>2040</v>
      </c>
      <c r="K15">
        <v>1397</v>
      </c>
      <c r="L15">
        <v>1410</v>
      </c>
      <c r="M15">
        <v>1300</v>
      </c>
      <c r="N15">
        <v>1000</v>
      </c>
    </row>
    <row r="16" spans="1:22" x14ac:dyDescent="0.3">
      <c r="C16">
        <v>12</v>
      </c>
      <c r="D16">
        <v>3178</v>
      </c>
      <c r="E16">
        <v>2698</v>
      </c>
      <c r="F16">
        <v>2290</v>
      </c>
      <c r="G16">
        <v>1700</v>
      </c>
      <c r="H16">
        <v>1723</v>
      </c>
      <c r="I16">
        <v>1610</v>
      </c>
      <c r="J16">
        <v>2269</v>
      </c>
      <c r="K16">
        <v>2040</v>
      </c>
      <c r="L16">
        <v>1397</v>
      </c>
      <c r="M16">
        <v>1410</v>
      </c>
      <c r="N16">
        <v>1300</v>
      </c>
      <c r="O16">
        <v>1000</v>
      </c>
    </row>
    <row r="17" spans="3:22" x14ac:dyDescent="0.3">
      <c r="C17">
        <v>13</v>
      </c>
      <c r="D17">
        <v>1700</v>
      </c>
      <c r="E17">
        <v>3178</v>
      </c>
      <c r="F17">
        <v>2698</v>
      </c>
      <c r="G17">
        <v>2290</v>
      </c>
      <c r="H17">
        <v>1700</v>
      </c>
      <c r="I17">
        <v>1723</v>
      </c>
      <c r="J17">
        <v>1610</v>
      </c>
      <c r="K17">
        <v>2269</v>
      </c>
      <c r="L17">
        <v>2040</v>
      </c>
      <c r="M17">
        <v>1397</v>
      </c>
      <c r="N17">
        <v>1410</v>
      </c>
      <c r="O17">
        <v>1300</v>
      </c>
      <c r="P17">
        <v>1000</v>
      </c>
    </row>
    <row r="18" spans="3:22" x14ac:dyDescent="0.3">
      <c r="C18">
        <v>14</v>
      </c>
      <c r="D18">
        <v>1960</v>
      </c>
      <c r="E18">
        <v>1700</v>
      </c>
      <c r="F18">
        <v>3178</v>
      </c>
      <c r="G18">
        <v>2698</v>
      </c>
      <c r="H18">
        <v>2290</v>
      </c>
      <c r="I18">
        <v>1700</v>
      </c>
      <c r="J18">
        <v>1723</v>
      </c>
      <c r="K18">
        <v>1610</v>
      </c>
      <c r="L18">
        <v>2269</v>
      </c>
      <c r="M18">
        <v>2040</v>
      </c>
      <c r="N18">
        <v>1397</v>
      </c>
      <c r="O18">
        <v>1410</v>
      </c>
      <c r="P18">
        <v>1300</v>
      </c>
      <c r="Q18">
        <v>1000</v>
      </c>
    </row>
    <row r="19" spans="3:22" x14ac:dyDescent="0.3">
      <c r="C19">
        <v>15</v>
      </c>
      <c r="D19">
        <v>2073</v>
      </c>
      <c r="E19">
        <v>1960</v>
      </c>
      <c r="F19">
        <v>1700</v>
      </c>
      <c r="G19">
        <v>3178</v>
      </c>
      <c r="H19">
        <v>2698</v>
      </c>
      <c r="I19">
        <v>2290</v>
      </c>
      <c r="J19">
        <v>1700</v>
      </c>
      <c r="K19">
        <v>1723</v>
      </c>
      <c r="L19">
        <v>1610</v>
      </c>
      <c r="M19">
        <v>2269</v>
      </c>
      <c r="N19">
        <v>2040</v>
      </c>
      <c r="O19">
        <v>1397</v>
      </c>
      <c r="P19">
        <v>1410</v>
      </c>
      <c r="Q19">
        <v>1300</v>
      </c>
      <c r="R19">
        <v>1000</v>
      </c>
    </row>
    <row r="20" spans="3:22" x14ac:dyDescent="0.3">
      <c r="C20">
        <v>16</v>
      </c>
      <c r="D20">
        <v>2057</v>
      </c>
      <c r="E20">
        <v>2073</v>
      </c>
      <c r="F20">
        <v>1960</v>
      </c>
      <c r="G20">
        <v>1700</v>
      </c>
      <c r="H20">
        <v>3178</v>
      </c>
      <c r="I20">
        <v>2698</v>
      </c>
      <c r="J20">
        <v>2290</v>
      </c>
      <c r="K20">
        <v>1700</v>
      </c>
      <c r="L20">
        <v>1723</v>
      </c>
      <c r="M20">
        <v>1610</v>
      </c>
      <c r="N20">
        <v>2269</v>
      </c>
      <c r="O20">
        <v>2040</v>
      </c>
      <c r="P20">
        <v>1397</v>
      </c>
      <c r="Q20">
        <v>1410</v>
      </c>
      <c r="R20">
        <v>1300</v>
      </c>
      <c r="S20">
        <v>1000</v>
      </c>
    </row>
    <row r="21" spans="3:22" x14ac:dyDescent="0.3">
      <c r="C21">
        <v>17</v>
      </c>
      <c r="D21">
        <v>2730</v>
      </c>
      <c r="E21">
        <v>2057</v>
      </c>
      <c r="F21">
        <v>2073</v>
      </c>
      <c r="G21">
        <v>1960</v>
      </c>
      <c r="H21">
        <v>1700</v>
      </c>
      <c r="I21">
        <v>3178</v>
      </c>
      <c r="J21">
        <v>2698</v>
      </c>
      <c r="K21">
        <v>2290</v>
      </c>
      <c r="L21">
        <v>1700</v>
      </c>
      <c r="M21">
        <v>1723</v>
      </c>
      <c r="N21">
        <v>1610</v>
      </c>
      <c r="O21">
        <v>2269</v>
      </c>
      <c r="P21">
        <v>2040</v>
      </c>
      <c r="Q21">
        <v>1397</v>
      </c>
      <c r="R21">
        <v>1410</v>
      </c>
      <c r="S21">
        <v>1300</v>
      </c>
      <c r="T21">
        <v>1000</v>
      </c>
    </row>
    <row r="22" spans="3:22" x14ac:dyDescent="0.3">
      <c r="C22">
        <v>18</v>
      </c>
      <c r="D22">
        <v>2968</v>
      </c>
      <c r="E22">
        <v>2730</v>
      </c>
      <c r="F22">
        <v>2057</v>
      </c>
      <c r="G22">
        <v>2073</v>
      </c>
      <c r="H22">
        <v>1960</v>
      </c>
      <c r="I22">
        <v>1700</v>
      </c>
      <c r="J22">
        <v>3178</v>
      </c>
      <c r="K22">
        <v>2698</v>
      </c>
      <c r="L22">
        <v>2290</v>
      </c>
      <c r="M22">
        <v>1700</v>
      </c>
      <c r="N22">
        <v>1723</v>
      </c>
      <c r="O22">
        <v>1610</v>
      </c>
      <c r="P22">
        <v>2269</v>
      </c>
      <c r="Q22">
        <v>2040</v>
      </c>
      <c r="R22">
        <v>1397</v>
      </c>
      <c r="S22">
        <v>1410</v>
      </c>
      <c r="T22">
        <v>1300</v>
      </c>
      <c r="U22">
        <v>1000</v>
      </c>
    </row>
    <row r="23" spans="3:22" x14ac:dyDescent="0.3">
      <c r="C23">
        <v>19</v>
      </c>
      <c r="D23">
        <v>2273</v>
      </c>
      <c r="E23">
        <v>2968</v>
      </c>
      <c r="F23">
        <v>2730</v>
      </c>
      <c r="G23">
        <v>2057</v>
      </c>
      <c r="H23">
        <v>2073</v>
      </c>
      <c r="I23">
        <v>1960</v>
      </c>
      <c r="J23">
        <v>1700</v>
      </c>
      <c r="K23">
        <v>3178</v>
      </c>
      <c r="L23">
        <v>2698</v>
      </c>
      <c r="M23">
        <v>2290</v>
      </c>
      <c r="N23">
        <v>1700</v>
      </c>
      <c r="O23">
        <v>1723</v>
      </c>
      <c r="P23">
        <v>1610</v>
      </c>
      <c r="Q23">
        <v>2269</v>
      </c>
      <c r="R23">
        <v>2040</v>
      </c>
      <c r="S23">
        <v>1397</v>
      </c>
      <c r="T23">
        <v>1410</v>
      </c>
      <c r="U23">
        <v>1300</v>
      </c>
      <c r="V23">
        <v>1000</v>
      </c>
    </row>
    <row r="24" spans="3:22" x14ac:dyDescent="0.3">
      <c r="C24">
        <v>20</v>
      </c>
      <c r="D24">
        <v>2390</v>
      </c>
      <c r="E24">
        <v>2273</v>
      </c>
      <c r="F24">
        <v>2968</v>
      </c>
      <c r="G24">
        <v>2730</v>
      </c>
      <c r="H24">
        <v>2057</v>
      </c>
      <c r="I24">
        <v>2073</v>
      </c>
      <c r="J24">
        <v>1960</v>
      </c>
      <c r="K24">
        <v>1700</v>
      </c>
      <c r="L24">
        <v>3178</v>
      </c>
      <c r="M24">
        <v>2698</v>
      </c>
      <c r="N24">
        <v>2290</v>
      </c>
      <c r="O24">
        <v>1700</v>
      </c>
      <c r="P24">
        <v>1723</v>
      </c>
      <c r="Q24">
        <v>1610</v>
      </c>
      <c r="R24">
        <v>2269</v>
      </c>
      <c r="S24">
        <v>2040</v>
      </c>
      <c r="T24">
        <v>1397</v>
      </c>
      <c r="U24">
        <v>1410</v>
      </c>
      <c r="V24">
        <v>1300</v>
      </c>
    </row>
    <row r="25" spans="3:22" x14ac:dyDescent="0.3">
      <c r="C25">
        <v>21</v>
      </c>
      <c r="D25">
        <v>2363</v>
      </c>
      <c r="E25">
        <v>2390</v>
      </c>
      <c r="F25">
        <v>2273</v>
      </c>
      <c r="G25">
        <v>2968</v>
      </c>
      <c r="H25">
        <v>2730</v>
      </c>
      <c r="I25">
        <v>2057</v>
      </c>
      <c r="J25">
        <v>2073</v>
      </c>
      <c r="K25">
        <v>1960</v>
      </c>
      <c r="L25">
        <v>1700</v>
      </c>
      <c r="M25">
        <v>3178</v>
      </c>
      <c r="N25">
        <v>2698</v>
      </c>
      <c r="O25">
        <v>2290</v>
      </c>
      <c r="P25">
        <v>1700</v>
      </c>
      <c r="Q25">
        <v>1723</v>
      </c>
      <c r="R25">
        <v>1610</v>
      </c>
      <c r="S25">
        <v>2269</v>
      </c>
      <c r="T25">
        <v>2040</v>
      </c>
      <c r="U25">
        <v>1397</v>
      </c>
      <c r="V25">
        <v>1410</v>
      </c>
    </row>
    <row r="26" spans="3:22" x14ac:dyDescent="0.3">
      <c r="C26">
        <v>22</v>
      </c>
      <c r="D26">
        <v>2980</v>
      </c>
      <c r="E26">
        <v>2363</v>
      </c>
      <c r="F26">
        <v>2390</v>
      </c>
      <c r="G26">
        <v>2273</v>
      </c>
      <c r="H26">
        <v>2968</v>
      </c>
      <c r="I26">
        <v>2730</v>
      </c>
      <c r="J26">
        <v>2057</v>
      </c>
      <c r="K26">
        <v>2073</v>
      </c>
      <c r="L26">
        <v>1960</v>
      </c>
      <c r="M26">
        <v>1700</v>
      </c>
      <c r="N26">
        <v>3178</v>
      </c>
      <c r="O26">
        <v>2698</v>
      </c>
      <c r="P26">
        <v>2290</v>
      </c>
      <c r="Q26">
        <v>1700</v>
      </c>
      <c r="R26">
        <v>1723</v>
      </c>
      <c r="S26">
        <v>1610</v>
      </c>
      <c r="T26">
        <v>2269</v>
      </c>
      <c r="U26">
        <v>2040</v>
      </c>
      <c r="V26">
        <v>1397</v>
      </c>
    </row>
    <row r="27" spans="3:22" x14ac:dyDescent="0.3">
      <c r="C27">
        <v>23</v>
      </c>
      <c r="D27">
        <v>3406</v>
      </c>
      <c r="E27">
        <v>2980</v>
      </c>
      <c r="F27">
        <v>2363</v>
      </c>
      <c r="G27">
        <v>2390</v>
      </c>
      <c r="H27">
        <v>2273</v>
      </c>
      <c r="I27">
        <v>2968</v>
      </c>
      <c r="J27">
        <v>2730</v>
      </c>
      <c r="K27">
        <v>2057</v>
      </c>
      <c r="L27">
        <v>2073</v>
      </c>
      <c r="M27">
        <v>1960</v>
      </c>
      <c r="N27">
        <v>1700</v>
      </c>
      <c r="O27">
        <v>3178</v>
      </c>
      <c r="P27">
        <v>2698</v>
      </c>
      <c r="Q27">
        <v>2290</v>
      </c>
      <c r="R27">
        <v>1700</v>
      </c>
      <c r="S27">
        <v>1723</v>
      </c>
      <c r="T27">
        <v>1610</v>
      </c>
      <c r="U27">
        <v>2269</v>
      </c>
      <c r="V27">
        <v>2040</v>
      </c>
    </row>
    <row r="28" spans="3:22" x14ac:dyDescent="0.3">
      <c r="C28">
        <v>24</v>
      </c>
      <c r="D28">
        <v>3907</v>
      </c>
      <c r="E28">
        <v>3406</v>
      </c>
      <c r="F28">
        <v>2980</v>
      </c>
      <c r="G28">
        <v>2363</v>
      </c>
      <c r="H28">
        <v>2390</v>
      </c>
      <c r="I28">
        <v>2273</v>
      </c>
      <c r="J28">
        <v>2968</v>
      </c>
      <c r="K28">
        <v>2730</v>
      </c>
      <c r="L28">
        <v>2057</v>
      </c>
      <c r="M28">
        <v>2073</v>
      </c>
      <c r="N28">
        <v>1960</v>
      </c>
      <c r="O28">
        <v>1700</v>
      </c>
      <c r="P28">
        <v>3178</v>
      </c>
      <c r="Q28">
        <v>2698</v>
      </c>
      <c r="R28">
        <v>2290</v>
      </c>
      <c r="S28">
        <v>1700</v>
      </c>
      <c r="T28">
        <v>1723</v>
      </c>
      <c r="U28">
        <v>1610</v>
      </c>
      <c r="V28">
        <v>2269</v>
      </c>
    </row>
    <row r="29" spans="3:22" x14ac:dyDescent="0.3">
      <c r="C29">
        <v>25</v>
      </c>
      <c r="D29">
        <v>2321</v>
      </c>
      <c r="E29">
        <v>3907</v>
      </c>
      <c r="F29">
        <v>3406</v>
      </c>
      <c r="G29">
        <v>2980</v>
      </c>
      <c r="H29">
        <v>2363</v>
      </c>
      <c r="I29">
        <v>2390</v>
      </c>
      <c r="J29">
        <v>2273</v>
      </c>
      <c r="K29">
        <v>2968</v>
      </c>
      <c r="L29">
        <v>2730</v>
      </c>
      <c r="M29">
        <v>2057</v>
      </c>
      <c r="N29">
        <v>2073</v>
      </c>
      <c r="O29">
        <v>1960</v>
      </c>
      <c r="P29">
        <v>1700</v>
      </c>
      <c r="Q29">
        <v>3178</v>
      </c>
      <c r="R29">
        <v>2698</v>
      </c>
      <c r="S29">
        <v>2290</v>
      </c>
      <c r="T29">
        <v>1700</v>
      </c>
      <c r="U29">
        <v>1723</v>
      </c>
      <c r="V29">
        <v>1610</v>
      </c>
    </row>
    <row r="30" spans="3:22" x14ac:dyDescent="0.3">
      <c r="C30">
        <v>26</v>
      </c>
      <c r="D30">
        <v>2586</v>
      </c>
      <c r="E30">
        <v>2321</v>
      </c>
      <c r="F30">
        <v>3907</v>
      </c>
      <c r="G30">
        <v>3406</v>
      </c>
      <c r="H30">
        <v>2980</v>
      </c>
      <c r="I30">
        <v>2363</v>
      </c>
      <c r="J30">
        <v>2390</v>
      </c>
      <c r="K30">
        <v>2273</v>
      </c>
      <c r="L30">
        <v>2968</v>
      </c>
      <c r="M30">
        <v>2730</v>
      </c>
      <c r="N30">
        <v>2057</v>
      </c>
      <c r="O30">
        <v>2073</v>
      </c>
      <c r="P30">
        <v>1960</v>
      </c>
      <c r="Q30">
        <v>1700</v>
      </c>
      <c r="R30">
        <v>3178</v>
      </c>
      <c r="S30">
        <v>2698</v>
      </c>
      <c r="T30">
        <v>2290</v>
      </c>
      <c r="U30">
        <v>1700</v>
      </c>
      <c r="V30">
        <v>1723</v>
      </c>
    </row>
    <row r="31" spans="3:22" x14ac:dyDescent="0.3">
      <c r="C31">
        <v>27</v>
      </c>
      <c r="D31">
        <v>2700</v>
      </c>
      <c r="E31">
        <v>2586</v>
      </c>
      <c r="F31">
        <v>2321</v>
      </c>
      <c r="G31">
        <v>3907</v>
      </c>
      <c r="H31">
        <v>3406</v>
      </c>
      <c r="I31">
        <v>2980</v>
      </c>
      <c r="J31">
        <v>2363</v>
      </c>
      <c r="K31">
        <v>2390</v>
      </c>
      <c r="L31">
        <v>2273</v>
      </c>
      <c r="M31">
        <v>2968</v>
      </c>
      <c r="N31">
        <v>2730</v>
      </c>
      <c r="O31">
        <v>2057</v>
      </c>
      <c r="P31">
        <v>2073</v>
      </c>
      <c r="Q31">
        <v>1960</v>
      </c>
      <c r="R31">
        <v>1700</v>
      </c>
      <c r="S31">
        <v>3178</v>
      </c>
      <c r="T31">
        <v>2698</v>
      </c>
      <c r="U31">
        <v>2290</v>
      </c>
      <c r="V31">
        <v>1700</v>
      </c>
    </row>
    <row r="32" spans="3:22" x14ac:dyDescent="0.3">
      <c r="C32">
        <v>28</v>
      </c>
      <c r="D32">
        <v>2540</v>
      </c>
      <c r="E32">
        <v>2700</v>
      </c>
      <c r="F32">
        <v>2586</v>
      </c>
      <c r="G32">
        <v>2321</v>
      </c>
      <c r="H32">
        <v>3907</v>
      </c>
      <c r="I32">
        <v>3406</v>
      </c>
      <c r="J32">
        <v>2980</v>
      </c>
      <c r="K32">
        <v>2363</v>
      </c>
      <c r="L32">
        <v>2390</v>
      </c>
      <c r="M32">
        <v>2273</v>
      </c>
      <c r="N32">
        <v>2968</v>
      </c>
      <c r="O32">
        <v>2730</v>
      </c>
      <c r="P32">
        <v>2057</v>
      </c>
      <c r="Q32">
        <v>2073</v>
      </c>
      <c r="R32">
        <v>1960</v>
      </c>
      <c r="S32">
        <v>1700</v>
      </c>
      <c r="T32">
        <v>3178</v>
      </c>
      <c r="U32">
        <v>2698</v>
      </c>
      <c r="V32">
        <v>2290</v>
      </c>
    </row>
    <row r="33" spans="3:22" x14ac:dyDescent="0.3">
      <c r="C33">
        <v>29</v>
      </c>
      <c r="D33">
        <v>3200</v>
      </c>
      <c r="E33">
        <v>2540</v>
      </c>
      <c r="F33">
        <v>2700</v>
      </c>
      <c r="G33">
        <v>2586</v>
      </c>
      <c r="H33">
        <v>2321</v>
      </c>
      <c r="I33">
        <v>3907</v>
      </c>
      <c r="J33">
        <v>3406</v>
      </c>
      <c r="K33">
        <v>2980</v>
      </c>
      <c r="L33">
        <v>2363</v>
      </c>
      <c r="M33">
        <v>2390</v>
      </c>
      <c r="N33">
        <v>2273</v>
      </c>
      <c r="O33">
        <v>2968</v>
      </c>
      <c r="P33">
        <v>2730</v>
      </c>
      <c r="Q33">
        <v>2057</v>
      </c>
      <c r="R33">
        <v>2073</v>
      </c>
      <c r="S33">
        <v>1960</v>
      </c>
      <c r="T33">
        <v>1700</v>
      </c>
      <c r="U33">
        <v>3178</v>
      </c>
      <c r="V33">
        <v>2698</v>
      </c>
    </row>
    <row r="34" spans="3:22" x14ac:dyDescent="0.3">
      <c r="C34">
        <v>30</v>
      </c>
      <c r="D34">
        <v>3480</v>
      </c>
      <c r="E34">
        <v>3200</v>
      </c>
      <c r="F34">
        <v>2540</v>
      </c>
      <c r="G34">
        <v>2700</v>
      </c>
      <c r="H34">
        <v>2586</v>
      </c>
      <c r="I34">
        <v>2321</v>
      </c>
      <c r="J34">
        <v>3907</v>
      </c>
      <c r="K34">
        <v>3406</v>
      </c>
      <c r="L34">
        <v>2980</v>
      </c>
      <c r="M34">
        <v>2363</v>
      </c>
      <c r="N34">
        <v>2390</v>
      </c>
      <c r="O34">
        <v>2273</v>
      </c>
      <c r="P34">
        <v>2968</v>
      </c>
      <c r="Q34">
        <v>2730</v>
      </c>
      <c r="R34">
        <v>2057</v>
      </c>
      <c r="S34">
        <v>2073</v>
      </c>
      <c r="T34">
        <v>1960</v>
      </c>
      <c r="U34">
        <v>1700</v>
      </c>
      <c r="V34">
        <v>3178</v>
      </c>
    </row>
    <row r="35" spans="3:22" x14ac:dyDescent="0.3">
      <c r="C35">
        <v>31</v>
      </c>
      <c r="D35">
        <v>2810</v>
      </c>
      <c r="E35">
        <v>3480</v>
      </c>
      <c r="F35">
        <v>3200</v>
      </c>
      <c r="G35">
        <v>2540</v>
      </c>
      <c r="H35">
        <v>2700</v>
      </c>
      <c r="I35">
        <v>2586</v>
      </c>
      <c r="J35">
        <v>2321</v>
      </c>
      <c r="K35">
        <v>3907</v>
      </c>
      <c r="L35">
        <v>3406</v>
      </c>
      <c r="M35">
        <v>2980</v>
      </c>
      <c r="N35">
        <v>2363</v>
      </c>
      <c r="O35">
        <v>2390</v>
      </c>
      <c r="P35">
        <v>2273</v>
      </c>
      <c r="Q35">
        <v>2968</v>
      </c>
      <c r="R35">
        <v>2730</v>
      </c>
      <c r="S35">
        <v>2057</v>
      </c>
      <c r="T35">
        <v>2073</v>
      </c>
      <c r="U35">
        <v>1960</v>
      </c>
      <c r="V35">
        <v>1700</v>
      </c>
    </row>
    <row r="36" spans="3:22" x14ac:dyDescent="0.3">
      <c r="C36">
        <v>32</v>
      </c>
      <c r="D36">
        <v>2940</v>
      </c>
      <c r="E36">
        <v>2810</v>
      </c>
      <c r="F36">
        <v>3480</v>
      </c>
      <c r="G36">
        <v>3200</v>
      </c>
      <c r="H36">
        <v>2540</v>
      </c>
      <c r="I36">
        <v>2700</v>
      </c>
      <c r="J36">
        <v>2586</v>
      </c>
      <c r="K36">
        <v>2321</v>
      </c>
      <c r="L36">
        <v>3907</v>
      </c>
      <c r="M36">
        <v>3406</v>
      </c>
      <c r="N36">
        <v>2980</v>
      </c>
      <c r="O36">
        <v>2363</v>
      </c>
      <c r="P36">
        <v>2390</v>
      </c>
      <c r="Q36">
        <v>2273</v>
      </c>
      <c r="R36">
        <v>2968</v>
      </c>
      <c r="S36">
        <v>2730</v>
      </c>
      <c r="T36">
        <v>2057</v>
      </c>
      <c r="U36">
        <v>2073</v>
      </c>
      <c r="V36">
        <v>1960</v>
      </c>
    </row>
    <row r="37" spans="3:22" x14ac:dyDescent="0.3">
      <c r="C37">
        <v>33</v>
      </c>
      <c r="D37">
        <v>2890</v>
      </c>
      <c r="E37">
        <v>2940</v>
      </c>
      <c r="F37">
        <v>2810</v>
      </c>
      <c r="G37">
        <v>3480</v>
      </c>
      <c r="H37">
        <v>3200</v>
      </c>
      <c r="I37">
        <v>2540</v>
      </c>
      <c r="J37">
        <v>2700</v>
      </c>
      <c r="K37">
        <v>2586</v>
      </c>
      <c r="L37">
        <v>2321</v>
      </c>
      <c r="M37">
        <v>3907</v>
      </c>
      <c r="N37">
        <v>3406</v>
      </c>
      <c r="O37">
        <v>2980</v>
      </c>
      <c r="P37">
        <v>2363</v>
      </c>
      <c r="Q37">
        <v>2390</v>
      </c>
      <c r="R37">
        <v>2273</v>
      </c>
      <c r="S37">
        <v>2968</v>
      </c>
      <c r="T37">
        <v>2730</v>
      </c>
      <c r="U37">
        <v>2057</v>
      </c>
      <c r="V37">
        <v>2073</v>
      </c>
    </row>
    <row r="38" spans="3:22" x14ac:dyDescent="0.3">
      <c r="C38">
        <v>34</v>
      </c>
      <c r="D38">
        <v>3500</v>
      </c>
      <c r="E38">
        <v>2890</v>
      </c>
      <c r="F38">
        <v>2940</v>
      </c>
      <c r="G38">
        <v>2810</v>
      </c>
      <c r="H38">
        <v>3480</v>
      </c>
      <c r="I38">
        <v>3200</v>
      </c>
      <c r="J38">
        <v>2540</v>
      </c>
      <c r="K38">
        <v>2700</v>
      </c>
      <c r="L38">
        <v>2586</v>
      </c>
      <c r="M38">
        <v>2321</v>
      </c>
      <c r="N38">
        <v>3907</v>
      </c>
      <c r="O38">
        <v>3406</v>
      </c>
      <c r="P38">
        <v>2980</v>
      </c>
      <c r="Q38">
        <v>2363</v>
      </c>
      <c r="R38">
        <v>2390</v>
      </c>
      <c r="S38">
        <v>2273</v>
      </c>
      <c r="T38">
        <v>2968</v>
      </c>
      <c r="U38">
        <v>2730</v>
      </c>
      <c r="V38">
        <v>2057</v>
      </c>
    </row>
    <row r="39" spans="3:22" x14ac:dyDescent="0.3">
      <c r="C39">
        <v>35</v>
      </c>
      <c r="D39">
        <v>3950</v>
      </c>
      <c r="E39">
        <v>3500</v>
      </c>
      <c r="F39">
        <v>2890</v>
      </c>
      <c r="G39">
        <v>2940</v>
      </c>
      <c r="H39">
        <v>2810</v>
      </c>
      <c r="I39">
        <v>3480</v>
      </c>
      <c r="J39">
        <v>3200</v>
      </c>
      <c r="K39">
        <v>2540</v>
      </c>
      <c r="L39">
        <v>2700</v>
      </c>
      <c r="M39">
        <v>2586</v>
      </c>
      <c r="N39">
        <v>2321</v>
      </c>
      <c r="O39">
        <v>3907</v>
      </c>
      <c r="P39">
        <v>3406</v>
      </c>
      <c r="Q39">
        <v>2980</v>
      </c>
      <c r="R39">
        <v>2363</v>
      </c>
      <c r="S39">
        <v>2390</v>
      </c>
      <c r="T39">
        <v>2273</v>
      </c>
      <c r="U39">
        <v>2968</v>
      </c>
      <c r="V39">
        <v>2730</v>
      </c>
    </row>
    <row r="40" spans="3:22" x14ac:dyDescent="0.3">
      <c r="C40">
        <v>36</v>
      </c>
      <c r="D40">
        <v>4400</v>
      </c>
      <c r="E40">
        <v>3950</v>
      </c>
      <c r="F40">
        <v>3500</v>
      </c>
      <c r="G40">
        <v>2890</v>
      </c>
      <c r="H40">
        <v>2940</v>
      </c>
      <c r="I40">
        <v>2810</v>
      </c>
      <c r="J40">
        <v>3480</v>
      </c>
      <c r="K40">
        <v>3200</v>
      </c>
      <c r="L40">
        <v>2540</v>
      </c>
      <c r="M40">
        <v>2700</v>
      </c>
      <c r="N40">
        <v>2586</v>
      </c>
      <c r="O40">
        <v>2321</v>
      </c>
      <c r="P40">
        <v>3907</v>
      </c>
      <c r="Q40">
        <v>3406</v>
      </c>
      <c r="R40">
        <v>2980</v>
      </c>
      <c r="S40">
        <v>2363</v>
      </c>
      <c r="T40">
        <v>2390</v>
      </c>
      <c r="U40">
        <v>2273</v>
      </c>
      <c r="V40">
        <v>2968</v>
      </c>
    </row>
    <row r="41" spans="3:22" x14ac:dyDescent="0.3">
      <c r="E41">
        <v>4400</v>
      </c>
      <c r="F41">
        <v>3950</v>
      </c>
      <c r="G41">
        <v>3500</v>
      </c>
      <c r="H41">
        <v>2890</v>
      </c>
      <c r="I41">
        <v>2940</v>
      </c>
      <c r="J41">
        <v>2810</v>
      </c>
      <c r="K41">
        <v>3480</v>
      </c>
      <c r="L41">
        <v>3200</v>
      </c>
      <c r="M41">
        <v>2540</v>
      </c>
      <c r="N41">
        <v>2700</v>
      </c>
      <c r="O41">
        <v>2586</v>
      </c>
      <c r="P41">
        <v>2321</v>
      </c>
      <c r="Q41">
        <v>3907</v>
      </c>
      <c r="R41">
        <v>3406</v>
      </c>
      <c r="S41">
        <v>2980</v>
      </c>
      <c r="T41">
        <v>2363</v>
      </c>
      <c r="U41">
        <v>2390</v>
      </c>
      <c r="V41">
        <v>2273</v>
      </c>
    </row>
    <row r="42" spans="3:22" x14ac:dyDescent="0.3">
      <c r="F42">
        <v>4400</v>
      </c>
      <c r="G42">
        <v>3950</v>
      </c>
      <c r="H42">
        <v>3500</v>
      </c>
      <c r="I42">
        <v>2890</v>
      </c>
      <c r="J42">
        <v>2940</v>
      </c>
      <c r="K42">
        <v>2810</v>
      </c>
      <c r="L42">
        <v>3480</v>
      </c>
      <c r="M42">
        <v>3200</v>
      </c>
      <c r="N42">
        <v>2540</v>
      </c>
      <c r="O42">
        <v>2700</v>
      </c>
      <c r="P42">
        <v>2586</v>
      </c>
      <c r="Q42">
        <v>2321</v>
      </c>
      <c r="R42">
        <v>3907</v>
      </c>
      <c r="S42">
        <v>3406</v>
      </c>
      <c r="T42">
        <v>2980</v>
      </c>
      <c r="U42">
        <v>2363</v>
      </c>
      <c r="V42">
        <v>2390</v>
      </c>
    </row>
    <row r="43" spans="3:22" x14ac:dyDescent="0.3">
      <c r="G43">
        <v>4400</v>
      </c>
      <c r="H43">
        <v>3950</v>
      </c>
      <c r="I43">
        <v>3500</v>
      </c>
      <c r="J43">
        <v>2890</v>
      </c>
      <c r="K43">
        <v>2940</v>
      </c>
      <c r="L43">
        <v>2810</v>
      </c>
      <c r="M43">
        <v>3480</v>
      </c>
      <c r="N43">
        <v>3200</v>
      </c>
      <c r="O43">
        <v>2540</v>
      </c>
      <c r="P43">
        <v>2700</v>
      </c>
      <c r="Q43">
        <v>2586</v>
      </c>
      <c r="R43">
        <v>2321</v>
      </c>
      <c r="S43">
        <v>3907</v>
      </c>
      <c r="T43">
        <v>3406</v>
      </c>
      <c r="U43">
        <v>2980</v>
      </c>
      <c r="V43">
        <v>2363</v>
      </c>
    </row>
    <row r="44" spans="3:22" x14ac:dyDescent="0.3">
      <c r="H44">
        <v>4400</v>
      </c>
      <c r="I44">
        <v>3950</v>
      </c>
      <c r="J44">
        <v>3500</v>
      </c>
      <c r="K44">
        <v>2890</v>
      </c>
      <c r="L44">
        <v>2940</v>
      </c>
      <c r="M44">
        <v>2810</v>
      </c>
      <c r="N44">
        <v>3480</v>
      </c>
      <c r="O44">
        <v>3200</v>
      </c>
      <c r="P44">
        <v>2540</v>
      </c>
      <c r="Q44">
        <v>2700</v>
      </c>
      <c r="R44">
        <v>2586</v>
      </c>
      <c r="S44">
        <v>2321</v>
      </c>
      <c r="T44">
        <v>3907</v>
      </c>
      <c r="U44">
        <v>3406</v>
      </c>
      <c r="V44">
        <v>2980</v>
      </c>
    </row>
    <row r="45" spans="3:22" x14ac:dyDescent="0.3">
      <c r="I45">
        <v>4400</v>
      </c>
      <c r="J45">
        <v>3950</v>
      </c>
      <c r="K45">
        <v>3500</v>
      </c>
      <c r="L45">
        <v>2890</v>
      </c>
      <c r="M45">
        <v>2940</v>
      </c>
      <c r="N45">
        <v>2810</v>
      </c>
      <c r="O45">
        <v>3480</v>
      </c>
      <c r="P45">
        <v>3200</v>
      </c>
      <c r="Q45">
        <v>2540</v>
      </c>
      <c r="R45">
        <v>2700</v>
      </c>
      <c r="S45">
        <v>2586</v>
      </c>
      <c r="T45">
        <v>2321</v>
      </c>
      <c r="U45">
        <v>3907</v>
      </c>
      <c r="V45">
        <v>3406</v>
      </c>
    </row>
    <row r="46" spans="3:22" x14ac:dyDescent="0.3">
      <c r="J46">
        <v>4400</v>
      </c>
      <c r="K46">
        <v>3950</v>
      </c>
      <c r="L46">
        <v>3500</v>
      </c>
      <c r="M46">
        <v>2890</v>
      </c>
      <c r="N46">
        <v>2940</v>
      </c>
      <c r="O46">
        <v>2810</v>
      </c>
      <c r="P46">
        <v>3480</v>
      </c>
      <c r="Q46">
        <v>3200</v>
      </c>
      <c r="R46">
        <v>2540</v>
      </c>
      <c r="S46">
        <v>2700</v>
      </c>
      <c r="T46">
        <v>2586</v>
      </c>
      <c r="U46">
        <v>2321</v>
      </c>
      <c r="V46">
        <v>3907</v>
      </c>
    </row>
    <row r="47" spans="3:22" x14ac:dyDescent="0.3">
      <c r="K47">
        <v>4400</v>
      </c>
      <c r="L47">
        <v>3950</v>
      </c>
      <c r="M47">
        <v>3500</v>
      </c>
      <c r="N47">
        <v>2890</v>
      </c>
      <c r="O47">
        <v>2940</v>
      </c>
      <c r="P47">
        <v>2810</v>
      </c>
      <c r="Q47">
        <v>3480</v>
      </c>
      <c r="R47">
        <v>3200</v>
      </c>
      <c r="S47">
        <v>2540</v>
      </c>
      <c r="T47">
        <v>2700</v>
      </c>
      <c r="U47">
        <v>2586</v>
      </c>
      <c r="V47">
        <v>2321</v>
      </c>
    </row>
    <row r="48" spans="3:22" x14ac:dyDescent="0.3">
      <c r="L48">
        <v>4400</v>
      </c>
      <c r="M48">
        <v>3950</v>
      </c>
      <c r="N48">
        <v>3500</v>
      </c>
      <c r="O48">
        <v>2890</v>
      </c>
      <c r="P48">
        <v>2940</v>
      </c>
      <c r="Q48">
        <v>2810</v>
      </c>
      <c r="R48">
        <v>3480</v>
      </c>
      <c r="S48">
        <v>3200</v>
      </c>
      <c r="T48">
        <v>2540</v>
      </c>
      <c r="U48">
        <v>2700</v>
      </c>
      <c r="V48">
        <v>2586</v>
      </c>
    </row>
    <row r="49" spans="13:22" x14ac:dyDescent="0.3">
      <c r="M49">
        <v>4400</v>
      </c>
      <c r="N49">
        <v>3950</v>
      </c>
      <c r="O49">
        <v>3500</v>
      </c>
      <c r="P49">
        <v>2890</v>
      </c>
      <c r="Q49">
        <v>2940</v>
      </c>
      <c r="R49">
        <v>2810</v>
      </c>
      <c r="S49">
        <v>3480</v>
      </c>
      <c r="T49">
        <v>3200</v>
      </c>
      <c r="U49">
        <v>2540</v>
      </c>
      <c r="V49">
        <v>2700</v>
      </c>
    </row>
    <row r="50" spans="13:22" x14ac:dyDescent="0.3">
      <c r="N50">
        <v>4400</v>
      </c>
      <c r="O50">
        <v>3950</v>
      </c>
      <c r="P50">
        <v>3500</v>
      </c>
      <c r="Q50">
        <v>2890</v>
      </c>
      <c r="R50">
        <v>2940</v>
      </c>
      <c r="S50">
        <v>2810</v>
      </c>
      <c r="T50">
        <v>3480</v>
      </c>
      <c r="U50">
        <v>3200</v>
      </c>
      <c r="V50">
        <v>2540</v>
      </c>
    </row>
    <row r="51" spans="13:22" x14ac:dyDescent="0.3">
      <c r="O51">
        <v>4400</v>
      </c>
      <c r="P51">
        <v>3950</v>
      </c>
      <c r="Q51">
        <v>3500</v>
      </c>
      <c r="R51">
        <v>2890</v>
      </c>
      <c r="S51">
        <v>2940</v>
      </c>
      <c r="T51">
        <v>2810</v>
      </c>
      <c r="U51">
        <v>3480</v>
      </c>
      <c r="V51">
        <v>3200</v>
      </c>
    </row>
    <row r="52" spans="13:22" x14ac:dyDescent="0.3">
      <c r="P52">
        <v>4400</v>
      </c>
      <c r="Q52">
        <v>3950</v>
      </c>
      <c r="R52">
        <v>3500</v>
      </c>
      <c r="S52">
        <v>2890</v>
      </c>
      <c r="T52">
        <v>2940</v>
      </c>
      <c r="U52">
        <v>2810</v>
      </c>
      <c r="V52">
        <v>3480</v>
      </c>
    </row>
    <row r="53" spans="13:22" x14ac:dyDescent="0.3">
      <c r="Q53">
        <v>4400</v>
      </c>
      <c r="R53">
        <v>3950</v>
      </c>
      <c r="S53">
        <v>3500</v>
      </c>
      <c r="T53">
        <v>2890</v>
      </c>
      <c r="U53">
        <v>2940</v>
      </c>
      <c r="V53">
        <v>2810</v>
      </c>
    </row>
    <row r="54" spans="13:22" x14ac:dyDescent="0.3">
      <c r="R54">
        <v>4400</v>
      </c>
      <c r="S54">
        <v>3950</v>
      </c>
      <c r="T54">
        <v>3500</v>
      </c>
      <c r="U54">
        <v>2890</v>
      </c>
      <c r="V54">
        <v>2940</v>
      </c>
    </row>
    <row r="55" spans="13:22" x14ac:dyDescent="0.3">
      <c r="S55">
        <v>4400</v>
      </c>
      <c r="T55">
        <v>3950</v>
      </c>
      <c r="U55">
        <v>3500</v>
      </c>
      <c r="V55">
        <v>2890</v>
      </c>
    </row>
    <row r="56" spans="13:22" x14ac:dyDescent="0.3">
      <c r="T56">
        <v>4400</v>
      </c>
      <c r="U56">
        <v>3950</v>
      </c>
      <c r="V56">
        <v>3500</v>
      </c>
    </row>
    <row r="57" spans="13:22" x14ac:dyDescent="0.3">
      <c r="U57">
        <v>4400</v>
      </c>
      <c r="V57">
        <v>3950</v>
      </c>
    </row>
    <row r="58" spans="13:22" x14ac:dyDescent="0.3">
      <c r="V58">
        <v>4400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DFA4-3483-409D-910A-DC10265AF067}">
  <dimension ref="A1:V58"/>
  <sheetViews>
    <sheetView topLeftCell="B1" workbookViewId="0">
      <selection activeCell="E4" sqref="E4"/>
    </sheetView>
  </sheetViews>
  <sheetFormatPr defaultRowHeight="14.4" x14ac:dyDescent="0.3"/>
  <cols>
    <col min="2" max="2" width="22.77734375" customWidth="1"/>
    <col min="3" max="3" width="9.21875" customWidth="1"/>
  </cols>
  <sheetData>
    <row r="1" spans="1:22" x14ac:dyDescent="0.3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</row>
    <row r="2" spans="1:22" x14ac:dyDescent="0.3">
      <c r="B2" t="s">
        <v>78</v>
      </c>
      <c r="D2">
        <f>CORREL($D6:$D40,D6:D$40)</f>
        <v>1</v>
      </c>
      <c r="E2">
        <f>CORREL($D6:$D40,E6:E$40)</f>
        <v>0.74391756308941503</v>
      </c>
      <c r="F2">
        <f>CORREL($D6:$D40,F6:F$40)</f>
        <v>0.52538481667387316</v>
      </c>
      <c r="G2">
        <f>CORREL($D6:$D40,G6:G$40)</f>
        <v>0.39348890251997454</v>
      </c>
      <c r="H2">
        <f>CORREL($D6:$D40,H6:H$40)</f>
        <v>0.39768532510175569</v>
      </c>
      <c r="I2">
        <f>CORREL($D10:$D40,I10:I$40)</f>
        <v>0.57989401013921993</v>
      </c>
      <c r="J2">
        <f>CORREL($D11:$D40,J11:J40)</f>
        <v>0.82789899455571458</v>
      </c>
      <c r="K2">
        <f>CORREL($D12:$D40,K12:K40)</f>
        <v>0.56291115067569686</v>
      </c>
      <c r="L2">
        <f>CORREL($D13:$D40,L13:L40)</f>
        <v>0.29237510017626922</v>
      </c>
      <c r="M2">
        <f>CORREL($D14:$D40,M14:M40)</f>
        <v>0.20421960032339651</v>
      </c>
      <c r="N2">
        <f>CORREL($D15:$D40,N15:N40)</f>
        <v>0.27181059337225527</v>
      </c>
      <c r="O2">
        <f>CORREL($D16:$D40,O16:O40)</f>
        <v>0.5122758222224838</v>
      </c>
      <c r="P2">
        <f>CORREL($D17:$D40,P17:P40)</f>
        <v>0.99442722942507122</v>
      </c>
      <c r="Q2">
        <f>CORREL($D18:$D40,Q18:Q40)</f>
        <v>0.69158842666537212</v>
      </c>
      <c r="R2">
        <f>CORREL($D19:$D40,R19:R40)</f>
        <v>0.38373804383420723</v>
      </c>
      <c r="S2">
        <f>CORREL($D20:$D40,S20:S40)</f>
        <v>0.17587684854544069</v>
      </c>
      <c r="T2">
        <f>CORREL($D21:$D40,T21:T40)</f>
        <v>0.16570078133645771</v>
      </c>
      <c r="U2">
        <f>CORREL($D22:$D40,U22:U40)</f>
        <v>0.41897466548792245</v>
      </c>
      <c r="V2" t="e">
        <f>CORREL($D23:$D40,V6:V40)</f>
        <v>#N/A</v>
      </c>
    </row>
    <row r="3" spans="1:22" ht="18" x14ac:dyDescent="0.35">
      <c r="C3" s="10" t="s">
        <v>79</v>
      </c>
      <c r="E3" s="21">
        <f>_xlfn.T.INV.2T(0.05,36-E1-2)</f>
        <v>2.0345152974493397</v>
      </c>
      <c r="F3" s="21">
        <f t="shared" ref="F3:N3" si="0">_xlfn.T.INV.2T(0.05,36-F1-2)</f>
        <v>2.0369333434601011</v>
      </c>
      <c r="G3" s="21">
        <f t="shared" si="0"/>
        <v>2.0395134463964082</v>
      </c>
      <c r="H3" s="21">
        <f t="shared" si="0"/>
        <v>2.0422724563012378</v>
      </c>
      <c r="I3" s="21">
        <f t="shared" si="0"/>
        <v>2.0452296421327048</v>
      </c>
      <c r="J3" s="21">
        <f t="shared" si="0"/>
        <v>2.0484071417952445</v>
      </c>
      <c r="K3" s="21">
        <f t="shared" si="0"/>
        <v>2.0518305164802859</v>
      </c>
      <c r="L3" s="21">
        <f t="shared" si="0"/>
        <v>2.0555294386428731</v>
      </c>
      <c r="M3" s="21">
        <f t="shared" si="0"/>
        <v>2.0595385527532977</v>
      </c>
      <c r="N3" s="21">
        <f t="shared" si="0"/>
        <v>2.0638985616280254</v>
      </c>
      <c r="O3">
        <f t="shared" ref="O3:V3" si="1">_xlfn.T.INV.2T(0.05,36-O1-2)</f>
        <v>2.0686576104190491</v>
      </c>
      <c r="P3">
        <f t="shared" si="1"/>
        <v>2.0738730679040258</v>
      </c>
      <c r="Q3">
        <f t="shared" si="1"/>
        <v>2.07961384472768</v>
      </c>
      <c r="R3">
        <f t="shared" si="1"/>
        <v>2.0859634472658648</v>
      </c>
      <c r="S3">
        <f t="shared" si="1"/>
        <v>2.0930240544083096</v>
      </c>
      <c r="T3">
        <f t="shared" si="1"/>
        <v>2.1009220402410378</v>
      </c>
      <c r="U3">
        <f t="shared" si="1"/>
        <v>2.109815577833317</v>
      </c>
      <c r="V3">
        <f t="shared" si="1"/>
        <v>2.119905299221255</v>
      </c>
    </row>
    <row r="4" spans="1:22" ht="18" x14ac:dyDescent="0.35">
      <c r="C4" t="s">
        <v>80</v>
      </c>
      <c r="E4">
        <f>E2*SQRT(36-E1-2)/SQRT(1-E2^2)</f>
        <v>6.3948286095474316</v>
      </c>
      <c r="F4">
        <f t="shared" ref="F4:V4" si="2">F2*SQRT(36-F1-2)/SQRT(1-F2^2)</f>
        <v>3.4929469002928992</v>
      </c>
      <c r="G4">
        <f t="shared" si="2"/>
        <v>2.3830996475496233</v>
      </c>
      <c r="H4">
        <f t="shared" si="2"/>
        <v>2.3740166903272102</v>
      </c>
      <c r="I4">
        <f t="shared" si="2"/>
        <v>3.8331358262198112</v>
      </c>
      <c r="J4">
        <f t="shared" si="2"/>
        <v>7.8106750497334687</v>
      </c>
      <c r="K4">
        <f t="shared" si="2"/>
        <v>3.538911689088772</v>
      </c>
      <c r="L4">
        <f t="shared" si="2"/>
        <v>1.5589465075177995</v>
      </c>
      <c r="M4">
        <f t="shared" si="2"/>
        <v>1.0430808238419804</v>
      </c>
      <c r="N4">
        <f t="shared" si="2"/>
        <v>1.3836893622300352</v>
      </c>
      <c r="O4">
        <f t="shared" si="2"/>
        <v>2.8606526663911001</v>
      </c>
      <c r="P4">
        <f t="shared" si="2"/>
        <v>44.242500926061908</v>
      </c>
      <c r="Q4">
        <f t="shared" si="2"/>
        <v>4.3877783238619221</v>
      </c>
      <c r="R4">
        <f t="shared" si="2"/>
        <v>1.8584044443148682</v>
      </c>
      <c r="S4">
        <f t="shared" si="2"/>
        <v>0.77876871828830507</v>
      </c>
      <c r="T4">
        <f t="shared" si="2"/>
        <v>0.71286344756125863</v>
      </c>
      <c r="U4">
        <f t="shared" si="2"/>
        <v>1.9025118394304603</v>
      </c>
      <c r="V4" t="e">
        <f t="shared" si="2"/>
        <v>#N/A</v>
      </c>
    </row>
    <row r="5" spans="1:22" x14ac:dyDescent="0.3">
      <c r="C5">
        <v>1</v>
      </c>
      <c r="D5">
        <v>1000</v>
      </c>
    </row>
    <row r="6" spans="1:22" x14ac:dyDescent="0.3">
      <c r="C6">
        <v>2</v>
      </c>
      <c r="D6">
        <v>1300</v>
      </c>
      <c r="E6">
        <v>1000</v>
      </c>
    </row>
    <row r="7" spans="1:22" x14ac:dyDescent="0.3">
      <c r="A7" s="21" t="s">
        <v>81</v>
      </c>
      <c r="C7">
        <v>3</v>
      </c>
      <c r="D7">
        <v>1410</v>
      </c>
      <c r="E7">
        <v>1300</v>
      </c>
      <c r="F7">
        <v>1000</v>
      </c>
    </row>
    <row r="8" spans="1:22" x14ac:dyDescent="0.3">
      <c r="C8">
        <v>4</v>
      </c>
      <c r="D8">
        <v>1397</v>
      </c>
      <c r="E8">
        <v>1410</v>
      </c>
      <c r="F8">
        <v>1300</v>
      </c>
      <c r="G8">
        <v>1000</v>
      </c>
    </row>
    <row r="9" spans="1:22" x14ac:dyDescent="0.3">
      <c r="C9">
        <v>5</v>
      </c>
      <c r="D9">
        <v>2040</v>
      </c>
      <c r="E9">
        <v>1397</v>
      </c>
      <c r="F9">
        <v>1410</v>
      </c>
      <c r="G9">
        <v>1300</v>
      </c>
      <c r="H9">
        <v>1000</v>
      </c>
    </row>
    <row r="10" spans="1:22" x14ac:dyDescent="0.3">
      <c r="C10">
        <v>6</v>
      </c>
      <c r="D10">
        <v>2269</v>
      </c>
      <c r="E10">
        <v>2040</v>
      </c>
      <c r="F10">
        <v>1397</v>
      </c>
      <c r="G10">
        <v>1410</v>
      </c>
      <c r="H10">
        <v>1300</v>
      </c>
      <c r="I10">
        <v>1000</v>
      </c>
    </row>
    <row r="11" spans="1:22" x14ac:dyDescent="0.3">
      <c r="C11">
        <v>7</v>
      </c>
      <c r="D11">
        <v>1610</v>
      </c>
      <c r="E11">
        <v>2269</v>
      </c>
      <c r="F11">
        <v>2040</v>
      </c>
      <c r="G11">
        <v>1397</v>
      </c>
      <c r="H11">
        <v>1410</v>
      </c>
      <c r="I11">
        <v>1300</v>
      </c>
      <c r="J11">
        <v>1000</v>
      </c>
    </row>
    <row r="12" spans="1:22" x14ac:dyDescent="0.3">
      <c r="C12">
        <v>8</v>
      </c>
      <c r="D12">
        <v>1723</v>
      </c>
      <c r="E12">
        <v>1610</v>
      </c>
      <c r="F12">
        <v>2269</v>
      </c>
      <c r="G12">
        <v>2040</v>
      </c>
      <c r="H12">
        <v>1397</v>
      </c>
      <c r="I12">
        <v>1410</v>
      </c>
      <c r="J12">
        <v>1300</v>
      </c>
      <c r="K12">
        <v>1000</v>
      </c>
    </row>
    <row r="13" spans="1:22" x14ac:dyDescent="0.3">
      <c r="C13">
        <v>9</v>
      </c>
      <c r="D13">
        <v>1700</v>
      </c>
      <c r="E13">
        <v>1723</v>
      </c>
      <c r="F13">
        <v>1610</v>
      </c>
      <c r="G13">
        <v>2269</v>
      </c>
      <c r="H13">
        <v>2040</v>
      </c>
      <c r="I13">
        <v>1397</v>
      </c>
      <c r="J13">
        <v>1410</v>
      </c>
      <c r="K13">
        <v>1300</v>
      </c>
      <c r="L13">
        <v>1000</v>
      </c>
    </row>
    <row r="14" spans="1:22" x14ac:dyDescent="0.3">
      <c r="C14">
        <v>10</v>
      </c>
      <c r="D14">
        <v>2290</v>
      </c>
      <c r="E14">
        <v>1700</v>
      </c>
      <c r="F14">
        <v>1723</v>
      </c>
      <c r="G14">
        <v>1610</v>
      </c>
      <c r="H14">
        <v>2269</v>
      </c>
      <c r="I14">
        <v>2040</v>
      </c>
      <c r="J14">
        <v>1397</v>
      </c>
      <c r="K14">
        <v>1410</v>
      </c>
      <c r="L14">
        <v>1300</v>
      </c>
      <c r="M14">
        <v>1000</v>
      </c>
    </row>
    <row r="15" spans="1:22" x14ac:dyDescent="0.3">
      <c r="C15">
        <v>11</v>
      </c>
      <c r="D15">
        <v>2698</v>
      </c>
      <c r="E15">
        <v>2290</v>
      </c>
      <c r="F15">
        <v>1700</v>
      </c>
      <c r="G15">
        <v>1723</v>
      </c>
      <c r="H15">
        <v>1610</v>
      </c>
      <c r="I15">
        <v>2269</v>
      </c>
      <c r="J15">
        <v>2040</v>
      </c>
      <c r="K15">
        <v>1397</v>
      </c>
      <c r="L15">
        <v>1410</v>
      </c>
      <c r="M15">
        <v>1300</v>
      </c>
      <c r="N15">
        <v>1000</v>
      </c>
    </row>
    <row r="16" spans="1:22" x14ac:dyDescent="0.3">
      <c r="C16">
        <v>12</v>
      </c>
      <c r="D16">
        <v>3178</v>
      </c>
      <c r="E16">
        <v>2698</v>
      </c>
      <c r="F16">
        <v>2290</v>
      </c>
      <c r="G16">
        <v>1700</v>
      </c>
      <c r="H16">
        <v>1723</v>
      </c>
      <c r="I16">
        <v>1610</v>
      </c>
      <c r="J16">
        <v>2269</v>
      </c>
      <c r="K16">
        <v>2040</v>
      </c>
      <c r="L16">
        <v>1397</v>
      </c>
      <c r="M16">
        <v>1410</v>
      </c>
      <c r="N16">
        <v>1300</v>
      </c>
      <c r="O16">
        <v>1000</v>
      </c>
    </row>
    <row r="17" spans="3:22" x14ac:dyDescent="0.3">
      <c r="C17">
        <v>13</v>
      </c>
      <c r="D17">
        <v>1700</v>
      </c>
      <c r="E17">
        <v>3178</v>
      </c>
      <c r="F17">
        <v>2698</v>
      </c>
      <c r="G17">
        <v>2290</v>
      </c>
      <c r="H17">
        <v>1700</v>
      </c>
      <c r="I17">
        <v>1723</v>
      </c>
      <c r="J17">
        <v>1610</v>
      </c>
      <c r="K17">
        <v>2269</v>
      </c>
      <c r="L17">
        <v>2040</v>
      </c>
      <c r="M17">
        <v>1397</v>
      </c>
      <c r="N17">
        <v>1410</v>
      </c>
      <c r="O17">
        <v>1300</v>
      </c>
      <c r="P17">
        <v>1000</v>
      </c>
    </row>
    <row r="18" spans="3:22" x14ac:dyDescent="0.3">
      <c r="C18">
        <v>14</v>
      </c>
      <c r="D18">
        <v>1960</v>
      </c>
      <c r="E18">
        <v>1700</v>
      </c>
      <c r="F18">
        <v>3178</v>
      </c>
      <c r="G18">
        <v>2698</v>
      </c>
      <c r="H18">
        <v>2290</v>
      </c>
      <c r="I18">
        <v>1700</v>
      </c>
      <c r="J18">
        <v>1723</v>
      </c>
      <c r="K18">
        <v>1610</v>
      </c>
      <c r="L18">
        <v>2269</v>
      </c>
      <c r="M18">
        <v>2040</v>
      </c>
      <c r="N18">
        <v>1397</v>
      </c>
      <c r="O18">
        <v>1410</v>
      </c>
      <c r="P18">
        <v>1300</v>
      </c>
      <c r="Q18">
        <v>1000</v>
      </c>
    </row>
    <row r="19" spans="3:22" x14ac:dyDescent="0.3">
      <c r="C19">
        <v>15</v>
      </c>
      <c r="D19">
        <v>2073</v>
      </c>
      <c r="E19">
        <v>1960</v>
      </c>
      <c r="F19">
        <v>1700</v>
      </c>
      <c r="G19">
        <v>3178</v>
      </c>
      <c r="H19">
        <v>2698</v>
      </c>
      <c r="I19">
        <v>2290</v>
      </c>
      <c r="J19">
        <v>1700</v>
      </c>
      <c r="K19">
        <v>1723</v>
      </c>
      <c r="L19">
        <v>1610</v>
      </c>
      <c r="M19">
        <v>2269</v>
      </c>
      <c r="N19">
        <v>2040</v>
      </c>
      <c r="O19">
        <v>1397</v>
      </c>
      <c r="P19">
        <v>1410</v>
      </c>
      <c r="Q19">
        <v>1300</v>
      </c>
      <c r="R19">
        <v>1000</v>
      </c>
    </row>
    <row r="20" spans="3:22" x14ac:dyDescent="0.3">
      <c r="C20">
        <v>16</v>
      </c>
      <c r="D20">
        <v>2057</v>
      </c>
      <c r="E20">
        <v>2073</v>
      </c>
      <c r="F20">
        <v>1960</v>
      </c>
      <c r="G20">
        <v>1700</v>
      </c>
      <c r="H20">
        <v>3178</v>
      </c>
      <c r="I20">
        <v>2698</v>
      </c>
      <c r="J20">
        <v>2290</v>
      </c>
      <c r="K20">
        <v>1700</v>
      </c>
      <c r="L20">
        <v>1723</v>
      </c>
      <c r="M20">
        <v>1610</v>
      </c>
      <c r="N20">
        <v>2269</v>
      </c>
      <c r="O20">
        <v>2040</v>
      </c>
      <c r="P20">
        <v>1397</v>
      </c>
      <c r="Q20">
        <v>1410</v>
      </c>
      <c r="R20">
        <v>1300</v>
      </c>
      <c r="S20">
        <v>1000</v>
      </c>
    </row>
    <row r="21" spans="3:22" x14ac:dyDescent="0.3">
      <c r="C21">
        <v>17</v>
      </c>
      <c r="D21">
        <v>2730</v>
      </c>
      <c r="E21">
        <v>2057</v>
      </c>
      <c r="F21">
        <v>2073</v>
      </c>
      <c r="G21">
        <v>1960</v>
      </c>
      <c r="H21">
        <v>1700</v>
      </c>
      <c r="I21">
        <v>3178</v>
      </c>
      <c r="J21">
        <v>2698</v>
      </c>
      <c r="K21">
        <v>2290</v>
      </c>
      <c r="L21">
        <v>1700</v>
      </c>
      <c r="M21">
        <v>1723</v>
      </c>
      <c r="N21">
        <v>1610</v>
      </c>
      <c r="O21">
        <v>2269</v>
      </c>
      <c r="P21">
        <v>2040</v>
      </c>
      <c r="Q21">
        <v>1397</v>
      </c>
      <c r="R21">
        <v>1410</v>
      </c>
      <c r="S21">
        <v>1300</v>
      </c>
      <c r="T21">
        <v>1000</v>
      </c>
    </row>
    <row r="22" spans="3:22" x14ac:dyDescent="0.3">
      <c r="C22">
        <v>18</v>
      </c>
      <c r="D22">
        <v>2968</v>
      </c>
      <c r="E22">
        <v>2730</v>
      </c>
      <c r="F22">
        <v>2057</v>
      </c>
      <c r="G22">
        <v>2073</v>
      </c>
      <c r="H22">
        <v>1960</v>
      </c>
      <c r="I22">
        <v>1700</v>
      </c>
      <c r="J22">
        <v>3178</v>
      </c>
      <c r="K22">
        <v>2698</v>
      </c>
      <c r="L22">
        <v>2290</v>
      </c>
      <c r="M22">
        <v>1700</v>
      </c>
      <c r="N22">
        <v>1723</v>
      </c>
      <c r="O22">
        <v>1610</v>
      </c>
      <c r="P22">
        <v>2269</v>
      </c>
      <c r="Q22">
        <v>2040</v>
      </c>
      <c r="R22">
        <v>1397</v>
      </c>
      <c r="S22">
        <v>1410</v>
      </c>
      <c r="T22">
        <v>1300</v>
      </c>
      <c r="U22">
        <v>1000</v>
      </c>
    </row>
    <row r="23" spans="3:22" x14ac:dyDescent="0.3">
      <c r="C23">
        <v>19</v>
      </c>
      <c r="D23">
        <v>2273</v>
      </c>
      <c r="E23">
        <v>2968</v>
      </c>
      <c r="F23">
        <v>2730</v>
      </c>
      <c r="G23">
        <v>2057</v>
      </c>
      <c r="H23">
        <v>2073</v>
      </c>
      <c r="I23">
        <v>1960</v>
      </c>
      <c r="J23">
        <v>1700</v>
      </c>
      <c r="K23">
        <v>3178</v>
      </c>
      <c r="L23">
        <v>2698</v>
      </c>
      <c r="M23">
        <v>2290</v>
      </c>
      <c r="N23">
        <v>1700</v>
      </c>
      <c r="O23">
        <v>1723</v>
      </c>
      <c r="P23">
        <v>1610</v>
      </c>
      <c r="Q23">
        <v>2269</v>
      </c>
      <c r="R23">
        <v>2040</v>
      </c>
      <c r="S23">
        <v>1397</v>
      </c>
      <c r="T23">
        <v>1410</v>
      </c>
      <c r="U23">
        <v>1300</v>
      </c>
      <c r="V23">
        <v>1000</v>
      </c>
    </row>
    <row r="24" spans="3:22" x14ac:dyDescent="0.3">
      <c r="C24">
        <v>20</v>
      </c>
      <c r="D24">
        <v>2390</v>
      </c>
      <c r="E24">
        <v>2273</v>
      </c>
      <c r="F24">
        <v>2968</v>
      </c>
      <c r="G24">
        <v>2730</v>
      </c>
      <c r="H24">
        <v>2057</v>
      </c>
      <c r="I24">
        <v>2073</v>
      </c>
      <c r="J24">
        <v>1960</v>
      </c>
      <c r="K24">
        <v>1700</v>
      </c>
      <c r="L24">
        <v>3178</v>
      </c>
      <c r="M24">
        <v>2698</v>
      </c>
      <c r="N24">
        <v>2290</v>
      </c>
      <c r="O24">
        <v>1700</v>
      </c>
      <c r="P24">
        <v>1723</v>
      </c>
      <c r="Q24">
        <v>1610</v>
      </c>
      <c r="R24">
        <v>2269</v>
      </c>
      <c r="S24">
        <v>2040</v>
      </c>
      <c r="T24">
        <v>1397</v>
      </c>
      <c r="U24">
        <v>1410</v>
      </c>
      <c r="V24">
        <v>1300</v>
      </c>
    </row>
    <row r="25" spans="3:22" x14ac:dyDescent="0.3">
      <c r="C25">
        <v>21</v>
      </c>
      <c r="D25">
        <v>2363</v>
      </c>
      <c r="E25">
        <v>2390</v>
      </c>
      <c r="F25">
        <v>2273</v>
      </c>
      <c r="G25">
        <v>2968</v>
      </c>
      <c r="H25">
        <v>2730</v>
      </c>
      <c r="I25">
        <v>2057</v>
      </c>
      <c r="J25">
        <v>2073</v>
      </c>
      <c r="K25">
        <v>1960</v>
      </c>
      <c r="L25">
        <v>1700</v>
      </c>
      <c r="M25">
        <v>3178</v>
      </c>
      <c r="N25">
        <v>2698</v>
      </c>
      <c r="O25">
        <v>2290</v>
      </c>
      <c r="P25">
        <v>1700</v>
      </c>
      <c r="Q25">
        <v>1723</v>
      </c>
      <c r="R25">
        <v>1610</v>
      </c>
      <c r="S25">
        <v>2269</v>
      </c>
      <c r="T25">
        <v>2040</v>
      </c>
      <c r="U25">
        <v>1397</v>
      </c>
      <c r="V25">
        <v>1410</v>
      </c>
    </row>
    <row r="26" spans="3:22" x14ac:dyDescent="0.3">
      <c r="C26">
        <v>22</v>
      </c>
      <c r="D26">
        <v>2980</v>
      </c>
      <c r="E26">
        <v>2363</v>
      </c>
      <c r="F26">
        <v>2390</v>
      </c>
      <c r="G26">
        <v>2273</v>
      </c>
      <c r="H26">
        <v>2968</v>
      </c>
      <c r="I26">
        <v>2730</v>
      </c>
      <c r="J26">
        <v>2057</v>
      </c>
      <c r="K26">
        <v>2073</v>
      </c>
      <c r="L26">
        <v>1960</v>
      </c>
      <c r="M26">
        <v>1700</v>
      </c>
      <c r="N26">
        <v>3178</v>
      </c>
      <c r="O26">
        <v>2698</v>
      </c>
      <c r="P26">
        <v>2290</v>
      </c>
      <c r="Q26">
        <v>1700</v>
      </c>
      <c r="R26">
        <v>1723</v>
      </c>
      <c r="S26">
        <v>1610</v>
      </c>
      <c r="T26">
        <v>2269</v>
      </c>
      <c r="U26">
        <v>2040</v>
      </c>
      <c r="V26">
        <v>1397</v>
      </c>
    </row>
    <row r="27" spans="3:22" x14ac:dyDescent="0.3">
      <c r="C27">
        <v>23</v>
      </c>
      <c r="D27">
        <v>3406</v>
      </c>
      <c r="E27">
        <v>2980</v>
      </c>
      <c r="F27">
        <v>2363</v>
      </c>
      <c r="G27">
        <v>2390</v>
      </c>
      <c r="H27">
        <v>2273</v>
      </c>
      <c r="I27">
        <v>2968</v>
      </c>
      <c r="J27">
        <v>2730</v>
      </c>
      <c r="K27">
        <v>2057</v>
      </c>
      <c r="L27">
        <v>2073</v>
      </c>
      <c r="M27">
        <v>1960</v>
      </c>
      <c r="N27">
        <v>1700</v>
      </c>
      <c r="O27">
        <v>3178</v>
      </c>
      <c r="P27">
        <v>2698</v>
      </c>
      <c r="Q27">
        <v>2290</v>
      </c>
      <c r="R27">
        <v>1700</v>
      </c>
      <c r="S27">
        <v>1723</v>
      </c>
      <c r="T27">
        <v>1610</v>
      </c>
      <c r="U27">
        <v>2269</v>
      </c>
      <c r="V27">
        <v>2040</v>
      </c>
    </row>
    <row r="28" spans="3:22" x14ac:dyDescent="0.3">
      <c r="C28">
        <v>24</v>
      </c>
      <c r="D28">
        <v>3907</v>
      </c>
      <c r="E28">
        <v>3406</v>
      </c>
      <c r="F28">
        <v>2980</v>
      </c>
      <c r="G28">
        <v>2363</v>
      </c>
      <c r="H28">
        <v>2390</v>
      </c>
      <c r="I28">
        <v>2273</v>
      </c>
      <c r="J28">
        <v>2968</v>
      </c>
      <c r="K28">
        <v>2730</v>
      </c>
      <c r="L28">
        <v>2057</v>
      </c>
      <c r="M28">
        <v>2073</v>
      </c>
      <c r="N28">
        <v>1960</v>
      </c>
      <c r="O28">
        <v>1700</v>
      </c>
      <c r="P28">
        <v>3178</v>
      </c>
      <c r="Q28">
        <v>2698</v>
      </c>
      <c r="R28">
        <v>2290</v>
      </c>
      <c r="S28">
        <v>1700</v>
      </c>
      <c r="T28">
        <v>1723</v>
      </c>
      <c r="U28">
        <v>1610</v>
      </c>
      <c r="V28">
        <v>2269</v>
      </c>
    </row>
    <row r="29" spans="3:22" x14ac:dyDescent="0.3">
      <c r="C29">
        <v>25</v>
      </c>
      <c r="D29">
        <v>2321</v>
      </c>
      <c r="E29">
        <v>3907</v>
      </c>
      <c r="F29">
        <v>3406</v>
      </c>
      <c r="G29">
        <v>2980</v>
      </c>
      <c r="H29">
        <v>2363</v>
      </c>
      <c r="I29">
        <v>2390</v>
      </c>
      <c r="J29">
        <v>2273</v>
      </c>
      <c r="K29">
        <v>2968</v>
      </c>
      <c r="L29">
        <v>2730</v>
      </c>
      <c r="M29">
        <v>2057</v>
      </c>
      <c r="N29">
        <v>2073</v>
      </c>
      <c r="O29">
        <v>1960</v>
      </c>
      <c r="P29">
        <v>1700</v>
      </c>
      <c r="Q29">
        <v>3178</v>
      </c>
      <c r="R29">
        <v>2698</v>
      </c>
      <c r="S29">
        <v>2290</v>
      </c>
      <c r="T29">
        <v>1700</v>
      </c>
      <c r="U29">
        <v>1723</v>
      </c>
      <c r="V29">
        <v>1610</v>
      </c>
    </row>
    <row r="30" spans="3:22" x14ac:dyDescent="0.3">
      <c r="C30">
        <v>26</v>
      </c>
      <c r="D30">
        <v>2586</v>
      </c>
      <c r="E30">
        <v>2321</v>
      </c>
      <c r="F30">
        <v>3907</v>
      </c>
      <c r="G30">
        <v>3406</v>
      </c>
      <c r="H30">
        <v>2980</v>
      </c>
      <c r="I30">
        <v>2363</v>
      </c>
      <c r="J30">
        <v>2390</v>
      </c>
      <c r="K30">
        <v>2273</v>
      </c>
      <c r="L30">
        <v>2968</v>
      </c>
      <c r="M30">
        <v>2730</v>
      </c>
      <c r="N30">
        <v>2057</v>
      </c>
      <c r="O30">
        <v>2073</v>
      </c>
      <c r="P30">
        <v>1960</v>
      </c>
      <c r="Q30">
        <v>1700</v>
      </c>
      <c r="R30">
        <v>3178</v>
      </c>
      <c r="S30">
        <v>2698</v>
      </c>
      <c r="T30">
        <v>2290</v>
      </c>
      <c r="U30">
        <v>1700</v>
      </c>
      <c r="V30">
        <v>1723</v>
      </c>
    </row>
    <row r="31" spans="3:22" x14ac:dyDescent="0.3">
      <c r="C31">
        <v>27</v>
      </c>
      <c r="D31">
        <v>2700</v>
      </c>
      <c r="E31">
        <v>2586</v>
      </c>
      <c r="F31">
        <v>2321</v>
      </c>
      <c r="G31">
        <v>3907</v>
      </c>
      <c r="H31">
        <v>3406</v>
      </c>
      <c r="I31">
        <v>2980</v>
      </c>
      <c r="J31">
        <v>2363</v>
      </c>
      <c r="K31">
        <v>2390</v>
      </c>
      <c r="L31">
        <v>2273</v>
      </c>
      <c r="M31">
        <v>2968</v>
      </c>
      <c r="N31">
        <v>2730</v>
      </c>
      <c r="O31">
        <v>2057</v>
      </c>
      <c r="P31">
        <v>2073</v>
      </c>
      <c r="Q31">
        <v>1960</v>
      </c>
      <c r="R31">
        <v>1700</v>
      </c>
      <c r="S31">
        <v>3178</v>
      </c>
      <c r="T31">
        <v>2698</v>
      </c>
      <c r="U31">
        <v>2290</v>
      </c>
      <c r="V31">
        <v>1700</v>
      </c>
    </row>
    <row r="32" spans="3:22" x14ac:dyDescent="0.3">
      <c r="C32">
        <v>28</v>
      </c>
      <c r="D32">
        <v>2540</v>
      </c>
      <c r="E32">
        <v>2700</v>
      </c>
      <c r="F32">
        <v>2586</v>
      </c>
      <c r="G32">
        <v>2321</v>
      </c>
      <c r="H32">
        <v>3907</v>
      </c>
      <c r="I32">
        <v>3406</v>
      </c>
      <c r="J32">
        <v>2980</v>
      </c>
      <c r="K32">
        <v>2363</v>
      </c>
      <c r="L32">
        <v>2390</v>
      </c>
      <c r="M32">
        <v>2273</v>
      </c>
      <c r="N32">
        <v>2968</v>
      </c>
      <c r="O32">
        <v>2730</v>
      </c>
      <c r="P32">
        <v>2057</v>
      </c>
      <c r="Q32">
        <v>2073</v>
      </c>
      <c r="R32">
        <v>1960</v>
      </c>
      <c r="S32">
        <v>1700</v>
      </c>
      <c r="T32">
        <v>3178</v>
      </c>
      <c r="U32">
        <v>2698</v>
      </c>
      <c r="V32">
        <v>2290</v>
      </c>
    </row>
    <row r="33" spans="3:22" x14ac:dyDescent="0.3">
      <c r="C33">
        <v>29</v>
      </c>
      <c r="D33">
        <v>3200</v>
      </c>
      <c r="E33">
        <v>2540</v>
      </c>
      <c r="F33">
        <v>2700</v>
      </c>
      <c r="G33">
        <v>2586</v>
      </c>
      <c r="H33">
        <v>2321</v>
      </c>
      <c r="I33">
        <v>3907</v>
      </c>
      <c r="J33">
        <v>3406</v>
      </c>
      <c r="K33">
        <v>2980</v>
      </c>
      <c r="L33">
        <v>2363</v>
      </c>
      <c r="M33">
        <v>2390</v>
      </c>
      <c r="N33">
        <v>2273</v>
      </c>
      <c r="O33">
        <v>2968</v>
      </c>
      <c r="P33">
        <v>2730</v>
      </c>
      <c r="Q33">
        <v>2057</v>
      </c>
      <c r="R33">
        <v>2073</v>
      </c>
      <c r="S33">
        <v>1960</v>
      </c>
      <c r="T33">
        <v>1700</v>
      </c>
      <c r="U33">
        <v>3178</v>
      </c>
      <c r="V33">
        <v>2698</v>
      </c>
    </row>
    <row r="34" spans="3:22" x14ac:dyDescent="0.3">
      <c r="C34">
        <v>30</v>
      </c>
      <c r="D34">
        <v>3480</v>
      </c>
      <c r="E34">
        <v>3200</v>
      </c>
      <c r="F34">
        <v>2540</v>
      </c>
      <c r="G34">
        <v>2700</v>
      </c>
      <c r="H34">
        <v>2586</v>
      </c>
      <c r="I34">
        <v>2321</v>
      </c>
      <c r="J34">
        <v>3907</v>
      </c>
      <c r="K34">
        <v>3406</v>
      </c>
      <c r="L34">
        <v>2980</v>
      </c>
      <c r="M34">
        <v>2363</v>
      </c>
      <c r="N34">
        <v>2390</v>
      </c>
      <c r="O34">
        <v>2273</v>
      </c>
      <c r="P34">
        <v>2968</v>
      </c>
      <c r="Q34">
        <v>2730</v>
      </c>
      <c r="R34">
        <v>2057</v>
      </c>
      <c r="S34">
        <v>2073</v>
      </c>
      <c r="T34">
        <v>1960</v>
      </c>
      <c r="U34">
        <v>1700</v>
      </c>
      <c r="V34">
        <v>3178</v>
      </c>
    </row>
    <row r="35" spans="3:22" x14ac:dyDescent="0.3">
      <c r="C35">
        <v>31</v>
      </c>
      <c r="D35">
        <v>2810</v>
      </c>
      <c r="E35">
        <v>3480</v>
      </c>
      <c r="F35">
        <v>3200</v>
      </c>
      <c r="G35">
        <v>2540</v>
      </c>
      <c r="H35">
        <v>2700</v>
      </c>
      <c r="I35">
        <v>2586</v>
      </c>
      <c r="J35">
        <v>2321</v>
      </c>
      <c r="K35">
        <v>3907</v>
      </c>
      <c r="L35">
        <v>3406</v>
      </c>
      <c r="M35">
        <v>2980</v>
      </c>
      <c r="N35">
        <v>2363</v>
      </c>
      <c r="O35">
        <v>2390</v>
      </c>
      <c r="P35">
        <v>2273</v>
      </c>
      <c r="Q35">
        <v>2968</v>
      </c>
      <c r="R35">
        <v>2730</v>
      </c>
      <c r="S35">
        <v>2057</v>
      </c>
      <c r="T35">
        <v>2073</v>
      </c>
      <c r="U35">
        <v>1960</v>
      </c>
      <c r="V35">
        <v>1700</v>
      </c>
    </row>
    <row r="36" spans="3:22" x14ac:dyDescent="0.3">
      <c r="C36">
        <v>32</v>
      </c>
      <c r="D36">
        <v>2940</v>
      </c>
      <c r="E36">
        <v>2810</v>
      </c>
      <c r="F36">
        <v>3480</v>
      </c>
      <c r="G36">
        <v>3200</v>
      </c>
      <c r="H36">
        <v>2540</v>
      </c>
      <c r="I36">
        <v>2700</v>
      </c>
      <c r="J36">
        <v>2586</v>
      </c>
      <c r="K36">
        <v>2321</v>
      </c>
      <c r="L36">
        <v>3907</v>
      </c>
      <c r="M36">
        <v>3406</v>
      </c>
      <c r="N36">
        <v>2980</v>
      </c>
      <c r="O36">
        <v>2363</v>
      </c>
      <c r="P36">
        <v>2390</v>
      </c>
      <c r="Q36">
        <v>2273</v>
      </c>
      <c r="R36">
        <v>2968</v>
      </c>
      <c r="S36">
        <v>2730</v>
      </c>
      <c r="T36">
        <v>2057</v>
      </c>
      <c r="U36">
        <v>2073</v>
      </c>
      <c r="V36">
        <v>1960</v>
      </c>
    </row>
    <row r="37" spans="3:22" x14ac:dyDescent="0.3">
      <c r="C37">
        <v>33</v>
      </c>
      <c r="D37">
        <v>2890</v>
      </c>
      <c r="E37">
        <v>2940</v>
      </c>
      <c r="F37">
        <v>2810</v>
      </c>
      <c r="G37">
        <v>3480</v>
      </c>
      <c r="H37">
        <v>3200</v>
      </c>
      <c r="I37">
        <v>2540</v>
      </c>
      <c r="J37">
        <v>2700</v>
      </c>
      <c r="K37">
        <v>2586</v>
      </c>
      <c r="L37">
        <v>2321</v>
      </c>
      <c r="M37">
        <v>3907</v>
      </c>
      <c r="N37">
        <v>3406</v>
      </c>
      <c r="O37">
        <v>2980</v>
      </c>
      <c r="P37">
        <v>2363</v>
      </c>
      <c r="Q37">
        <v>2390</v>
      </c>
      <c r="R37">
        <v>2273</v>
      </c>
      <c r="S37">
        <v>2968</v>
      </c>
      <c r="T37">
        <v>2730</v>
      </c>
      <c r="U37">
        <v>2057</v>
      </c>
      <c r="V37">
        <v>2073</v>
      </c>
    </row>
    <row r="38" spans="3:22" x14ac:dyDescent="0.3">
      <c r="C38">
        <v>34</v>
      </c>
      <c r="D38">
        <v>3500</v>
      </c>
      <c r="E38">
        <v>2890</v>
      </c>
      <c r="F38">
        <v>2940</v>
      </c>
      <c r="G38">
        <v>2810</v>
      </c>
      <c r="H38">
        <v>3480</v>
      </c>
      <c r="I38">
        <v>3200</v>
      </c>
      <c r="J38">
        <v>2540</v>
      </c>
      <c r="K38">
        <v>2700</v>
      </c>
      <c r="L38">
        <v>2586</v>
      </c>
      <c r="M38">
        <v>2321</v>
      </c>
      <c r="N38">
        <v>3907</v>
      </c>
      <c r="O38">
        <v>3406</v>
      </c>
      <c r="P38">
        <v>2980</v>
      </c>
      <c r="Q38">
        <v>2363</v>
      </c>
      <c r="R38">
        <v>2390</v>
      </c>
      <c r="S38">
        <v>2273</v>
      </c>
      <c r="T38">
        <v>2968</v>
      </c>
      <c r="U38">
        <v>2730</v>
      </c>
      <c r="V38">
        <v>2057</v>
      </c>
    </row>
    <row r="39" spans="3:22" x14ac:dyDescent="0.3">
      <c r="C39">
        <v>35</v>
      </c>
      <c r="D39">
        <v>3950</v>
      </c>
      <c r="E39">
        <v>3500</v>
      </c>
      <c r="F39">
        <v>2890</v>
      </c>
      <c r="G39">
        <v>2940</v>
      </c>
      <c r="H39">
        <v>2810</v>
      </c>
      <c r="I39">
        <v>3480</v>
      </c>
      <c r="J39">
        <v>3200</v>
      </c>
      <c r="K39">
        <v>2540</v>
      </c>
      <c r="L39">
        <v>2700</v>
      </c>
      <c r="M39">
        <v>2586</v>
      </c>
      <c r="N39">
        <v>2321</v>
      </c>
      <c r="O39">
        <v>3907</v>
      </c>
      <c r="P39">
        <v>3406</v>
      </c>
      <c r="Q39">
        <v>2980</v>
      </c>
      <c r="R39">
        <v>2363</v>
      </c>
      <c r="S39">
        <v>2390</v>
      </c>
      <c r="T39">
        <v>2273</v>
      </c>
      <c r="U39">
        <v>2968</v>
      </c>
      <c r="V39">
        <v>2730</v>
      </c>
    </row>
    <row r="40" spans="3:22" x14ac:dyDescent="0.3">
      <c r="C40">
        <v>36</v>
      </c>
      <c r="D40">
        <v>4400</v>
      </c>
      <c r="E40">
        <v>3950</v>
      </c>
      <c r="F40">
        <v>3500</v>
      </c>
      <c r="G40">
        <v>2890</v>
      </c>
      <c r="H40">
        <v>2940</v>
      </c>
      <c r="I40">
        <v>2810</v>
      </c>
      <c r="J40">
        <v>3480</v>
      </c>
      <c r="K40">
        <v>3200</v>
      </c>
      <c r="L40">
        <v>2540</v>
      </c>
      <c r="M40">
        <v>2700</v>
      </c>
      <c r="N40">
        <v>2586</v>
      </c>
      <c r="O40">
        <v>2321</v>
      </c>
      <c r="P40">
        <v>3907</v>
      </c>
      <c r="Q40">
        <v>3406</v>
      </c>
      <c r="R40">
        <v>2980</v>
      </c>
      <c r="S40">
        <v>2363</v>
      </c>
      <c r="T40">
        <v>2390</v>
      </c>
      <c r="U40">
        <v>2273</v>
      </c>
      <c r="V40">
        <v>2968</v>
      </c>
    </row>
    <row r="41" spans="3:22" x14ac:dyDescent="0.3">
      <c r="E41">
        <v>4400</v>
      </c>
      <c r="F41">
        <v>3950</v>
      </c>
      <c r="G41">
        <v>3500</v>
      </c>
      <c r="H41">
        <v>2890</v>
      </c>
      <c r="I41">
        <v>2940</v>
      </c>
      <c r="J41">
        <v>2810</v>
      </c>
      <c r="K41">
        <v>3480</v>
      </c>
      <c r="L41">
        <v>3200</v>
      </c>
      <c r="M41">
        <v>2540</v>
      </c>
      <c r="N41">
        <v>2700</v>
      </c>
      <c r="O41">
        <v>2586</v>
      </c>
      <c r="P41">
        <v>2321</v>
      </c>
      <c r="Q41">
        <v>3907</v>
      </c>
      <c r="R41">
        <v>3406</v>
      </c>
      <c r="S41">
        <v>2980</v>
      </c>
      <c r="T41">
        <v>2363</v>
      </c>
      <c r="U41">
        <v>2390</v>
      </c>
      <c r="V41">
        <v>2273</v>
      </c>
    </row>
    <row r="42" spans="3:22" x14ac:dyDescent="0.3">
      <c r="F42">
        <v>4400</v>
      </c>
      <c r="G42">
        <v>3950</v>
      </c>
      <c r="H42">
        <v>3500</v>
      </c>
      <c r="I42">
        <v>2890</v>
      </c>
      <c r="J42">
        <v>2940</v>
      </c>
      <c r="K42">
        <v>2810</v>
      </c>
      <c r="L42">
        <v>3480</v>
      </c>
      <c r="M42">
        <v>3200</v>
      </c>
      <c r="N42">
        <v>2540</v>
      </c>
      <c r="O42">
        <v>2700</v>
      </c>
      <c r="P42">
        <v>2586</v>
      </c>
      <c r="Q42">
        <v>2321</v>
      </c>
      <c r="R42">
        <v>3907</v>
      </c>
      <c r="S42">
        <v>3406</v>
      </c>
      <c r="T42">
        <v>2980</v>
      </c>
      <c r="U42">
        <v>2363</v>
      </c>
      <c r="V42">
        <v>2390</v>
      </c>
    </row>
    <row r="43" spans="3:22" x14ac:dyDescent="0.3">
      <c r="G43">
        <v>4400</v>
      </c>
      <c r="H43">
        <v>3950</v>
      </c>
      <c r="I43">
        <v>3500</v>
      </c>
      <c r="J43">
        <v>2890</v>
      </c>
      <c r="K43">
        <v>2940</v>
      </c>
      <c r="L43">
        <v>2810</v>
      </c>
      <c r="M43">
        <v>3480</v>
      </c>
      <c r="N43">
        <v>3200</v>
      </c>
      <c r="O43">
        <v>2540</v>
      </c>
      <c r="P43">
        <v>2700</v>
      </c>
      <c r="Q43">
        <v>2586</v>
      </c>
      <c r="R43">
        <v>2321</v>
      </c>
      <c r="S43">
        <v>3907</v>
      </c>
      <c r="T43">
        <v>3406</v>
      </c>
      <c r="U43">
        <v>2980</v>
      </c>
      <c r="V43">
        <v>2363</v>
      </c>
    </row>
    <row r="44" spans="3:22" x14ac:dyDescent="0.3">
      <c r="H44">
        <v>4400</v>
      </c>
      <c r="I44">
        <v>3950</v>
      </c>
      <c r="J44">
        <v>3500</v>
      </c>
      <c r="K44">
        <v>2890</v>
      </c>
      <c r="L44">
        <v>2940</v>
      </c>
      <c r="M44">
        <v>2810</v>
      </c>
      <c r="N44">
        <v>3480</v>
      </c>
      <c r="O44">
        <v>3200</v>
      </c>
      <c r="P44">
        <v>2540</v>
      </c>
      <c r="Q44">
        <v>2700</v>
      </c>
      <c r="R44">
        <v>2586</v>
      </c>
      <c r="S44">
        <v>2321</v>
      </c>
      <c r="T44">
        <v>3907</v>
      </c>
      <c r="U44">
        <v>3406</v>
      </c>
      <c r="V44">
        <v>2980</v>
      </c>
    </row>
    <row r="45" spans="3:22" x14ac:dyDescent="0.3">
      <c r="I45">
        <v>4400</v>
      </c>
      <c r="J45">
        <v>3950</v>
      </c>
      <c r="K45">
        <v>3500</v>
      </c>
      <c r="L45">
        <v>2890</v>
      </c>
      <c r="M45">
        <v>2940</v>
      </c>
      <c r="N45">
        <v>2810</v>
      </c>
      <c r="O45">
        <v>3480</v>
      </c>
      <c r="P45">
        <v>3200</v>
      </c>
      <c r="Q45">
        <v>2540</v>
      </c>
      <c r="R45">
        <v>2700</v>
      </c>
      <c r="S45">
        <v>2586</v>
      </c>
      <c r="T45">
        <v>2321</v>
      </c>
      <c r="U45">
        <v>3907</v>
      </c>
      <c r="V45">
        <v>3406</v>
      </c>
    </row>
    <row r="46" spans="3:22" x14ac:dyDescent="0.3">
      <c r="J46">
        <v>4400</v>
      </c>
      <c r="K46">
        <v>3950</v>
      </c>
      <c r="L46">
        <v>3500</v>
      </c>
      <c r="M46">
        <v>2890</v>
      </c>
      <c r="N46">
        <v>2940</v>
      </c>
      <c r="O46">
        <v>2810</v>
      </c>
      <c r="P46">
        <v>3480</v>
      </c>
      <c r="Q46">
        <v>3200</v>
      </c>
      <c r="R46">
        <v>2540</v>
      </c>
      <c r="S46">
        <v>2700</v>
      </c>
      <c r="T46">
        <v>2586</v>
      </c>
      <c r="U46">
        <v>2321</v>
      </c>
      <c r="V46">
        <v>3907</v>
      </c>
    </row>
    <row r="47" spans="3:22" x14ac:dyDescent="0.3">
      <c r="K47">
        <v>4400</v>
      </c>
      <c r="L47">
        <v>3950</v>
      </c>
      <c r="M47">
        <v>3500</v>
      </c>
      <c r="N47">
        <v>2890</v>
      </c>
      <c r="O47">
        <v>2940</v>
      </c>
      <c r="P47">
        <v>2810</v>
      </c>
      <c r="Q47">
        <v>3480</v>
      </c>
      <c r="R47">
        <v>3200</v>
      </c>
      <c r="S47">
        <v>2540</v>
      </c>
      <c r="T47">
        <v>2700</v>
      </c>
      <c r="U47">
        <v>2586</v>
      </c>
      <c r="V47">
        <v>2321</v>
      </c>
    </row>
    <row r="48" spans="3:22" x14ac:dyDescent="0.3">
      <c r="L48">
        <v>4400</v>
      </c>
      <c r="M48">
        <v>3950</v>
      </c>
      <c r="N48">
        <v>3500</v>
      </c>
      <c r="O48">
        <v>2890</v>
      </c>
      <c r="P48">
        <v>2940</v>
      </c>
      <c r="Q48">
        <v>2810</v>
      </c>
      <c r="R48">
        <v>3480</v>
      </c>
      <c r="S48">
        <v>3200</v>
      </c>
      <c r="T48">
        <v>2540</v>
      </c>
      <c r="U48">
        <v>2700</v>
      </c>
      <c r="V48">
        <v>2586</v>
      </c>
    </row>
    <row r="49" spans="13:22" x14ac:dyDescent="0.3">
      <c r="M49">
        <v>4400</v>
      </c>
      <c r="N49">
        <v>3950</v>
      </c>
      <c r="O49">
        <v>3500</v>
      </c>
      <c r="P49">
        <v>2890</v>
      </c>
      <c r="Q49">
        <v>2940</v>
      </c>
      <c r="R49">
        <v>2810</v>
      </c>
      <c r="S49">
        <v>3480</v>
      </c>
      <c r="T49">
        <v>3200</v>
      </c>
      <c r="U49">
        <v>2540</v>
      </c>
      <c r="V49">
        <v>2700</v>
      </c>
    </row>
    <row r="50" spans="13:22" x14ac:dyDescent="0.3">
      <c r="N50">
        <v>4400</v>
      </c>
      <c r="O50">
        <v>3950</v>
      </c>
      <c r="P50">
        <v>3500</v>
      </c>
      <c r="Q50">
        <v>2890</v>
      </c>
      <c r="R50">
        <v>2940</v>
      </c>
      <c r="S50">
        <v>2810</v>
      </c>
      <c r="T50">
        <v>3480</v>
      </c>
      <c r="U50">
        <v>3200</v>
      </c>
      <c r="V50">
        <v>2540</v>
      </c>
    </row>
    <row r="51" spans="13:22" x14ac:dyDescent="0.3">
      <c r="O51">
        <v>4400</v>
      </c>
      <c r="P51">
        <v>3950</v>
      </c>
      <c r="Q51">
        <v>3500</v>
      </c>
      <c r="R51">
        <v>2890</v>
      </c>
      <c r="S51">
        <v>2940</v>
      </c>
      <c r="T51">
        <v>2810</v>
      </c>
      <c r="U51">
        <v>3480</v>
      </c>
      <c r="V51">
        <v>3200</v>
      </c>
    </row>
    <row r="52" spans="13:22" x14ac:dyDescent="0.3">
      <c r="P52">
        <v>4400</v>
      </c>
      <c r="Q52">
        <v>3950</v>
      </c>
      <c r="R52">
        <v>3500</v>
      </c>
      <c r="S52">
        <v>2890</v>
      </c>
      <c r="T52">
        <v>2940</v>
      </c>
      <c r="U52">
        <v>2810</v>
      </c>
      <c r="V52">
        <v>3480</v>
      </c>
    </row>
    <row r="53" spans="13:22" x14ac:dyDescent="0.3">
      <c r="Q53">
        <v>4400</v>
      </c>
      <c r="R53">
        <v>3950</v>
      </c>
      <c r="S53">
        <v>3500</v>
      </c>
      <c r="T53">
        <v>2890</v>
      </c>
      <c r="U53">
        <v>2940</v>
      </c>
      <c r="V53">
        <v>2810</v>
      </c>
    </row>
    <row r="54" spans="13:22" x14ac:dyDescent="0.3">
      <c r="R54">
        <v>4400</v>
      </c>
      <c r="S54">
        <v>3950</v>
      </c>
      <c r="T54">
        <v>3500</v>
      </c>
      <c r="U54">
        <v>2890</v>
      </c>
      <c r="V54">
        <v>2940</v>
      </c>
    </row>
    <row r="55" spans="13:22" x14ac:dyDescent="0.3">
      <c r="S55">
        <v>4400</v>
      </c>
      <c r="T55">
        <v>3950</v>
      </c>
      <c r="U55">
        <v>3500</v>
      </c>
      <c r="V55">
        <v>2890</v>
      </c>
    </row>
    <row r="56" spans="13:22" x14ac:dyDescent="0.3">
      <c r="T56">
        <v>4400</v>
      </c>
      <c r="U56">
        <v>3950</v>
      </c>
      <c r="V56">
        <v>3500</v>
      </c>
    </row>
    <row r="57" spans="13:22" x14ac:dyDescent="0.3">
      <c r="U57">
        <v>4400</v>
      </c>
      <c r="V57">
        <v>3950</v>
      </c>
    </row>
    <row r="58" spans="13:22" x14ac:dyDescent="0.3">
      <c r="V58">
        <v>4400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2813-8127-40AC-808C-B8BBCDEA3E06}">
  <dimension ref="A1:J13"/>
  <sheetViews>
    <sheetView workbookViewId="0">
      <selection activeCell="F14" sqref="F14"/>
    </sheetView>
  </sheetViews>
  <sheetFormatPr defaultRowHeight="14.4" x14ac:dyDescent="0.3"/>
  <cols>
    <col min="1" max="1" width="24.88671875" bestFit="1" customWidth="1"/>
    <col min="2" max="2" width="25.21875" customWidth="1"/>
    <col min="3" max="3" width="25.21875" bestFit="1" customWidth="1"/>
    <col min="4" max="4" width="14.21875" bestFit="1" customWidth="1"/>
    <col min="5" max="5" width="12" bestFit="1" customWidth="1"/>
    <col min="6" max="6" width="39.44140625" customWidth="1"/>
    <col min="7" max="7" width="12.5546875" bestFit="1" customWidth="1"/>
    <col min="8" max="8" width="14" bestFit="1" customWidth="1"/>
    <col min="9" max="9" width="14.21875" bestFit="1" customWidth="1"/>
  </cols>
  <sheetData>
    <row r="1" spans="1:10" ht="15.6" x14ac:dyDescent="0.3">
      <c r="A1" s="15" t="s">
        <v>14</v>
      </c>
      <c r="B1" s="15" t="s">
        <v>85</v>
      </c>
      <c r="C1" s="15" t="s">
        <v>15</v>
      </c>
      <c r="F1" t="s">
        <v>40</v>
      </c>
      <c r="J1" s="41" t="s">
        <v>74</v>
      </c>
    </row>
    <row r="2" spans="1:10" ht="15.6" x14ac:dyDescent="0.3">
      <c r="A2" s="15">
        <v>1</v>
      </c>
      <c r="B2" s="15">
        <v>30</v>
      </c>
      <c r="C2" s="15">
        <v>20</v>
      </c>
      <c r="F2" t="s">
        <v>45</v>
      </c>
      <c r="G2" t="s">
        <v>43</v>
      </c>
    </row>
    <row r="3" spans="1:10" ht="15.6" x14ac:dyDescent="0.3">
      <c r="A3" s="15">
        <v>2</v>
      </c>
      <c r="B3" s="15">
        <v>31</v>
      </c>
      <c r="C3" s="15">
        <v>21</v>
      </c>
      <c r="F3" t="s">
        <v>47</v>
      </c>
    </row>
    <row r="4" spans="1:10" ht="15.6" x14ac:dyDescent="0.3">
      <c r="A4" s="15">
        <v>3</v>
      </c>
      <c r="B4" s="15">
        <v>33</v>
      </c>
      <c r="C4" s="15">
        <v>22</v>
      </c>
      <c r="F4" t="s">
        <v>48</v>
      </c>
      <c r="G4" s="21" t="s">
        <v>49</v>
      </c>
    </row>
    <row r="5" spans="1:10" ht="15.6" x14ac:dyDescent="0.3">
      <c r="A5" s="15">
        <v>4</v>
      </c>
      <c r="B5" s="15">
        <v>34</v>
      </c>
      <c r="C5" s="15">
        <v>23</v>
      </c>
      <c r="F5" t="s">
        <v>53</v>
      </c>
    </row>
    <row r="6" spans="1:10" ht="15.6" x14ac:dyDescent="0.3">
      <c r="A6" s="15">
        <v>5</v>
      </c>
      <c r="B6" s="15">
        <v>34</v>
      </c>
      <c r="C6" s="15">
        <v>21</v>
      </c>
      <c r="F6" t="s">
        <v>58</v>
      </c>
    </row>
    <row r="7" spans="1:10" ht="15.6" x14ac:dyDescent="0.3">
      <c r="A7" s="15">
        <v>6</v>
      </c>
      <c r="B7" s="15">
        <v>36</v>
      </c>
      <c r="C7" s="15">
        <v>25</v>
      </c>
      <c r="F7" s="32" t="s">
        <v>57</v>
      </c>
    </row>
    <row r="8" spans="1:10" ht="15.6" x14ac:dyDescent="0.3">
      <c r="A8" s="15">
        <v>7</v>
      </c>
      <c r="B8" s="15">
        <v>38</v>
      </c>
      <c r="C8" s="15">
        <v>25</v>
      </c>
      <c r="F8" s="29" t="s">
        <v>64</v>
      </c>
    </row>
    <row r="9" spans="1:10" ht="15.6" x14ac:dyDescent="0.3">
      <c r="A9" s="15">
        <v>8</v>
      </c>
      <c r="B9" s="15">
        <v>39</v>
      </c>
      <c r="C9" s="15">
        <v>29</v>
      </c>
      <c r="F9" s="33" t="s">
        <v>67</v>
      </c>
    </row>
    <row r="10" spans="1:10" ht="16.2" customHeight="1" x14ac:dyDescent="0.3">
      <c r="A10" s="15">
        <v>9</v>
      </c>
      <c r="B10" s="15">
        <v>38</v>
      </c>
      <c r="C10" s="15">
        <v>28</v>
      </c>
      <c r="F10" s="34" t="s">
        <v>68</v>
      </c>
    </row>
    <row r="11" spans="1:10" ht="15.6" x14ac:dyDescent="0.3">
      <c r="A11" s="15">
        <v>10</v>
      </c>
      <c r="B11" s="15">
        <v>36</v>
      </c>
      <c r="C11" s="15">
        <v>23</v>
      </c>
      <c r="F11" t="s">
        <v>69</v>
      </c>
    </row>
    <row r="12" spans="1:10" ht="15.6" x14ac:dyDescent="0.3">
      <c r="A12" s="15">
        <v>11</v>
      </c>
      <c r="B12" s="15">
        <v>28</v>
      </c>
      <c r="C12" s="15">
        <v>20</v>
      </c>
      <c r="F12" s="36" t="s">
        <v>71</v>
      </c>
    </row>
    <row r="13" spans="1:10" ht="15.6" x14ac:dyDescent="0.3">
      <c r="A13" s="15">
        <v>12</v>
      </c>
      <c r="B13" s="15">
        <v>34</v>
      </c>
      <c r="C13" s="15">
        <v>22</v>
      </c>
      <c r="F13" s="38" t="s">
        <v>86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2003-0150-4C8D-A505-A065B85C2D82}">
  <dimension ref="A1:J64"/>
  <sheetViews>
    <sheetView topLeftCell="A51" workbookViewId="0">
      <selection activeCell="E27" sqref="E27"/>
    </sheetView>
  </sheetViews>
  <sheetFormatPr defaultRowHeight="14.4" x14ac:dyDescent="0.3"/>
  <cols>
    <col min="1" max="1" width="24.88671875" bestFit="1" customWidth="1"/>
    <col min="2" max="2" width="25.21875" customWidth="1"/>
    <col min="3" max="3" width="25.21875" bestFit="1" customWidth="1"/>
    <col min="4" max="4" width="14.21875" bestFit="1" customWidth="1"/>
    <col min="5" max="5" width="12" bestFit="1" customWidth="1"/>
    <col min="6" max="6" width="39.44140625" customWidth="1"/>
    <col min="7" max="7" width="12.5546875" bestFit="1" customWidth="1"/>
    <col min="8" max="8" width="14" bestFit="1" customWidth="1"/>
    <col min="9" max="9" width="14.21875" bestFit="1" customWidth="1"/>
  </cols>
  <sheetData>
    <row r="1" spans="1:10" ht="15.6" x14ac:dyDescent="0.3">
      <c r="A1" s="15" t="s">
        <v>14</v>
      </c>
      <c r="B1" s="15" t="s">
        <v>85</v>
      </c>
      <c r="C1" s="15" t="s">
        <v>15</v>
      </c>
      <c r="F1" t="s">
        <v>40</v>
      </c>
      <c r="J1" s="41" t="s">
        <v>74</v>
      </c>
    </row>
    <row r="2" spans="1:10" ht="15.6" x14ac:dyDescent="0.3">
      <c r="A2" s="15">
        <v>1</v>
      </c>
      <c r="B2" s="15">
        <v>30</v>
      </c>
      <c r="C2" s="15">
        <v>20</v>
      </c>
      <c r="F2" s="46" t="s">
        <v>45</v>
      </c>
      <c r="G2" t="s">
        <v>43</v>
      </c>
    </row>
    <row r="3" spans="1:10" ht="15.6" x14ac:dyDescent="0.3">
      <c r="A3" s="15">
        <v>2</v>
      </c>
      <c r="B3" s="15">
        <v>31</v>
      </c>
      <c r="C3" s="15">
        <v>21</v>
      </c>
      <c r="F3" t="s">
        <v>47</v>
      </c>
    </row>
    <row r="4" spans="1:10" ht="15.6" x14ac:dyDescent="0.3">
      <c r="A4" s="15">
        <v>3</v>
      </c>
      <c r="B4" s="15">
        <v>33</v>
      </c>
      <c r="C4" s="15">
        <v>22</v>
      </c>
      <c r="F4" s="45" t="s">
        <v>48</v>
      </c>
      <c r="G4" s="21" t="s">
        <v>49</v>
      </c>
    </row>
    <row r="5" spans="1:10" ht="15.6" x14ac:dyDescent="0.3">
      <c r="A5" s="15">
        <v>4</v>
      </c>
      <c r="B5" s="15">
        <v>34</v>
      </c>
      <c r="C5" s="15">
        <v>23</v>
      </c>
      <c r="F5" t="s">
        <v>53</v>
      </c>
    </row>
    <row r="6" spans="1:10" ht="15.6" x14ac:dyDescent="0.3">
      <c r="A6" s="15">
        <v>5</v>
      </c>
      <c r="B6" s="15">
        <v>34</v>
      </c>
      <c r="C6" s="15">
        <v>21</v>
      </c>
      <c r="F6" t="s">
        <v>58</v>
      </c>
    </row>
    <row r="7" spans="1:10" ht="15.6" x14ac:dyDescent="0.3">
      <c r="A7" s="15">
        <v>6</v>
      </c>
      <c r="B7" s="15">
        <v>36</v>
      </c>
      <c r="C7" s="15">
        <v>25</v>
      </c>
      <c r="F7" s="32" t="s">
        <v>57</v>
      </c>
    </row>
    <row r="8" spans="1:10" ht="15.6" x14ac:dyDescent="0.3">
      <c r="A8" s="15">
        <v>7</v>
      </c>
      <c r="B8" s="15">
        <v>38</v>
      </c>
      <c r="C8" s="15">
        <v>25</v>
      </c>
      <c r="F8" s="29" t="s">
        <v>64</v>
      </c>
    </row>
    <row r="9" spans="1:10" ht="15.6" x14ac:dyDescent="0.3">
      <c r="A9" s="15">
        <v>8</v>
      </c>
      <c r="B9" s="15">
        <v>39</v>
      </c>
      <c r="C9" s="15">
        <v>29</v>
      </c>
      <c r="F9" s="33" t="s">
        <v>67</v>
      </c>
    </row>
    <row r="10" spans="1:10" ht="16.2" customHeight="1" x14ac:dyDescent="0.3">
      <c r="A10" s="15">
        <v>9</v>
      </c>
      <c r="B10" s="15">
        <v>38</v>
      </c>
      <c r="C10" s="15">
        <v>28</v>
      </c>
      <c r="F10" s="34" t="s">
        <v>68</v>
      </c>
    </row>
    <row r="11" spans="1:10" ht="15.6" x14ac:dyDescent="0.3">
      <c r="A11" s="15">
        <v>10</v>
      </c>
      <c r="B11" s="15">
        <v>36</v>
      </c>
      <c r="C11" s="15">
        <v>23</v>
      </c>
      <c r="F11" t="s">
        <v>69</v>
      </c>
    </row>
    <row r="12" spans="1:10" ht="15.6" x14ac:dyDescent="0.3">
      <c r="A12" s="15">
        <v>11</v>
      </c>
      <c r="B12" s="15">
        <v>28</v>
      </c>
      <c r="C12" s="15">
        <v>20</v>
      </c>
      <c r="F12" s="36" t="s">
        <v>71</v>
      </c>
    </row>
    <row r="13" spans="1:10" ht="15.6" x14ac:dyDescent="0.3">
      <c r="A13" s="15">
        <v>12</v>
      </c>
      <c r="B13" s="15">
        <v>34</v>
      </c>
      <c r="C13" s="15">
        <v>22</v>
      </c>
      <c r="F13" s="38" t="s">
        <v>86</v>
      </c>
    </row>
    <row r="15" spans="1:10" x14ac:dyDescent="0.3">
      <c r="A15" t="s">
        <v>16</v>
      </c>
    </row>
    <row r="16" spans="1:10" ht="15" thickBot="1" x14ac:dyDescent="0.35"/>
    <row r="17" spans="1:9" x14ac:dyDescent="0.3">
      <c r="A17" s="18" t="s">
        <v>17</v>
      </c>
      <c r="B17" s="18"/>
    </row>
    <row r="18" spans="1:9" x14ac:dyDescent="0.3">
      <c r="A18" t="s">
        <v>18</v>
      </c>
      <c r="B18">
        <v>0.89128479270955496</v>
      </c>
    </row>
    <row r="19" spans="1:9" x14ac:dyDescent="0.3">
      <c r="A19" s="33" t="s">
        <v>19</v>
      </c>
      <c r="B19" s="33">
        <v>0.79438858171531435</v>
      </c>
      <c r="C19" t="s">
        <v>66</v>
      </c>
    </row>
    <row r="20" spans="1:9" x14ac:dyDescent="0.3">
      <c r="A20" t="s">
        <v>20</v>
      </c>
      <c r="B20">
        <v>0.77382743988684566</v>
      </c>
    </row>
    <row r="21" spans="1:9" x14ac:dyDescent="0.3">
      <c r="A21" t="s">
        <v>21</v>
      </c>
      <c r="B21" s="26">
        <v>1.6111623617265132</v>
      </c>
    </row>
    <row r="22" spans="1:9" ht="15" thickBot="1" x14ac:dyDescent="0.35">
      <c r="A22" s="16" t="s">
        <v>22</v>
      </c>
      <c r="B22" s="16">
        <v>12</v>
      </c>
    </row>
    <row r="24" spans="1:9" ht="15" thickBot="1" x14ac:dyDescent="0.35">
      <c r="A24" t="s">
        <v>23</v>
      </c>
    </row>
    <row r="25" spans="1:9" ht="28.8" x14ac:dyDescent="0.3">
      <c r="A25" s="17"/>
      <c r="B25" s="17" t="s">
        <v>26</v>
      </c>
      <c r="C25" s="17" t="s">
        <v>27</v>
      </c>
      <c r="D25" s="17" t="s">
        <v>28</v>
      </c>
      <c r="E25" s="25" t="s">
        <v>51</v>
      </c>
      <c r="F25" s="35" t="s">
        <v>70</v>
      </c>
    </row>
    <row r="26" spans="1:9" x14ac:dyDescent="0.3">
      <c r="A26" t="s">
        <v>24</v>
      </c>
      <c r="B26">
        <v>1</v>
      </c>
      <c r="C26">
        <v>100.29155844155844</v>
      </c>
      <c r="D26">
        <v>100.29155844155844</v>
      </c>
      <c r="E26" s="24">
        <v>38.635431258755254</v>
      </c>
      <c r="F26" s="36">
        <v>9.9389846316173886E-5</v>
      </c>
    </row>
    <row r="27" spans="1:9" x14ac:dyDescent="0.3">
      <c r="A27" t="s">
        <v>25</v>
      </c>
      <c r="B27">
        <v>10</v>
      </c>
      <c r="C27" s="23">
        <v>25.958441558441557</v>
      </c>
      <c r="D27" s="23">
        <v>2.5958441558441558</v>
      </c>
      <c r="E27" s="24">
        <f>_xlfn.F.INV(0.95,1,10)</f>
        <v>4.9646027437307128</v>
      </c>
      <c r="G27" s="23" t="s">
        <v>52</v>
      </c>
    </row>
    <row r="28" spans="1:9" ht="15" thickBot="1" x14ac:dyDescent="0.35">
      <c r="A28" s="16" t="s">
        <v>4</v>
      </c>
      <c r="B28" s="16">
        <v>11</v>
      </c>
      <c r="C28" s="16">
        <v>126.25</v>
      </c>
      <c r="D28" s="16"/>
      <c r="E28" s="16"/>
      <c r="F28" s="16"/>
    </row>
    <row r="29" spans="1:9" ht="15" thickBot="1" x14ac:dyDescent="0.35"/>
    <row r="30" spans="1:9" ht="28.8" x14ac:dyDescent="0.3">
      <c r="A30" s="17"/>
      <c r="B30" s="19" t="s">
        <v>42</v>
      </c>
      <c r="C30" s="17" t="s">
        <v>21</v>
      </c>
      <c r="D30" s="28" t="s">
        <v>29</v>
      </c>
      <c r="E30" s="17" t="s">
        <v>30</v>
      </c>
      <c r="F30" s="17" t="s">
        <v>31</v>
      </c>
      <c r="G30" s="17" t="s">
        <v>32</v>
      </c>
      <c r="H30" s="17" t="s">
        <v>33</v>
      </c>
      <c r="I30" s="17" t="s">
        <v>34</v>
      </c>
    </row>
    <row r="31" spans="1:9" x14ac:dyDescent="0.3">
      <c r="A31" t="s">
        <v>41</v>
      </c>
      <c r="B31">
        <v>10.516883116883118</v>
      </c>
      <c r="C31">
        <v>3.8464513445841062</v>
      </c>
      <c r="D31" s="29">
        <v>2.7341781228277169</v>
      </c>
      <c r="E31" s="36">
        <v>2.1041965972464279E-2</v>
      </c>
      <c r="F31">
        <v>1.946455433740427</v>
      </c>
      <c r="G31">
        <v>19.087310800025811</v>
      </c>
      <c r="H31">
        <v>1.946455433740427</v>
      </c>
      <c r="I31">
        <v>19.087310800025811</v>
      </c>
    </row>
    <row r="32" spans="1:9" ht="15" thickBot="1" x14ac:dyDescent="0.35">
      <c r="A32" s="16" t="s">
        <v>35</v>
      </c>
      <c r="B32" s="16">
        <v>1.0207792207792208</v>
      </c>
      <c r="C32" s="16">
        <v>0.16422487452078582</v>
      </c>
      <c r="D32" s="30">
        <v>6.2157406042043988</v>
      </c>
      <c r="E32" s="37">
        <v>9.9389846316173615E-5</v>
      </c>
      <c r="F32" s="16">
        <v>0.65486339739688715</v>
      </c>
      <c r="G32" s="16">
        <v>1.3866950441615544</v>
      </c>
      <c r="H32" s="16">
        <v>0.65486339739688715</v>
      </c>
      <c r="I32" s="16">
        <v>1.3866950441615544</v>
      </c>
    </row>
    <row r="33" spans="1:6" ht="18.600000000000001" thickBot="1" x14ac:dyDescent="0.4">
      <c r="A33" s="47" t="s">
        <v>44</v>
      </c>
      <c r="B33" s="46" t="s">
        <v>43</v>
      </c>
      <c r="D33" s="30" t="s">
        <v>65</v>
      </c>
    </row>
    <row r="34" spans="1:6" ht="15" thickBot="1" x14ac:dyDescent="0.35">
      <c r="D34" s="30">
        <f>_xlfn.T.INV.2T(0.05,10)</f>
        <v>2.2281388519862744</v>
      </c>
    </row>
    <row r="36" spans="1:6" x14ac:dyDescent="0.3">
      <c r="A36" t="s">
        <v>36</v>
      </c>
    </row>
    <row r="37" spans="1:6" ht="15" thickBot="1" x14ac:dyDescent="0.35">
      <c r="C37" s="20" t="s">
        <v>46</v>
      </c>
    </row>
    <row r="38" spans="1:6" x14ac:dyDescent="0.3">
      <c r="A38" s="17" t="s">
        <v>37</v>
      </c>
      <c r="B38" s="17" t="s">
        <v>38</v>
      </c>
      <c r="C38" s="17" t="s">
        <v>39</v>
      </c>
      <c r="D38" s="44" t="s">
        <v>77</v>
      </c>
    </row>
    <row r="39" spans="1:6" x14ac:dyDescent="0.3">
      <c r="A39">
        <v>1</v>
      </c>
      <c r="B39">
        <v>30.932467532467534</v>
      </c>
      <c r="C39">
        <v>-0.932467532467534</v>
      </c>
      <c r="E39">
        <f>ABS(C39)/$B2</f>
        <v>3.1082251082251135E-2</v>
      </c>
    </row>
    <row r="40" spans="1:6" ht="15.6" x14ac:dyDescent="0.3">
      <c r="A40">
        <v>2</v>
      </c>
      <c r="B40">
        <v>31.953246753246756</v>
      </c>
      <c r="C40">
        <v>-0.95324675324675567</v>
      </c>
      <c r="D40" s="27">
        <f>IF(OR(AND(C40&gt;C39,C40&gt;C41),AND(C40&lt;C39,C40&lt;C41)),1,0)</f>
        <v>1</v>
      </c>
      <c r="E40">
        <f t="shared" ref="E40:E50" si="0">ABS(C40)/$B3</f>
        <v>3.0749895266024375E-2</v>
      </c>
      <c r="F40" s="27" t="s">
        <v>49</v>
      </c>
    </row>
    <row r="41" spans="1:6" x14ac:dyDescent="0.3">
      <c r="A41">
        <v>3</v>
      </c>
      <c r="B41">
        <v>32.974025974025977</v>
      </c>
      <c r="C41">
        <v>2.5974025974022652E-2</v>
      </c>
      <c r="D41">
        <f t="shared" ref="D41:D49" si="1">IF(OR(AND(C41&gt;C40,C41&gt;C42),AND(C41&lt;C40,C41&lt;C42)),1,0)</f>
        <v>1</v>
      </c>
      <c r="E41">
        <f t="shared" si="0"/>
        <v>7.8709169618250462E-4</v>
      </c>
    </row>
    <row r="42" spans="1:6" x14ac:dyDescent="0.3">
      <c r="A42">
        <v>4</v>
      </c>
      <c r="B42">
        <v>33.994805194805195</v>
      </c>
      <c r="C42">
        <v>5.1948051948045304E-3</v>
      </c>
      <c r="D42">
        <f t="shared" si="1"/>
        <v>1</v>
      </c>
      <c r="E42">
        <f t="shared" si="0"/>
        <v>1.5278838808248618E-4</v>
      </c>
    </row>
    <row r="43" spans="1:6" x14ac:dyDescent="0.3">
      <c r="A43">
        <v>5</v>
      </c>
      <c r="B43">
        <v>31.953246753246756</v>
      </c>
      <c r="C43">
        <v>2.0467532467532443</v>
      </c>
      <c r="D43">
        <f t="shared" si="1"/>
        <v>1</v>
      </c>
      <c r="E43">
        <f t="shared" si="0"/>
        <v>6.0198624904507184E-2</v>
      </c>
    </row>
    <row r="44" spans="1:6" x14ac:dyDescent="0.3">
      <c r="A44">
        <v>6</v>
      </c>
      <c r="B44">
        <v>36.036363636363639</v>
      </c>
      <c r="C44">
        <v>-3.6363636363638818E-2</v>
      </c>
      <c r="D44">
        <f t="shared" si="1"/>
        <v>1</v>
      </c>
      <c r="E44">
        <f t="shared" si="0"/>
        <v>1.0101010101010782E-3</v>
      </c>
    </row>
    <row r="45" spans="1:6" x14ac:dyDescent="0.3">
      <c r="A45">
        <v>7</v>
      </c>
      <c r="B45">
        <v>36.036363636363639</v>
      </c>
      <c r="C45">
        <v>1.9636363636363612</v>
      </c>
      <c r="D45">
        <f t="shared" si="1"/>
        <v>1</v>
      </c>
      <c r="E45">
        <f t="shared" si="0"/>
        <v>5.1674641148325297E-2</v>
      </c>
    </row>
    <row r="46" spans="1:6" x14ac:dyDescent="0.3">
      <c r="A46">
        <v>8</v>
      </c>
      <c r="B46">
        <v>40.119480519480518</v>
      </c>
      <c r="C46">
        <v>-1.1194805194805184</v>
      </c>
      <c r="D46">
        <f t="shared" si="1"/>
        <v>1</v>
      </c>
      <c r="E46">
        <f t="shared" si="0"/>
        <v>2.8704628704628678E-2</v>
      </c>
    </row>
    <row r="47" spans="1:6" x14ac:dyDescent="0.3">
      <c r="A47">
        <v>9</v>
      </c>
      <c r="B47">
        <v>39.0987012987013</v>
      </c>
      <c r="C47">
        <v>-1.0987012987013003</v>
      </c>
      <c r="D47">
        <f t="shared" si="1"/>
        <v>0</v>
      </c>
      <c r="E47">
        <f t="shared" si="0"/>
        <v>2.8913192071086849E-2</v>
      </c>
    </row>
    <row r="48" spans="1:6" x14ac:dyDescent="0.3">
      <c r="A48">
        <v>10</v>
      </c>
      <c r="B48">
        <v>33.994805194805195</v>
      </c>
      <c r="C48">
        <v>2.0051948051948045</v>
      </c>
      <c r="D48">
        <f t="shared" si="1"/>
        <v>1</v>
      </c>
      <c r="E48">
        <f t="shared" si="0"/>
        <v>5.569985569985568E-2</v>
      </c>
    </row>
    <row r="49" spans="1:5" x14ac:dyDescent="0.3">
      <c r="A49">
        <v>11</v>
      </c>
      <c r="B49">
        <v>30.932467532467534</v>
      </c>
      <c r="C49">
        <v>-2.932467532467534</v>
      </c>
      <c r="D49">
        <f t="shared" si="1"/>
        <v>1</v>
      </c>
      <c r="E49">
        <f t="shared" si="0"/>
        <v>0.10473098330241193</v>
      </c>
    </row>
    <row r="50" spans="1:5" ht="15" thickBot="1" x14ac:dyDescent="0.35">
      <c r="A50" s="16">
        <v>12</v>
      </c>
      <c r="B50" s="16">
        <v>32.974025974025977</v>
      </c>
      <c r="C50" s="16">
        <v>1.0259740259740227</v>
      </c>
      <c r="E50">
        <f t="shared" si="0"/>
        <v>3.0175706646294785E-2</v>
      </c>
    </row>
    <row r="51" spans="1:5" x14ac:dyDescent="0.3">
      <c r="A51" t="s">
        <v>3</v>
      </c>
      <c r="C51">
        <f>SUM(C39:C50)</f>
        <v>-2.1316282072803006E-14</v>
      </c>
      <c r="D51" s="45">
        <f>SUM(D40:D50)</f>
        <v>9</v>
      </c>
      <c r="E51">
        <f>SUM(E39:E50)</f>
        <v>0.42387975991975196</v>
      </c>
    </row>
    <row r="52" spans="1:5" x14ac:dyDescent="0.3">
      <c r="A52" t="s">
        <v>0</v>
      </c>
      <c r="C52">
        <f>AVERAGE(C39:C50)</f>
        <v>-1.7763568394002505E-15</v>
      </c>
    </row>
    <row r="55" spans="1:5" x14ac:dyDescent="0.3">
      <c r="C55" s="22" t="s">
        <v>2</v>
      </c>
      <c r="D55" s="45">
        <f>2*10/3-1.96*SQRT((16*12-29)/90)</f>
        <v>4.0289471128769838</v>
      </c>
      <c r="E55" t="s">
        <v>50</v>
      </c>
    </row>
    <row r="58" spans="1:5" ht="15.6" x14ac:dyDescent="0.3">
      <c r="B58" s="4" t="s">
        <v>54</v>
      </c>
      <c r="C58" s="27">
        <f>_xlfn.STDEV.S(C39:C50)</f>
        <v>1.5361830371068046</v>
      </c>
      <c r="D58" s="27" t="s">
        <v>56</v>
      </c>
      <c r="E58" s="27"/>
    </row>
    <row r="60" spans="1:5" ht="15.6" x14ac:dyDescent="0.3">
      <c r="C60" s="27">
        <f>ABS(C52)/C58*SQRT(12)</f>
        <v>4.0056949255322221E-15</v>
      </c>
      <c r="D60" s="27" t="s">
        <v>55</v>
      </c>
      <c r="E60" s="4"/>
    </row>
    <row r="62" spans="1:5" ht="15.6" x14ac:dyDescent="0.3">
      <c r="B62" s="31" t="s">
        <v>63</v>
      </c>
      <c r="C62" s="27">
        <f>(MAX(C39:C50)-MIN(C39:C50))/C58</f>
        <v>3.2412939467151487</v>
      </c>
      <c r="D62" s="27" t="s">
        <v>59</v>
      </c>
    </row>
    <row r="63" spans="1:5" ht="15.6" x14ac:dyDescent="0.3">
      <c r="B63" s="4" t="s">
        <v>61</v>
      </c>
      <c r="C63" s="4" t="s">
        <v>60</v>
      </c>
      <c r="D63" s="4" t="s">
        <v>62</v>
      </c>
    </row>
    <row r="64" spans="1:5" ht="39.6" customHeight="1" x14ac:dyDescent="0.3">
      <c r="B64" s="39" t="s">
        <v>72</v>
      </c>
      <c r="C64" s="40">
        <f>E51/12</f>
        <v>3.5323313326645997E-2</v>
      </c>
      <c r="D64" s="27" t="s">
        <v>73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Линейная корреляция</vt:lpstr>
      <vt:lpstr>Линейная корреляция р</vt:lpstr>
      <vt:lpstr>Автокорреляция 2</vt:lpstr>
      <vt:lpstr>Автокорреляция 2 р</vt:lpstr>
      <vt:lpstr>Регрессия</vt:lpstr>
      <vt:lpstr>Регрессия 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Хрущ</dc:creator>
  <cp:lastModifiedBy>Игорь Хрущ</cp:lastModifiedBy>
  <dcterms:created xsi:type="dcterms:W3CDTF">2020-03-09T20:41:51Z</dcterms:created>
  <dcterms:modified xsi:type="dcterms:W3CDTF">2025-12-08T16:30:31Z</dcterms:modified>
</cp:coreProperties>
</file>