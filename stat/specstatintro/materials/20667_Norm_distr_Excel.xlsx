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352C801D-BB0A-4D71-8822-9B09EFF8D7E2}" xr6:coauthVersionLast="46" xr6:coauthVersionMax="46" xr10:uidLastSave="{00000000-0000-0000-0000-000000000000}"/>
  <bookViews>
    <workbookView xWindow="-108" yWindow="-108" windowWidth="23256" windowHeight="12576" activeTab="6" xr2:uid="{00000000-000D-0000-FFFF-FFFF00000000}"/>
  </bookViews>
  <sheets>
    <sheet name="Лист1" sheetId="1" r:id="rId1"/>
    <sheet name="Лист1 (6)" sheetId="9" r:id="rId2"/>
    <sheet name="Лист1 (2)" sheetId="2" r:id="rId3"/>
    <sheet name="Лист1 (5)" sheetId="8" r:id="rId4"/>
    <sheet name="Лист4" sheetId="10" r:id="rId5"/>
    <sheet name="Лист1 (4)" sheetId="7" r:id="rId6"/>
    <sheet name="Лист1 (3)" sheetId="6" r:id="rId7"/>
  </sheets>
  <definedNames>
    <definedName name="_xlchart.v1.0" hidden="1">Лист4!$A$1:$A$508</definedName>
    <definedName name="_xlnm._FilterDatabase" localSheetId="6" hidden="1">'Лист1 (3)'!$Q$2:$S$803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4" i="6" l="1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3" i="6"/>
  <c r="B2" i="8"/>
  <c r="M3" i="1" l="1"/>
  <c r="C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A508" i="10" l="1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" i="10"/>
  <c r="B2" i="9"/>
  <c r="B2" i="7"/>
  <c r="Z803" i="9"/>
  <c r="Y803" i="9"/>
  <c r="X803" i="9"/>
  <c r="W803" i="9"/>
  <c r="U803" i="9"/>
  <c r="Z802" i="9"/>
  <c r="Y802" i="9"/>
  <c r="X802" i="9"/>
  <c r="W802" i="9"/>
  <c r="U802" i="9"/>
  <c r="Z801" i="9"/>
  <c r="Y801" i="9"/>
  <c r="X801" i="9"/>
  <c r="W801" i="9"/>
  <c r="U801" i="9"/>
  <c r="Z800" i="9"/>
  <c r="Y800" i="9"/>
  <c r="X800" i="9"/>
  <c r="W800" i="9"/>
  <c r="U800" i="9"/>
  <c r="Z799" i="9"/>
  <c r="Y799" i="9"/>
  <c r="X799" i="9"/>
  <c r="W799" i="9"/>
  <c r="U799" i="9"/>
  <c r="Z798" i="9"/>
  <c r="Y798" i="9"/>
  <c r="X798" i="9"/>
  <c r="W798" i="9"/>
  <c r="U798" i="9"/>
  <c r="Z797" i="9"/>
  <c r="Y797" i="9"/>
  <c r="X797" i="9"/>
  <c r="W797" i="9"/>
  <c r="U797" i="9"/>
  <c r="Z796" i="9"/>
  <c r="Y796" i="9"/>
  <c r="X796" i="9"/>
  <c r="W796" i="9"/>
  <c r="U796" i="9"/>
  <c r="Z795" i="9"/>
  <c r="Y795" i="9"/>
  <c r="X795" i="9"/>
  <c r="W795" i="9"/>
  <c r="U795" i="9"/>
  <c r="Z794" i="9"/>
  <c r="Y794" i="9"/>
  <c r="X794" i="9"/>
  <c r="W794" i="9"/>
  <c r="U794" i="9"/>
  <c r="Z793" i="9"/>
  <c r="Y793" i="9"/>
  <c r="X793" i="9"/>
  <c r="W793" i="9"/>
  <c r="U793" i="9"/>
  <c r="Z792" i="9"/>
  <c r="Y792" i="9"/>
  <c r="X792" i="9"/>
  <c r="W792" i="9"/>
  <c r="U792" i="9"/>
  <c r="Z791" i="9"/>
  <c r="Y791" i="9"/>
  <c r="X791" i="9"/>
  <c r="W791" i="9"/>
  <c r="U791" i="9"/>
  <c r="Z790" i="9"/>
  <c r="Y790" i="9"/>
  <c r="X790" i="9"/>
  <c r="W790" i="9"/>
  <c r="U790" i="9"/>
  <c r="Z789" i="9"/>
  <c r="Y789" i="9"/>
  <c r="X789" i="9"/>
  <c r="W789" i="9"/>
  <c r="U789" i="9"/>
  <c r="Z788" i="9"/>
  <c r="Y788" i="9"/>
  <c r="X788" i="9"/>
  <c r="W788" i="9"/>
  <c r="U788" i="9"/>
  <c r="Z787" i="9"/>
  <c r="Y787" i="9"/>
  <c r="X787" i="9"/>
  <c r="W787" i="9"/>
  <c r="U787" i="9"/>
  <c r="Z786" i="9"/>
  <c r="Y786" i="9"/>
  <c r="X786" i="9"/>
  <c r="W786" i="9"/>
  <c r="U786" i="9"/>
  <c r="Z785" i="9"/>
  <c r="Y785" i="9"/>
  <c r="X785" i="9"/>
  <c r="W785" i="9"/>
  <c r="U785" i="9"/>
  <c r="Z784" i="9"/>
  <c r="Y784" i="9"/>
  <c r="X784" i="9"/>
  <c r="W784" i="9"/>
  <c r="U784" i="9"/>
  <c r="Z783" i="9"/>
  <c r="Y783" i="9"/>
  <c r="X783" i="9"/>
  <c r="W783" i="9"/>
  <c r="U783" i="9"/>
  <c r="Z782" i="9"/>
  <c r="Y782" i="9"/>
  <c r="X782" i="9"/>
  <c r="W782" i="9"/>
  <c r="U782" i="9"/>
  <c r="Z781" i="9"/>
  <c r="Y781" i="9"/>
  <c r="X781" i="9"/>
  <c r="W781" i="9"/>
  <c r="U781" i="9"/>
  <c r="Z780" i="9"/>
  <c r="Y780" i="9"/>
  <c r="X780" i="9"/>
  <c r="W780" i="9"/>
  <c r="U780" i="9"/>
  <c r="Z779" i="9"/>
  <c r="Y779" i="9"/>
  <c r="X779" i="9"/>
  <c r="W779" i="9"/>
  <c r="U779" i="9"/>
  <c r="Z778" i="9"/>
  <c r="Y778" i="9"/>
  <c r="X778" i="9"/>
  <c r="W778" i="9"/>
  <c r="U778" i="9"/>
  <c r="Z777" i="9"/>
  <c r="Y777" i="9"/>
  <c r="X777" i="9"/>
  <c r="W777" i="9"/>
  <c r="U777" i="9"/>
  <c r="Z776" i="9"/>
  <c r="Y776" i="9"/>
  <c r="X776" i="9"/>
  <c r="W776" i="9"/>
  <c r="U776" i="9"/>
  <c r="Z775" i="9"/>
  <c r="Y775" i="9"/>
  <c r="X775" i="9"/>
  <c r="W775" i="9"/>
  <c r="U775" i="9"/>
  <c r="Z774" i="9"/>
  <c r="Y774" i="9"/>
  <c r="X774" i="9"/>
  <c r="W774" i="9"/>
  <c r="U774" i="9"/>
  <c r="Z773" i="9"/>
  <c r="Y773" i="9"/>
  <c r="X773" i="9"/>
  <c r="W773" i="9"/>
  <c r="U773" i="9"/>
  <c r="Z772" i="9"/>
  <c r="Y772" i="9"/>
  <c r="X772" i="9"/>
  <c r="W772" i="9"/>
  <c r="U772" i="9"/>
  <c r="Z771" i="9"/>
  <c r="Y771" i="9"/>
  <c r="X771" i="9"/>
  <c r="W771" i="9"/>
  <c r="U771" i="9"/>
  <c r="Z770" i="9"/>
  <c r="Y770" i="9"/>
  <c r="X770" i="9"/>
  <c r="W770" i="9"/>
  <c r="U770" i="9"/>
  <c r="Z769" i="9"/>
  <c r="Y769" i="9"/>
  <c r="X769" i="9"/>
  <c r="W769" i="9"/>
  <c r="U769" i="9"/>
  <c r="Z768" i="9"/>
  <c r="Y768" i="9"/>
  <c r="X768" i="9"/>
  <c r="W768" i="9"/>
  <c r="U768" i="9"/>
  <c r="Z767" i="9"/>
  <c r="Y767" i="9"/>
  <c r="X767" i="9"/>
  <c r="W767" i="9"/>
  <c r="U767" i="9"/>
  <c r="Z766" i="9"/>
  <c r="Y766" i="9"/>
  <c r="X766" i="9"/>
  <c r="W766" i="9"/>
  <c r="U766" i="9"/>
  <c r="Z765" i="9"/>
  <c r="Y765" i="9"/>
  <c r="X765" i="9"/>
  <c r="W765" i="9"/>
  <c r="U765" i="9"/>
  <c r="Z764" i="9"/>
  <c r="Y764" i="9"/>
  <c r="X764" i="9"/>
  <c r="W764" i="9"/>
  <c r="U764" i="9"/>
  <c r="Z763" i="9"/>
  <c r="Y763" i="9"/>
  <c r="X763" i="9"/>
  <c r="W763" i="9"/>
  <c r="U763" i="9"/>
  <c r="Z762" i="9"/>
  <c r="Y762" i="9"/>
  <c r="X762" i="9"/>
  <c r="W762" i="9"/>
  <c r="U762" i="9"/>
  <c r="Z761" i="9"/>
  <c r="Y761" i="9"/>
  <c r="X761" i="9"/>
  <c r="W761" i="9"/>
  <c r="U761" i="9"/>
  <c r="Z760" i="9"/>
  <c r="Y760" i="9"/>
  <c r="X760" i="9"/>
  <c r="W760" i="9"/>
  <c r="U760" i="9"/>
  <c r="Z759" i="9"/>
  <c r="Y759" i="9"/>
  <c r="X759" i="9"/>
  <c r="W759" i="9"/>
  <c r="U759" i="9"/>
  <c r="Z758" i="9"/>
  <c r="Y758" i="9"/>
  <c r="X758" i="9"/>
  <c r="W758" i="9"/>
  <c r="U758" i="9"/>
  <c r="Z757" i="9"/>
  <c r="Y757" i="9"/>
  <c r="X757" i="9"/>
  <c r="W757" i="9"/>
  <c r="U757" i="9"/>
  <c r="Z756" i="9"/>
  <c r="Y756" i="9"/>
  <c r="X756" i="9"/>
  <c r="W756" i="9"/>
  <c r="U756" i="9"/>
  <c r="Z755" i="9"/>
  <c r="Y755" i="9"/>
  <c r="X755" i="9"/>
  <c r="W755" i="9"/>
  <c r="U755" i="9"/>
  <c r="Z754" i="9"/>
  <c r="Y754" i="9"/>
  <c r="X754" i="9"/>
  <c r="W754" i="9"/>
  <c r="U754" i="9"/>
  <c r="Z753" i="9"/>
  <c r="Y753" i="9"/>
  <c r="X753" i="9"/>
  <c r="W753" i="9"/>
  <c r="U753" i="9"/>
  <c r="Z752" i="9"/>
  <c r="Y752" i="9"/>
  <c r="X752" i="9"/>
  <c r="W752" i="9"/>
  <c r="U752" i="9"/>
  <c r="Z751" i="9"/>
  <c r="Y751" i="9"/>
  <c r="X751" i="9"/>
  <c r="W751" i="9"/>
  <c r="U751" i="9"/>
  <c r="Z750" i="9"/>
  <c r="Y750" i="9"/>
  <c r="X750" i="9"/>
  <c r="W750" i="9"/>
  <c r="U750" i="9"/>
  <c r="Z749" i="9"/>
  <c r="Y749" i="9"/>
  <c r="X749" i="9"/>
  <c r="W749" i="9"/>
  <c r="U749" i="9"/>
  <c r="Z748" i="9"/>
  <c r="Y748" i="9"/>
  <c r="X748" i="9"/>
  <c r="W748" i="9"/>
  <c r="U748" i="9"/>
  <c r="Z747" i="9"/>
  <c r="Y747" i="9"/>
  <c r="X747" i="9"/>
  <c r="W747" i="9"/>
  <c r="U747" i="9"/>
  <c r="Z746" i="9"/>
  <c r="Y746" i="9"/>
  <c r="X746" i="9"/>
  <c r="W746" i="9"/>
  <c r="U746" i="9"/>
  <c r="Z745" i="9"/>
  <c r="Y745" i="9"/>
  <c r="X745" i="9"/>
  <c r="W745" i="9"/>
  <c r="U745" i="9"/>
  <c r="Z744" i="9"/>
  <c r="Y744" i="9"/>
  <c r="X744" i="9"/>
  <c r="W744" i="9"/>
  <c r="U744" i="9"/>
  <c r="Z743" i="9"/>
  <c r="Y743" i="9"/>
  <c r="X743" i="9"/>
  <c r="W743" i="9"/>
  <c r="U743" i="9"/>
  <c r="Z742" i="9"/>
  <c r="Y742" i="9"/>
  <c r="X742" i="9"/>
  <c r="W742" i="9"/>
  <c r="U742" i="9"/>
  <c r="Z741" i="9"/>
  <c r="Y741" i="9"/>
  <c r="X741" i="9"/>
  <c r="W741" i="9"/>
  <c r="U741" i="9"/>
  <c r="Z740" i="9"/>
  <c r="Y740" i="9"/>
  <c r="X740" i="9"/>
  <c r="W740" i="9"/>
  <c r="U740" i="9"/>
  <c r="Z739" i="9"/>
  <c r="Y739" i="9"/>
  <c r="X739" i="9"/>
  <c r="W739" i="9"/>
  <c r="U739" i="9"/>
  <c r="Z738" i="9"/>
  <c r="Y738" i="9"/>
  <c r="X738" i="9"/>
  <c r="W738" i="9"/>
  <c r="U738" i="9"/>
  <c r="Z737" i="9"/>
  <c r="Y737" i="9"/>
  <c r="X737" i="9"/>
  <c r="W737" i="9"/>
  <c r="U737" i="9"/>
  <c r="Z736" i="9"/>
  <c r="Y736" i="9"/>
  <c r="X736" i="9"/>
  <c r="W736" i="9"/>
  <c r="U736" i="9"/>
  <c r="Z735" i="9"/>
  <c r="Y735" i="9"/>
  <c r="X735" i="9"/>
  <c r="W735" i="9"/>
  <c r="U735" i="9"/>
  <c r="Z734" i="9"/>
  <c r="Y734" i="9"/>
  <c r="X734" i="9"/>
  <c r="W734" i="9"/>
  <c r="U734" i="9"/>
  <c r="Z733" i="9"/>
  <c r="Y733" i="9"/>
  <c r="X733" i="9"/>
  <c r="W733" i="9"/>
  <c r="U733" i="9"/>
  <c r="Z732" i="9"/>
  <c r="Y732" i="9"/>
  <c r="X732" i="9"/>
  <c r="W732" i="9"/>
  <c r="U732" i="9"/>
  <c r="Z731" i="9"/>
  <c r="Y731" i="9"/>
  <c r="X731" i="9"/>
  <c r="W731" i="9"/>
  <c r="U731" i="9"/>
  <c r="Z730" i="9"/>
  <c r="Y730" i="9"/>
  <c r="X730" i="9"/>
  <c r="W730" i="9"/>
  <c r="U730" i="9"/>
  <c r="Z729" i="9"/>
  <c r="Y729" i="9"/>
  <c r="X729" i="9"/>
  <c r="W729" i="9"/>
  <c r="U729" i="9"/>
  <c r="Z728" i="9"/>
  <c r="Y728" i="9"/>
  <c r="X728" i="9"/>
  <c r="W728" i="9"/>
  <c r="U728" i="9"/>
  <c r="Z727" i="9"/>
  <c r="Y727" i="9"/>
  <c r="X727" i="9"/>
  <c r="W727" i="9"/>
  <c r="U727" i="9"/>
  <c r="Z726" i="9"/>
  <c r="Y726" i="9"/>
  <c r="X726" i="9"/>
  <c r="W726" i="9"/>
  <c r="U726" i="9"/>
  <c r="Z725" i="9"/>
  <c r="Y725" i="9"/>
  <c r="X725" i="9"/>
  <c r="W725" i="9"/>
  <c r="U725" i="9"/>
  <c r="Z724" i="9"/>
  <c r="Y724" i="9"/>
  <c r="X724" i="9"/>
  <c r="W724" i="9"/>
  <c r="U724" i="9"/>
  <c r="Z723" i="9"/>
  <c r="Y723" i="9"/>
  <c r="X723" i="9"/>
  <c r="W723" i="9"/>
  <c r="U723" i="9"/>
  <c r="Z722" i="9"/>
  <c r="Y722" i="9"/>
  <c r="X722" i="9"/>
  <c r="W722" i="9"/>
  <c r="U722" i="9"/>
  <c r="Z721" i="9"/>
  <c r="Y721" i="9"/>
  <c r="X721" i="9"/>
  <c r="W721" i="9"/>
  <c r="U721" i="9"/>
  <c r="Z720" i="9"/>
  <c r="Y720" i="9"/>
  <c r="X720" i="9"/>
  <c r="W720" i="9"/>
  <c r="U720" i="9"/>
  <c r="Z719" i="9"/>
  <c r="Y719" i="9"/>
  <c r="X719" i="9"/>
  <c r="W719" i="9"/>
  <c r="U719" i="9"/>
  <c r="Z718" i="9"/>
  <c r="Y718" i="9"/>
  <c r="X718" i="9"/>
  <c r="W718" i="9"/>
  <c r="U718" i="9"/>
  <c r="Z717" i="9"/>
  <c r="Y717" i="9"/>
  <c r="X717" i="9"/>
  <c r="W717" i="9"/>
  <c r="U717" i="9"/>
  <c r="Z716" i="9"/>
  <c r="Y716" i="9"/>
  <c r="X716" i="9"/>
  <c r="W716" i="9"/>
  <c r="U716" i="9"/>
  <c r="Z715" i="9"/>
  <c r="Y715" i="9"/>
  <c r="X715" i="9"/>
  <c r="W715" i="9"/>
  <c r="U715" i="9"/>
  <c r="Z714" i="9"/>
  <c r="Y714" i="9"/>
  <c r="X714" i="9"/>
  <c r="W714" i="9"/>
  <c r="U714" i="9"/>
  <c r="Z713" i="9"/>
  <c r="Y713" i="9"/>
  <c r="X713" i="9"/>
  <c r="W713" i="9"/>
  <c r="U713" i="9"/>
  <c r="Z712" i="9"/>
  <c r="Y712" i="9"/>
  <c r="X712" i="9"/>
  <c r="W712" i="9"/>
  <c r="U712" i="9"/>
  <c r="Z711" i="9"/>
  <c r="Y711" i="9"/>
  <c r="X711" i="9"/>
  <c r="W711" i="9"/>
  <c r="U711" i="9"/>
  <c r="Z710" i="9"/>
  <c r="Y710" i="9"/>
  <c r="X710" i="9"/>
  <c r="W710" i="9"/>
  <c r="U710" i="9"/>
  <c r="Z709" i="9"/>
  <c r="Y709" i="9"/>
  <c r="X709" i="9"/>
  <c r="W709" i="9"/>
  <c r="U709" i="9"/>
  <c r="Z708" i="9"/>
  <c r="Y708" i="9"/>
  <c r="X708" i="9"/>
  <c r="W708" i="9"/>
  <c r="U708" i="9"/>
  <c r="Z707" i="9"/>
  <c r="Y707" i="9"/>
  <c r="X707" i="9"/>
  <c r="W707" i="9"/>
  <c r="U707" i="9"/>
  <c r="Z706" i="9"/>
  <c r="Y706" i="9"/>
  <c r="X706" i="9"/>
  <c r="W706" i="9"/>
  <c r="U706" i="9"/>
  <c r="Z705" i="9"/>
  <c r="Y705" i="9"/>
  <c r="X705" i="9"/>
  <c r="W705" i="9"/>
  <c r="U705" i="9"/>
  <c r="Z704" i="9"/>
  <c r="Y704" i="9"/>
  <c r="X704" i="9"/>
  <c r="W704" i="9"/>
  <c r="U704" i="9"/>
  <c r="Z703" i="9"/>
  <c r="Y703" i="9"/>
  <c r="X703" i="9"/>
  <c r="W703" i="9"/>
  <c r="U703" i="9"/>
  <c r="Z702" i="9"/>
  <c r="Y702" i="9"/>
  <c r="X702" i="9"/>
  <c r="W702" i="9"/>
  <c r="U702" i="9"/>
  <c r="Z701" i="9"/>
  <c r="Y701" i="9"/>
  <c r="X701" i="9"/>
  <c r="W701" i="9"/>
  <c r="U701" i="9"/>
  <c r="Z700" i="9"/>
  <c r="Y700" i="9"/>
  <c r="X700" i="9"/>
  <c r="W700" i="9"/>
  <c r="U700" i="9"/>
  <c r="Z699" i="9"/>
  <c r="Y699" i="9"/>
  <c r="X699" i="9"/>
  <c r="W699" i="9"/>
  <c r="U699" i="9"/>
  <c r="Z698" i="9"/>
  <c r="Y698" i="9"/>
  <c r="X698" i="9"/>
  <c r="W698" i="9"/>
  <c r="U698" i="9"/>
  <c r="Z697" i="9"/>
  <c r="Y697" i="9"/>
  <c r="X697" i="9"/>
  <c r="W697" i="9"/>
  <c r="U697" i="9"/>
  <c r="Z696" i="9"/>
  <c r="Y696" i="9"/>
  <c r="X696" i="9"/>
  <c r="W696" i="9"/>
  <c r="U696" i="9"/>
  <c r="Z695" i="9"/>
  <c r="Y695" i="9"/>
  <c r="X695" i="9"/>
  <c r="W695" i="9"/>
  <c r="U695" i="9"/>
  <c r="Z694" i="9"/>
  <c r="Y694" i="9"/>
  <c r="X694" i="9"/>
  <c r="W694" i="9"/>
  <c r="U694" i="9"/>
  <c r="Z693" i="9"/>
  <c r="Y693" i="9"/>
  <c r="X693" i="9"/>
  <c r="W693" i="9"/>
  <c r="U693" i="9"/>
  <c r="Z692" i="9"/>
  <c r="Y692" i="9"/>
  <c r="X692" i="9"/>
  <c r="W692" i="9"/>
  <c r="U692" i="9"/>
  <c r="Z691" i="9"/>
  <c r="Y691" i="9"/>
  <c r="X691" i="9"/>
  <c r="W691" i="9"/>
  <c r="U691" i="9"/>
  <c r="Z690" i="9"/>
  <c r="Y690" i="9"/>
  <c r="X690" i="9"/>
  <c r="W690" i="9"/>
  <c r="U690" i="9"/>
  <c r="Z689" i="9"/>
  <c r="Y689" i="9"/>
  <c r="X689" i="9"/>
  <c r="W689" i="9"/>
  <c r="U689" i="9"/>
  <c r="Z688" i="9"/>
  <c r="Y688" i="9"/>
  <c r="X688" i="9"/>
  <c r="W688" i="9"/>
  <c r="U688" i="9"/>
  <c r="Z687" i="9"/>
  <c r="Y687" i="9"/>
  <c r="X687" i="9"/>
  <c r="W687" i="9"/>
  <c r="U687" i="9"/>
  <c r="Z686" i="9"/>
  <c r="Y686" i="9"/>
  <c r="X686" i="9"/>
  <c r="W686" i="9"/>
  <c r="U686" i="9"/>
  <c r="Z685" i="9"/>
  <c r="Y685" i="9"/>
  <c r="X685" i="9"/>
  <c r="W685" i="9"/>
  <c r="U685" i="9"/>
  <c r="Z684" i="9"/>
  <c r="Y684" i="9"/>
  <c r="X684" i="9"/>
  <c r="W684" i="9"/>
  <c r="U684" i="9"/>
  <c r="Z683" i="9"/>
  <c r="Y683" i="9"/>
  <c r="X683" i="9"/>
  <c r="W683" i="9"/>
  <c r="U683" i="9"/>
  <c r="Z682" i="9"/>
  <c r="Y682" i="9"/>
  <c r="X682" i="9"/>
  <c r="W682" i="9"/>
  <c r="U682" i="9"/>
  <c r="Z681" i="9"/>
  <c r="Y681" i="9"/>
  <c r="X681" i="9"/>
  <c r="W681" i="9"/>
  <c r="U681" i="9"/>
  <c r="Z680" i="9"/>
  <c r="Y680" i="9"/>
  <c r="X680" i="9"/>
  <c r="W680" i="9"/>
  <c r="U680" i="9"/>
  <c r="Z679" i="9"/>
  <c r="Y679" i="9"/>
  <c r="X679" i="9"/>
  <c r="W679" i="9"/>
  <c r="U679" i="9"/>
  <c r="Z678" i="9"/>
  <c r="Y678" i="9"/>
  <c r="X678" i="9"/>
  <c r="W678" i="9"/>
  <c r="U678" i="9"/>
  <c r="Z677" i="9"/>
  <c r="Y677" i="9"/>
  <c r="X677" i="9"/>
  <c r="W677" i="9"/>
  <c r="U677" i="9"/>
  <c r="Z676" i="9"/>
  <c r="Y676" i="9"/>
  <c r="X676" i="9"/>
  <c r="W676" i="9"/>
  <c r="U676" i="9"/>
  <c r="Z675" i="9"/>
  <c r="Y675" i="9"/>
  <c r="X675" i="9"/>
  <c r="W675" i="9"/>
  <c r="U675" i="9"/>
  <c r="Z674" i="9"/>
  <c r="Y674" i="9"/>
  <c r="X674" i="9"/>
  <c r="W674" i="9"/>
  <c r="U674" i="9"/>
  <c r="Z673" i="9"/>
  <c r="Y673" i="9"/>
  <c r="X673" i="9"/>
  <c r="W673" i="9"/>
  <c r="U673" i="9"/>
  <c r="Z672" i="9"/>
  <c r="Y672" i="9"/>
  <c r="X672" i="9"/>
  <c r="W672" i="9"/>
  <c r="U672" i="9"/>
  <c r="Z671" i="9"/>
  <c r="Y671" i="9"/>
  <c r="X671" i="9"/>
  <c r="W671" i="9"/>
  <c r="U671" i="9"/>
  <c r="Z670" i="9"/>
  <c r="Y670" i="9"/>
  <c r="X670" i="9"/>
  <c r="W670" i="9"/>
  <c r="U670" i="9"/>
  <c r="Z669" i="9"/>
  <c r="Y669" i="9"/>
  <c r="X669" i="9"/>
  <c r="W669" i="9"/>
  <c r="U669" i="9"/>
  <c r="Z668" i="9"/>
  <c r="Y668" i="9"/>
  <c r="X668" i="9"/>
  <c r="W668" i="9"/>
  <c r="U668" i="9"/>
  <c r="Z667" i="9"/>
  <c r="Y667" i="9"/>
  <c r="X667" i="9"/>
  <c r="W667" i="9"/>
  <c r="U667" i="9"/>
  <c r="Z666" i="9"/>
  <c r="Y666" i="9"/>
  <c r="X666" i="9"/>
  <c r="W666" i="9"/>
  <c r="U666" i="9"/>
  <c r="Z665" i="9"/>
  <c r="Y665" i="9"/>
  <c r="X665" i="9"/>
  <c r="W665" i="9"/>
  <c r="U665" i="9"/>
  <c r="Z664" i="9"/>
  <c r="Y664" i="9"/>
  <c r="X664" i="9"/>
  <c r="W664" i="9"/>
  <c r="U664" i="9"/>
  <c r="Z663" i="9"/>
  <c r="Y663" i="9"/>
  <c r="X663" i="9"/>
  <c r="W663" i="9"/>
  <c r="U663" i="9"/>
  <c r="Z662" i="9"/>
  <c r="Y662" i="9"/>
  <c r="X662" i="9"/>
  <c r="W662" i="9"/>
  <c r="U662" i="9"/>
  <c r="Z661" i="9"/>
  <c r="Y661" i="9"/>
  <c r="X661" i="9"/>
  <c r="W661" i="9"/>
  <c r="U661" i="9"/>
  <c r="Z660" i="9"/>
  <c r="Y660" i="9"/>
  <c r="X660" i="9"/>
  <c r="W660" i="9"/>
  <c r="U660" i="9"/>
  <c r="Z659" i="9"/>
  <c r="Y659" i="9"/>
  <c r="X659" i="9"/>
  <c r="W659" i="9"/>
  <c r="U659" i="9"/>
  <c r="Z658" i="9"/>
  <c r="Y658" i="9"/>
  <c r="X658" i="9"/>
  <c r="W658" i="9"/>
  <c r="U658" i="9"/>
  <c r="Z657" i="9"/>
  <c r="Y657" i="9"/>
  <c r="X657" i="9"/>
  <c r="W657" i="9"/>
  <c r="U657" i="9"/>
  <c r="Z656" i="9"/>
  <c r="Y656" i="9"/>
  <c r="X656" i="9"/>
  <c r="W656" i="9"/>
  <c r="U656" i="9"/>
  <c r="Z655" i="9"/>
  <c r="Y655" i="9"/>
  <c r="X655" i="9"/>
  <c r="W655" i="9"/>
  <c r="U655" i="9"/>
  <c r="Z654" i="9"/>
  <c r="Y654" i="9"/>
  <c r="X654" i="9"/>
  <c r="W654" i="9"/>
  <c r="U654" i="9"/>
  <c r="Z653" i="9"/>
  <c r="Y653" i="9"/>
  <c r="X653" i="9"/>
  <c r="W653" i="9"/>
  <c r="U653" i="9"/>
  <c r="Z652" i="9"/>
  <c r="Y652" i="9"/>
  <c r="X652" i="9"/>
  <c r="W652" i="9"/>
  <c r="U652" i="9"/>
  <c r="Z651" i="9"/>
  <c r="Y651" i="9"/>
  <c r="X651" i="9"/>
  <c r="W651" i="9"/>
  <c r="U651" i="9"/>
  <c r="Z650" i="9"/>
  <c r="Y650" i="9"/>
  <c r="X650" i="9"/>
  <c r="W650" i="9"/>
  <c r="U650" i="9"/>
  <c r="Z649" i="9"/>
  <c r="Y649" i="9"/>
  <c r="X649" i="9"/>
  <c r="W649" i="9"/>
  <c r="U649" i="9"/>
  <c r="Z648" i="9"/>
  <c r="Y648" i="9"/>
  <c r="X648" i="9"/>
  <c r="W648" i="9"/>
  <c r="U648" i="9"/>
  <c r="Z647" i="9"/>
  <c r="Y647" i="9"/>
  <c r="X647" i="9"/>
  <c r="W647" i="9"/>
  <c r="U647" i="9"/>
  <c r="Z646" i="9"/>
  <c r="Y646" i="9"/>
  <c r="X646" i="9"/>
  <c r="W646" i="9"/>
  <c r="U646" i="9"/>
  <c r="Z645" i="9"/>
  <c r="Y645" i="9"/>
  <c r="X645" i="9"/>
  <c r="W645" i="9"/>
  <c r="U645" i="9"/>
  <c r="Z644" i="9"/>
  <c r="Y644" i="9"/>
  <c r="X644" i="9"/>
  <c r="W644" i="9"/>
  <c r="U644" i="9"/>
  <c r="Z643" i="9"/>
  <c r="Y643" i="9"/>
  <c r="X643" i="9"/>
  <c r="W643" i="9"/>
  <c r="U643" i="9"/>
  <c r="Z642" i="9"/>
  <c r="Y642" i="9"/>
  <c r="X642" i="9"/>
  <c r="W642" i="9"/>
  <c r="U642" i="9"/>
  <c r="Z641" i="9"/>
  <c r="Y641" i="9"/>
  <c r="X641" i="9"/>
  <c r="W641" i="9"/>
  <c r="U641" i="9"/>
  <c r="Z640" i="9"/>
  <c r="Y640" i="9"/>
  <c r="X640" i="9"/>
  <c r="W640" i="9"/>
  <c r="U640" i="9"/>
  <c r="Z639" i="9"/>
  <c r="Y639" i="9"/>
  <c r="X639" i="9"/>
  <c r="W639" i="9"/>
  <c r="U639" i="9"/>
  <c r="Z638" i="9"/>
  <c r="Y638" i="9"/>
  <c r="X638" i="9"/>
  <c r="W638" i="9"/>
  <c r="U638" i="9"/>
  <c r="Z637" i="9"/>
  <c r="Y637" i="9"/>
  <c r="X637" i="9"/>
  <c r="W637" i="9"/>
  <c r="U637" i="9"/>
  <c r="Z636" i="9"/>
  <c r="Y636" i="9"/>
  <c r="X636" i="9"/>
  <c r="W636" i="9"/>
  <c r="U636" i="9"/>
  <c r="Z635" i="9"/>
  <c r="Y635" i="9"/>
  <c r="X635" i="9"/>
  <c r="W635" i="9"/>
  <c r="U635" i="9"/>
  <c r="Z634" i="9"/>
  <c r="Y634" i="9"/>
  <c r="X634" i="9"/>
  <c r="W634" i="9"/>
  <c r="U634" i="9"/>
  <c r="Z633" i="9"/>
  <c r="Y633" i="9"/>
  <c r="X633" i="9"/>
  <c r="W633" i="9"/>
  <c r="U633" i="9"/>
  <c r="Z632" i="9"/>
  <c r="Y632" i="9"/>
  <c r="X632" i="9"/>
  <c r="W632" i="9"/>
  <c r="U632" i="9"/>
  <c r="Z631" i="9"/>
  <c r="Y631" i="9"/>
  <c r="X631" i="9"/>
  <c r="W631" i="9"/>
  <c r="U631" i="9"/>
  <c r="Z630" i="9"/>
  <c r="Y630" i="9"/>
  <c r="X630" i="9"/>
  <c r="W630" i="9"/>
  <c r="U630" i="9"/>
  <c r="Z629" i="9"/>
  <c r="Y629" i="9"/>
  <c r="X629" i="9"/>
  <c r="W629" i="9"/>
  <c r="U629" i="9"/>
  <c r="Z628" i="9"/>
  <c r="Y628" i="9"/>
  <c r="X628" i="9"/>
  <c r="W628" i="9"/>
  <c r="U628" i="9"/>
  <c r="Z627" i="9"/>
  <c r="Y627" i="9"/>
  <c r="X627" i="9"/>
  <c r="W627" i="9"/>
  <c r="U627" i="9"/>
  <c r="Z626" i="9"/>
  <c r="Y626" i="9"/>
  <c r="X626" i="9"/>
  <c r="W626" i="9"/>
  <c r="U626" i="9"/>
  <c r="Z625" i="9"/>
  <c r="Y625" i="9"/>
  <c r="X625" i="9"/>
  <c r="W625" i="9"/>
  <c r="U625" i="9"/>
  <c r="Z624" i="9"/>
  <c r="Y624" i="9"/>
  <c r="X624" i="9"/>
  <c r="W624" i="9"/>
  <c r="U624" i="9"/>
  <c r="Z623" i="9"/>
  <c r="Y623" i="9"/>
  <c r="X623" i="9"/>
  <c r="W623" i="9"/>
  <c r="U623" i="9"/>
  <c r="Z622" i="9"/>
  <c r="Y622" i="9"/>
  <c r="X622" i="9"/>
  <c r="W622" i="9"/>
  <c r="U622" i="9"/>
  <c r="Z621" i="9"/>
  <c r="Y621" i="9"/>
  <c r="X621" i="9"/>
  <c r="W621" i="9"/>
  <c r="U621" i="9"/>
  <c r="Z620" i="9"/>
  <c r="Y620" i="9"/>
  <c r="X620" i="9"/>
  <c r="W620" i="9"/>
  <c r="U620" i="9"/>
  <c r="Z619" i="9"/>
  <c r="Y619" i="9"/>
  <c r="X619" i="9"/>
  <c r="W619" i="9"/>
  <c r="U619" i="9"/>
  <c r="Z618" i="9"/>
  <c r="Y618" i="9"/>
  <c r="X618" i="9"/>
  <c r="W618" i="9"/>
  <c r="U618" i="9"/>
  <c r="Z617" i="9"/>
  <c r="Y617" i="9"/>
  <c r="X617" i="9"/>
  <c r="W617" i="9"/>
  <c r="U617" i="9"/>
  <c r="Z616" i="9"/>
  <c r="Y616" i="9"/>
  <c r="X616" i="9"/>
  <c r="W616" i="9"/>
  <c r="U616" i="9"/>
  <c r="Z615" i="9"/>
  <c r="Y615" i="9"/>
  <c r="X615" i="9"/>
  <c r="W615" i="9"/>
  <c r="U615" i="9"/>
  <c r="Z614" i="9"/>
  <c r="Y614" i="9"/>
  <c r="X614" i="9"/>
  <c r="W614" i="9"/>
  <c r="U614" i="9"/>
  <c r="Z613" i="9"/>
  <c r="Y613" i="9"/>
  <c r="X613" i="9"/>
  <c r="W613" i="9"/>
  <c r="U613" i="9"/>
  <c r="Z612" i="9"/>
  <c r="Y612" i="9"/>
  <c r="X612" i="9"/>
  <c r="W612" i="9"/>
  <c r="U612" i="9"/>
  <c r="Z611" i="9"/>
  <c r="Y611" i="9"/>
  <c r="X611" i="9"/>
  <c r="W611" i="9"/>
  <c r="U611" i="9"/>
  <c r="Z610" i="9"/>
  <c r="Y610" i="9"/>
  <c r="X610" i="9"/>
  <c r="W610" i="9"/>
  <c r="U610" i="9"/>
  <c r="Z609" i="9"/>
  <c r="Y609" i="9"/>
  <c r="X609" i="9"/>
  <c r="W609" i="9"/>
  <c r="U609" i="9"/>
  <c r="Z608" i="9"/>
  <c r="Y608" i="9"/>
  <c r="X608" i="9"/>
  <c r="W608" i="9"/>
  <c r="U608" i="9"/>
  <c r="Z607" i="9"/>
  <c r="Y607" i="9"/>
  <c r="X607" i="9"/>
  <c r="W607" i="9"/>
  <c r="U607" i="9"/>
  <c r="Z606" i="9"/>
  <c r="Y606" i="9"/>
  <c r="X606" i="9"/>
  <c r="W606" i="9"/>
  <c r="U606" i="9"/>
  <c r="Z605" i="9"/>
  <c r="Y605" i="9"/>
  <c r="X605" i="9"/>
  <c r="W605" i="9"/>
  <c r="U605" i="9"/>
  <c r="Z604" i="9"/>
  <c r="Y604" i="9"/>
  <c r="X604" i="9"/>
  <c r="W604" i="9"/>
  <c r="U604" i="9"/>
  <c r="Z603" i="9"/>
  <c r="X603" i="9"/>
  <c r="W603" i="9"/>
  <c r="Y603" i="9" s="1"/>
  <c r="U603" i="9"/>
  <c r="X602" i="9"/>
  <c r="W602" i="9"/>
  <c r="Z602" i="9" s="1"/>
  <c r="U602" i="9"/>
  <c r="X601" i="9"/>
  <c r="W601" i="9"/>
  <c r="Y601" i="9" s="1"/>
  <c r="U601" i="9"/>
  <c r="X600" i="9"/>
  <c r="W600" i="9"/>
  <c r="U600" i="9"/>
  <c r="Z599" i="9"/>
  <c r="X599" i="9"/>
  <c r="W599" i="9"/>
  <c r="Y599" i="9" s="1"/>
  <c r="U599" i="9"/>
  <c r="X598" i="9"/>
  <c r="W598" i="9"/>
  <c r="Z598" i="9" s="1"/>
  <c r="U598" i="9"/>
  <c r="X597" i="9"/>
  <c r="W597" i="9"/>
  <c r="Y597" i="9" s="1"/>
  <c r="U597" i="9"/>
  <c r="X596" i="9"/>
  <c r="W596" i="9"/>
  <c r="U596" i="9"/>
  <c r="Z595" i="9"/>
  <c r="X595" i="9"/>
  <c r="W595" i="9"/>
  <c r="Y595" i="9" s="1"/>
  <c r="U595" i="9"/>
  <c r="X594" i="9"/>
  <c r="W594" i="9"/>
  <c r="Z594" i="9" s="1"/>
  <c r="U594" i="9"/>
  <c r="X593" i="9"/>
  <c r="W593" i="9"/>
  <c r="Y593" i="9" s="1"/>
  <c r="U593" i="9"/>
  <c r="X592" i="9"/>
  <c r="W592" i="9"/>
  <c r="U592" i="9"/>
  <c r="Z591" i="9"/>
  <c r="X591" i="9"/>
  <c r="W591" i="9"/>
  <c r="Y591" i="9" s="1"/>
  <c r="U591" i="9"/>
  <c r="Y590" i="9"/>
  <c r="X590" i="9"/>
  <c r="W590" i="9"/>
  <c r="Z590" i="9" s="1"/>
  <c r="U590" i="9"/>
  <c r="Z589" i="9"/>
  <c r="X589" i="9"/>
  <c r="W589" i="9"/>
  <c r="Y589" i="9" s="1"/>
  <c r="U589" i="9"/>
  <c r="X588" i="9"/>
  <c r="W588" i="9"/>
  <c r="U588" i="9"/>
  <c r="Y587" i="9"/>
  <c r="X587" i="9"/>
  <c r="W587" i="9"/>
  <c r="Z587" i="9" s="1"/>
  <c r="U587" i="9"/>
  <c r="Y586" i="9"/>
  <c r="X586" i="9"/>
  <c r="W586" i="9"/>
  <c r="Z586" i="9" s="1"/>
  <c r="U586" i="9"/>
  <c r="Z585" i="9"/>
  <c r="X585" i="9"/>
  <c r="W585" i="9"/>
  <c r="Y585" i="9" s="1"/>
  <c r="U585" i="9"/>
  <c r="X584" i="9"/>
  <c r="W584" i="9"/>
  <c r="U584" i="9"/>
  <c r="Z583" i="9"/>
  <c r="X583" i="9"/>
  <c r="W583" i="9"/>
  <c r="Y583" i="9" s="1"/>
  <c r="U583" i="9"/>
  <c r="Y582" i="9"/>
  <c r="X582" i="9"/>
  <c r="W582" i="9"/>
  <c r="Z582" i="9" s="1"/>
  <c r="U582" i="9"/>
  <c r="Z581" i="9"/>
  <c r="X581" i="9"/>
  <c r="W581" i="9"/>
  <c r="Y581" i="9" s="1"/>
  <c r="U581" i="9"/>
  <c r="X580" i="9"/>
  <c r="W580" i="9"/>
  <c r="U580" i="9"/>
  <c r="X579" i="9"/>
  <c r="W579" i="9"/>
  <c r="U579" i="9"/>
  <c r="X578" i="9"/>
  <c r="W578" i="9"/>
  <c r="U578" i="9"/>
  <c r="X577" i="9"/>
  <c r="W577" i="9"/>
  <c r="U577" i="9"/>
  <c r="X576" i="9"/>
  <c r="W576" i="9"/>
  <c r="U576" i="9"/>
  <c r="X575" i="9"/>
  <c r="W575" i="9"/>
  <c r="Y575" i="9" s="1"/>
  <c r="U575" i="9"/>
  <c r="X574" i="9"/>
  <c r="W574" i="9"/>
  <c r="Z574" i="9" s="1"/>
  <c r="U574" i="9"/>
  <c r="X573" i="9"/>
  <c r="W573" i="9"/>
  <c r="Y573" i="9" s="1"/>
  <c r="U573" i="9"/>
  <c r="X572" i="9"/>
  <c r="W572" i="9"/>
  <c r="U572" i="9"/>
  <c r="Z571" i="9"/>
  <c r="X571" i="9"/>
  <c r="W571" i="9"/>
  <c r="Y571" i="9" s="1"/>
  <c r="U571" i="9"/>
  <c r="Y570" i="9"/>
  <c r="X570" i="9"/>
  <c r="W570" i="9"/>
  <c r="Z570" i="9" s="1"/>
  <c r="U570" i="9"/>
  <c r="Z569" i="9"/>
  <c r="X569" i="9"/>
  <c r="W569" i="9"/>
  <c r="Y569" i="9" s="1"/>
  <c r="U569" i="9"/>
  <c r="X568" i="9"/>
  <c r="W568" i="9"/>
  <c r="U568" i="9"/>
  <c r="Z567" i="9"/>
  <c r="X567" i="9"/>
  <c r="W567" i="9"/>
  <c r="Y567" i="9" s="1"/>
  <c r="U567" i="9"/>
  <c r="Y566" i="9"/>
  <c r="X566" i="9"/>
  <c r="W566" i="9"/>
  <c r="Z566" i="9" s="1"/>
  <c r="U566" i="9"/>
  <c r="Z565" i="9"/>
  <c r="X565" i="9"/>
  <c r="W565" i="9"/>
  <c r="Y565" i="9" s="1"/>
  <c r="U565" i="9"/>
  <c r="X564" i="9"/>
  <c r="W564" i="9"/>
  <c r="U564" i="9"/>
  <c r="X563" i="9"/>
  <c r="W563" i="9"/>
  <c r="U563" i="9"/>
  <c r="X562" i="9"/>
  <c r="W562" i="9"/>
  <c r="U562" i="9"/>
  <c r="X561" i="9"/>
  <c r="W561" i="9"/>
  <c r="U561" i="9"/>
  <c r="X560" i="9"/>
  <c r="W560" i="9"/>
  <c r="U560" i="9"/>
  <c r="X559" i="9"/>
  <c r="W559" i="9"/>
  <c r="Y559" i="9" s="1"/>
  <c r="U559" i="9"/>
  <c r="X558" i="9"/>
  <c r="W558" i="9"/>
  <c r="Z558" i="9" s="1"/>
  <c r="U558" i="9"/>
  <c r="X557" i="9"/>
  <c r="W557" i="9"/>
  <c r="Y557" i="9" s="1"/>
  <c r="U557" i="9"/>
  <c r="X556" i="9"/>
  <c r="W556" i="9"/>
  <c r="U556" i="9"/>
  <c r="Z555" i="9"/>
  <c r="X555" i="9"/>
  <c r="W555" i="9"/>
  <c r="Y555" i="9" s="1"/>
  <c r="U555" i="9"/>
  <c r="Y554" i="9"/>
  <c r="X554" i="9"/>
  <c r="W554" i="9"/>
  <c r="Z554" i="9" s="1"/>
  <c r="U554" i="9"/>
  <c r="Z553" i="9"/>
  <c r="X553" i="9"/>
  <c r="W553" i="9"/>
  <c r="Y553" i="9" s="1"/>
  <c r="U553" i="9"/>
  <c r="X552" i="9"/>
  <c r="W552" i="9"/>
  <c r="U552" i="9"/>
  <c r="Z551" i="9"/>
  <c r="X551" i="9"/>
  <c r="W551" i="9"/>
  <c r="Y551" i="9" s="1"/>
  <c r="U551" i="9"/>
  <c r="Y550" i="9"/>
  <c r="X550" i="9"/>
  <c r="W550" i="9"/>
  <c r="Z550" i="9" s="1"/>
  <c r="U550" i="9"/>
  <c r="Z549" i="9"/>
  <c r="X549" i="9"/>
  <c r="W549" i="9"/>
  <c r="Y549" i="9" s="1"/>
  <c r="U549" i="9"/>
  <c r="X548" i="9"/>
  <c r="W548" i="9"/>
  <c r="U548" i="9"/>
  <c r="X547" i="9"/>
  <c r="W547" i="9"/>
  <c r="U547" i="9"/>
  <c r="X546" i="9"/>
  <c r="W546" i="9"/>
  <c r="U546" i="9"/>
  <c r="X545" i="9"/>
  <c r="W545" i="9"/>
  <c r="U545" i="9"/>
  <c r="X544" i="9"/>
  <c r="W544" i="9"/>
  <c r="U544" i="9"/>
  <c r="X543" i="9"/>
  <c r="W543" i="9"/>
  <c r="Y543" i="9" s="1"/>
  <c r="U543" i="9"/>
  <c r="X542" i="9"/>
  <c r="W542" i="9"/>
  <c r="Z542" i="9" s="1"/>
  <c r="U542" i="9"/>
  <c r="X541" i="9"/>
  <c r="W541" i="9"/>
  <c r="Y541" i="9" s="1"/>
  <c r="U541" i="9"/>
  <c r="X540" i="9"/>
  <c r="W540" i="9"/>
  <c r="U540" i="9"/>
  <c r="Z539" i="9"/>
  <c r="X539" i="9"/>
  <c r="W539" i="9"/>
  <c r="Y539" i="9" s="1"/>
  <c r="U539" i="9"/>
  <c r="Y538" i="9"/>
  <c r="X538" i="9"/>
  <c r="W538" i="9"/>
  <c r="Z538" i="9" s="1"/>
  <c r="U538" i="9"/>
  <c r="Z537" i="9"/>
  <c r="X537" i="9"/>
  <c r="W537" i="9"/>
  <c r="Y537" i="9" s="1"/>
  <c r="U537" i="9"/>
  <c r="X536" i="9"/>
  <c r="W536" i="9"/>
  <c r="U536" i="9"/>
  <c r="Z535" i="9"/>
  <c r="X535" i="9"/>
  <c r="W535" i="9"/>
  <c r="Y535" i="9" s="1"/>
  <c r="U535" i="9"/>
  <c r="Y534" i="9"/>
  <c r="X534" i="9"/>
  <c r="W534" i="9"/>
  <c r="Z534" i="9" s="1"/>
  <c r="U534" i="9"/>
  <c r="Z533" i="9"/>
  <c r="X533" i="9"/>
  <c r="W533" i="9"/>
  <c r="Y533" i="9" s="1"/>
  <c r="U533" i="9"/>
  <c r="X532" i="9"/>
  <c r="W532" i="9"/>
  <c r="U532" i="9"/>
  <c r="X531" i="9"/>
  <c r="W531" i="9"/>
  <c r="U531" i="9"/>
  <c r="X530" i="9"/>
  <c r="W530" i="9"/>
  <c r="U530" i="9"/>
  <c r="X529" i="9"/>
  <c r="W529" i="9"/>
  <c r="U529" i="9"/>
  <c r="X528" i="9"/>
  <c r="W528" i="9"/>
  <c r="U528" i="9"/>
  <c r="X527" i="9"/>
  <c r="W527" i="9"/>
  <c r="Y527" i="9" s="1"/>
  <c r="U527" i="9"/>
  <c r="X526" i="9"/>
  <c r="W526" i="9"/>
  <c r="Z526" i="9" s="1"/>
  <c r="U526" i="9"/>
  <c r="X525" i="9"/>
  <c r="W525" i="9"/>
  <c r="Y525" i="9" s="1"/>
  <c r="U525" i="9"/>
  <c r="X524" i="9"/>
  <c r="W524" i="9"/>
  <c r="U524" i="9"/>
  <c r="Z523" i="9"/>
  <c r="X523" i="9"/>
  <c r="W523" i="9"/>
  <c r="Y523" i="9" s="1"/>
  <c r="U523" i="9"/>
  <c r="Y522" i="9"/>
  <c r="X522" i="9"/>
  <c r="W522" i="9"/>
  <c r="Z522" i="9" s="1"/>
  <c r="U522" i="9"/>
  <c r="Z521" i="9"/>
  <c r="X521" i="9"/>
  <c r="W521" i="9"/>
  <c r="Y521" i="9" s="1"/>
  <c r="U521" i="9"/>
  <c r="X520" i="9"/>
  <c r="W520" i="9"/>
  <c r="U520" i="9"/>
  <c r="Z519" i="9"/>
  <c r="X519" i="9"/>
  <c r="W519" i="9"/>
  <c r="Y519" i="9" s="1"/>
  <c r="U519" i="9"/>
  <c r="Y518" i="9"/>
  <c r="X518" i="9"/>
  <c r="W518" i="9"/>
  <c r="Z518" i="9" s="1"/>
  <c r="U518" i="9"/>
  <c r="Z517" i="9"/>
  <c r="X517" i="9"/>
  <c r="W517" i="9"/>
  <c r="Y517" i="9" s="1"/>
  <c r="U517" i="9"/>
  <c r="X516" i="9"/>
  <c r="W516" i="9"/>
  <c r="U516" i="9"/>
  <c r="X515" i="9"/>
  <c r="W515" i="9"/>
  <c r="U515" i="9"/>
  <c r="X514" i="9"/>
  <c r="W514" i="9"/>
  <c r="U514" i="9"/>
  <c r="X513" i="9"/>
  <c r="W513" i="9"/>
  <c r="U513" i="9"/>
  <c r="X512" i="9"/>
  <c r="W512" i="9"/>
  <c r="U512" i="9"/>
  <c r="X511" i="9"/>
  <c r="W511" i="9"/>
  <c r="Y511" i="9" s="1"/>
  <c r="U511" i="9"/>
  <c r="X510" i="9"/>
  <c r="W510" i="9"/>
  <c r="Z510" i="9" s="1"/>
  <c r="U510" i="9"/>
  <c r="X509" i="9"/>
  <c r="W509" i="9"/>
  <c r="Y509" i="9" s="1"/>
  <c r="U509" i="9"/>
  <c r="X508" i="9"/>
  <c r="W508" i="9"/>
  <c r="U508" i="9"/>
  <c r="Z507" i="9"/>
  <c r="X507" i="9"/>
  <c r="W507" i="9"/>
  <c r="Y507" i="9" s="1"/>
  <c r="U507" i="9"/>
  <c r="Y506" i="9"/>
  <c r="X506" i="9"/>
  <c r="W506" i="9"/>
  <c r="Z506" i="9" s="1"/>
  <c r="U506" i="9"/>
  <c r="Z505" i="9"/>
  <c r="X505" i="9"/>
  <c r="W505" i="9"/>
  <c r="Y505" i="9" s="1"/>
  <c r="U505" i="9"/>
  <c r="X504" i="9"/>
  <c r="W504" i="9"/>
  <c r="U504" i="9"/>
  <c r="Z503" i="9"/>
  <c r="X503" i="9"/>
  <c r="W503" i="9"/>
  <c r="Y503" i="9" s="1"/>
  <c r="U503" i="9"/>
  <c r="Y502" i="9"/>
  <c r="X502" i="9"/>
  <c r="W502" i="9"/>
  <c r="Z502" i="9" s="1"/>
  <c r="U502" i="9"/>
  <c r="Z501" i="9"/>
  <c r="X501" i="9"/>
  <c r="W501" i="9"/>
  <c r="Y501" i="9" s="1"/>
  <c r="U501" i="9"/>
  <c r="X500" i="9"/>
  <c r="W500" i="9"/>
  <c r="U500" i="9"/>
  <c r="X499" i="9"/>
  <c r="W499" i="9"/>
  <c r="U499" i="9"/>
  <c r="X498" i="9"/>
  <c r="W498" i="9"/>
  <c r="U498" i="9"/>
  <c r="X497" i="9"/>
  <c r="W497" i="9"/>
  <c r="U497" i="9"/>
  <c r="X496" i="9"/>
  <c r="W496" i="9"/>
  <c r="U496" i="9"/>
  <c r="X495" i="9"/>
  <c r="W495" i="9"/>
  <c r="Y495" i="9" s="1"/>
  <c r="U495" i="9"/>
  <c r="X494" i="9"/>
  <c r="W494" i="9"/>
  <c r="Z494" i="9" s="1"/>
  <c r="U494" i="9"/>
  <c r="X493" i="9"/>
  <c r="W493" i="9"/>
  <c r="Y493" i="9" s="1"/>
  <c r="U493" i="9"/>
  <c r="X492" i="9"/>
  <c r="W492" i="9"/>
  <c r="U492" i="9"/>
  <c r="Z491" i="9"/>
  <c r="X491" i="9"/>
  <c r="W491" i="9"/>
  <c r="Y491" i="9" s="1"/>
  <c r="U491" i="9"/>
  <c r="Y490" i="9"/>
  <c r="X490" i="9"/>
  <c r="W490" i="9"/>
  <c r="Z490" i="9" s="1"/>
  <c r="U490" i="9"/>
  <c r="Z489" i="9"/>
  <c r="X489" i="9"/>
  <c r="W489" i="9"/>
  <c r="Y489" i="9" s="1"/>
  <c r="U489" i="9"/>
  <c r="X488" i="9"/>
  <c r="W488" i="9"/>
  <c r="U488" i="9"/>
  <c r="Z487" i="9"/>
  <c r="X487" i="9"/>
  <c r="W487" i="9"/>
  <c r="Y487" i="9" s="1"/>
  <c r="U487" i="9"/>
  <c r="Y486" i="9"/>
  <c r="X486" i="9"/>
  <c r="W486" i="9"/>
  <c r="Z486" i="9" s="1"/>
  <c r="U486" i="9"/>
  <c r="Z485" i="9"/>
  <c r="X485" i="9"/>
  <c r="W485" i="9"/>
  <c r="Y485" i="9" s="1"/>
  <c r="U485" i="9"/>
  <c r="X484" i="9"/>
  <c r="W484" i="9"/>
  <c r="U484" i="9"/>
  <c r="X483" i="9"/>
  <c r="W483" i="9"/>
  <c r="U483" i="9"/>
  <c r="X482" i="9"/>
  <c r="W482" i="9"/>
  <c r="U482" i="9"/>
  <c r="X481" i="9"/>
  <c r="W481" i="9"/>
  <c r="U481" i="9"/>
  <c r="X480" i="9"/>
  <c r="W480" i="9"/>
  <c r="U480" i="9"/>
  <c r="X479" i="9"/>
  <c r="W479" i="9"/>
  <c r="Y479" i="9" s="1"/>
  <c r="U479" i="9"/>
  <c r="X478" i="9"/>
  <c r="W478" i="9"/>
  <c r="Z478" i="9" s="1"/>
  <c r="U478" i="9"/>
  <c r="X477" i="9"/>
  <c r="W477" i="9"/>
  <c r="Y477" i="9" s="1"/>
  <c r="U477" i="9"/>
  <c r="X476" i="9"/>
  <c r="W476" i="9"/>
  <c r="U476" i="9"/>
  <c r="Z475" i="9"/>
  <c r="X475" i="9"/>
  <c r="W475" i="9"/>
  <c r="Y475" i="9" s="1"/>
  <c r="U475" i="9"/>
  <c r="Y474" i="9"/>
  <c r="X474" i="9"/>
  <c r="W474" i="9"/>
  <c r="Z474" i="9" s="1"/>
  <c r="U474" i="9"/>
  <c r="Z473" i="9"/>
  <c r="X473" i="9"/>
  <c r="W473" i="9"/>
  <c r="Y473" i="9" s="1"/>
  <c r="U473" i="9"/>
  <c r="X472" i="9"/>
  <c r="W472" i="9"/>
  <c r="U472" i="9"/>
  <c r="Z471" i="9"/>
  <c r="X471" i="9"/>
  <c r="W471" i="9"/>
  <c r="Y471" i="9" s="1"/>
  <c r="U471" i="9"/>
  <c r="Y470" i="9"/>
  <c r="X470" i="9"/>
  <c r="W470" i="9"/>
  <c r="Z470" i="9" s="1"/>
  <c r="U470" i="9"/>
  <c r="Z469" i="9"/>
  <c r="X469" i="9"/>
  <c r="W469" i="9"/>
  <c r="Y469" i="9" s="1"/>
  <c r="U469" i="9"/>
  <c r="X468" i="9"/>
  <c r="W468" i="9"/>
  <c r="U468" i="9"/>
  <c r="X467" i="9"/>
  <c r="W467" i="9"/>
  <c r="U467" i="9"/>
  <c r="X466" i="9"/>
  <c r="W466" i="9"/>
  <c r="U466" i="9"/>
  <c r="X465" i="9"/>
  <c r="W465" i="9"/>
  <c r="U465" i="9"/>
  <c r="X464" i="9"/>
  <c r="W464" i="9"/>
  <c r="U464" i="9"/>
  <c r="X463" i="9"/>
  <c r="W463" i="9"/>
  <c r="Y463" i="9" s="1"/>
  <c r="U463" i="9"/>
  <c r="X462" i="9"/>
  <c r="W462" i="9"/>
  <c r="Z462" i="9" s="1"/>
  <c r="U462" i="9"/>
  <c r="X461" i="9"/>
  <c r="W461" i="9"/>
  <c r="Y461" i="9" s="1"/>
  <c r="U461" i="9"/>
  <c r="X460" i="9"/>
  <c r="W460" i="9"/>
  <c r="U460" i="9"/>
  <c r="Z459" i="9"/>
  <c r="X459" i="9"/>
  <c r="W459" i="9"/>
  <c r="Y459" i="9" s="1"/>
  <c r="U459" i="9"/>
  <c r="Y458" i="9"/>
  <c r="X458" i="9"/>
  <c r="W458" i="9"/>
  <c r="Z458" i="9" s="1"/>
  <c r="U458" i="9"/>
  <c r="Z457" i="9"/>
  <c r="X457" i="9"/>
  <c r="W457" i="9"/>
  <c r="Y457" i="9" s="1"/>
  <c r="U457" i="9"/>
  <c r="X456" i="9"/>
  <c r="W456" i="9"/>
  <c r="U456" i="9"/>
  <c r="Z455" i="9"/>
  <c r="X455" i="9"/>
  <c r="W455" i="9"/>
  <c r="Y455" i="9" s="1"/>
  <c r="U455" i="9"/>
  <c r="Y454" i="9"/>
  <c r="X454" i="9"/>
  <c r="W454" i="9"/>
  <c r="Z454" i="9" s="1"/>
  <c r="U454" i="9"/>
  <c r="Z453" i="9"/>
  <c r="X453" i="9"/>
  <c r="W453" i="9"/>
  <c r="Y453" i="9" s="1"/>
  <c r="U453" i="9"/>
  <c r="X452" i="9"/>
  <c r="W452" i="9"/>
  <c r="U452" i="9"/>
  <c r="X451" i="9"/>
  <c r="W451" i="9"/>
  <c r="U451" i="9"/>
  <c r="X450" i="9"/>
  <c r="W450" i="9"/>
  <c r="U450" i="9"/>
  <c r="X449" i="9"/>
  <c r="W449" i="9"/>
  <c r="U449" i="9"/>
  <c r="X448" i="9"/>
  <c r="W448" i="9"/>
  <c r="U448" i="9"/>
  <c r="X447" i="9"/>
  <c r="W447" i="9"/>
  <c r="Y447" i="9" s="1"/>
  <c r="U447" i="9"/>
  <c r="X446" i="9"/>
  <c r="W446" i="9"/>
  <c r="Z446" i="9" s="1"/>
  <c r="U446" i="9"/>
  <c r="X445" i="9"/>
  <c r="W445" i="9"/>
  <c r="Y445" i="9" s="1"/>
  <c r="U445" i="9"/>
  <c r="X444" i="9"/>
  <c r="W444" i="9"/>
  <c r="U444" i="9"/>
  <c r="Z443" i="9"/>
  <c r="X443" i="9"/>
  <c r="W443" i="9"/>
  <c r="Y443" i="9" s="1"/>
  <c r="U443" i="9"/>
  <c r="Y442" i="9"/>
  <c r="X442" i="9"/>
  <c r="W442" i="9"/>
  <c r="Z442" i="9" s="1"/>
  <c r="U442" i="9"/>
  <c r="Z441" i="9"/>
  <c r="X441" i="9"/>
  <c r="W441" i="9"/>
  <c r="Y441" i="9" s="1"/>
  <c r="U441" i="9"/>
  <c r="X440" i="9"/>
  <c r="W440" i="9"/>
  <c r="U440" i="9"/>
  <c r="Z439" i="9"/>
  <c r="X439" i="9"/>
  <c r="W439" i="9"/>
  <c r="Y439" i="9" s="1"/>
  <c r="U439" i="9"/>
  <c r="X438" i="9"/>
  <c r="W438" i="9"/>
  <c r="Z438" i="9" s="1"/>
  <c r="U438" i="9"/>
  <c r="X437" i="9"/>
  <c r="W437" i="9"/>
  <c r="U437" i="9"/>
  <c r="X436" i="9"/>
  <c r="W436" i="9"/>
  <c r="Z436" i="9" s="1"/>
  <c r="U436" i="9"/>
  <c r="X435" i="9"/>
  <c r="W435" i="9"/>
  <c r="Y435" i="9" s="1"/>
  <c r="U435" i="9"/>
  <c r="X434" i="9"/>
  <c r="W434" i="9"/>
  <c r="Z434" i="9" s="1"/>
  <c r="U434" i="9"/>
  <c r="Z433" i="9"/>
  <c r="X433" i="9"/>
  <c r="W433" i="9"/>
  <c r="Y433" i="9" s="1"/>
  <c r="U433" i="9"/>
  <c r="X432" i="9"/>
  <c r="W432" i="9"/>
  <c r="U432" i="9"/>
  <c r="Y431" i="9"/>
  <c r="X431" i="9"/>
  <c r="W431" i="9"/>
  <c r="Z431" i="9" s="1"/>
  <c r="U431" i="9"/>
  <c r="Y430" i="9"/>
  <c r="X430" i="9"/>
  <c r="W430" i="9"/>
  <c r="Z430" i="9" s="1"/>
  <c r="U430" i="9"/>
  <c r="Z429" i="9"/>
  <c r="X429" i="9"/>
  <c r="W429" i="9"/>
  <c r="Y429" i="9" s="1"/>
  <c r="U429" i="9"/>
  <c r="X428" i="9"/>
  <c r="W428" i="9"/>
  <c r="U428" i="9"/>
  <c r="Y427" i="9"/>
  <c r="X427" i="9"/>
  <c r="W427" i="9"/>
  <c r="Z427" i="9" s="1"/>
  <c r="U427" i="9"/>
  <c r="Y426" i="9"/>
  <c r="X426" i="9"/>
  <c r="W426" i="9"/>
  <c r="Z426" i="9" s="1"/>
  <c r="U426" i="9"/>
  <c r="Z425" i="9"/>
  <c r="X425" i="9"/>
  <c r="W425" i="9"/>
  <c r="Y425" i="9" s="1"/>
  <c r="U425" i="9"/>
  <c r="X424" i="9"/>
  <c r="W424" i="9"/>
  <c r="U424" i="9"/>
  <c r="Y423" i="9"/>
  <c r="X423" i="9"/>
  <c r="W423" i="9"/>
  <c r="Z423" i="9" s="1"/>
  <c r="U423" i="9"/>
  <c r="Y422" i="9"/>
  <c r="X422" i="9"/>
  <c r="W422" i="9"/>
  <c r="Z422" i="9" s="1"/>
  <c r="U422" i="9"/>
  <c r="Z421" i="9"/>
  <c r="X421" i="9"/>
  <c r="W421" i="9"/>
  <c r="Y421" i="9" s="1"/>
  <c r="U421" i="9"/>
  <c r="X420" i="9"/>
  <c r="W420" i="9"/>
  <c r="U420" i="9"/>
  <c r="Y419" i="9"/>
  <c r="X419" i="9"/>
  <c r="W419" i="9"/>
  <c r="Z419" i="9" s="1"/>
  <c r="U419" i="9"/>
  <c r="Y418" i="9"/>
  <c r="X418" i="9"/>
  <c r="W418" i="9"/>
  <c r="Z418" i="9" s="1"/>
  <c r="U418" i="9"/>
  <c r="Z417" i="9"/>
  <c r="X417" i="9"/>
  <c r="W417" i="9"/>
  <c r="Y417" i="9" s="1"/>
  <c r="U417" i="9"/>
  <c r="X416" i="9"/>
  <c r="W416" i="9"/>
  <c r="U416" i="9"/>
  <c r="Y415" i="9"/>
  <c r="X415" i="9"/>
  <c r="W415" i="9"/>
  <c r="Z415" i="9" s="1"/>
  <c r="U415" i="9"/>
  <c r="Y414" i="9"/>
  <c r="X414" i="9"/>
  <c r="W414" i="9"/>
  <c r="Z414" i="9" s="1"/>
  <c r="U414" i="9"/>
  <c r="Z413" i="9"/>
  <c r="X413" i="9"/>
  <c r="W413" i="9"/>
  <c r="Y413" i="9" s="1"/>
  <c r="U413" i="9"/>
  <c r="X412" i="9"/>
  <c r="W412" i="9"/>
  <c r="U412" i="9"/>
  <c r="Y411" i="9"/>
  <c r="X411" i="9"/>
  <c r="W411" i="9"/>
  <c r="Z411" i="9" s="1"/>
  <c r="U411" i="9"/>
  <c r="Y410" i="9"/>
  <c r="X410" i="9"/>
  <c r="W410" i="9"/>
  <c r="Z410" i="9" s="1"/>
  <c r="U410" i="9"/>
  <c r="Z409" i="9"/>
  <c r="X409" i="9"/>
  <c r="W409" i="9"/>
  <c r="Y409" i="9" s="1"/>
  <c r="U409" i="9"/>
  <c r="X408" i="9"/>
  <c r="W408" i="9"/>
  <c r="U408" i="9"/>
  <c r="Y407" i="9"/>
  <c r="X407" i="9"/>
  <c r="W407" i="9"/>
  <c r="Z407" i="9" s="1"/>
  <c r="U407" i="9"/>
  <c r="Y406" i="9"/>
  <c r="X406" i="9"/>
  <c r="W406" i="9"/>
  <c r="Z406" i="9" s="1"/>
  <c r="U406" i="9"/>
  <c r="Z405" i="9"/>
  <c r="X405" i="9"/>
  <c r="W405" i="9"/>
  <c r="Y405" i="9" s="1"/>
  <c r="U405" i="9"/>
  <c r="X404" i="9"/>
  <c r="W404" i="9"/>
  <c r="U404" i="9"/>
  <c r="Y403" i="9"/>
  <c r="X403" i="9"/>
  <c r="W403" i="9"/>
  <c r="AA403" i="9" s="1"/>
  <c r="U403" i="9"/>
  <c r="Z402" i="9"/>
  <c r="X402" i="9"/>
  <c r="W402" i="9"/>
  <c r="Y402" i="9" s="1"/>
  <c r="U402" i="9"/>
  <c r="X401" i="9"/>
  <c r="W401" i="9"/>
  <c r="U401" i="9"/>
  <c r="Y400" i="9"/>
  <c r="X400" i="9"/>
  <c r="W400" i="9"/>
  <c r="Z400" i="9" s="1"/>
  <c r="U400" i="9"/>
  <c r="Z399" i="9"/>
  <c r="X399" i="9"/>
  <c r="W399" i="9"/>
  <c r="Y399" i="9" s="1"/>
  <c r="U399" i="9"/>
  <c r="X398" i="9"/>
  <c r="W398" i="9"/>
  <c r="Y398" i="9" s="1"/>
  <c r="U398" i="9"/>
  <c r="X397" i="9"/>
  <c r="W397" i="9"/>
  <c r="U397" i="9"/>
  <c r="Z396" i="9"/>
  <c r="X396" i="9"/>
  <c r="W396" i="9"/>
  <c r="Y396" i="9" s="1"/>
  <c r="U396" i="9"/>
  <c r="X395" i="9"/>
  <c r="W395" i="9"/>
  <c r="U395" i="9"/>
  <c r="X394" i="9"/>
  <c r="W394" i="9"/>
  <c r="U394" i="9"/>
  <c r="X393" i="9"/>
  <c r="W393" i="9"/>
  <c r="U393" i="9"/>
  <c r="X392" i="9"/>
  <c r="W392" i="9"/>
  <c r="U392" i="9"/>
  <c r="X391" i="9"/>
  <c r="W391" i="9"/>
  <c r="U391" i="9"/>
  <c r="X390" i="9"/>
  <c r="W390" i="9"/>
  <c r="U390" i="9"/>
  <c r="X389" i="9"/>
  <c r="W389" i="9"/>
  <c r="U389" i="9"/>
  <c r="X388" i="9"/>
  <c r="W388" i="9"/>
  <c r="U388" i="9"/>
  <c r="X387" i="9"/>
  <c r="W387" i="9"/>
  <c r="U387" i="9"/>
  <c r="X386" i="9"/>
  <c r="W386" i="9"/>
  <c r="U386" i="9"/>
  <c r="X385" i="9"/>
  <c r="W385" i="9"/>
  <c r="U385" i="9"/>
  <c r="X384" i="9"/>
  <c r="W384" i="9"/>
  <c r="U384" i="9"/>
  <c r="X383" i="9"/>
  <c r="W383" i="9"/>
  <c r="U383" i="9"/>
  <c r="X382" i="9"/>
  <c r="W382" i="9"/>
  <c r="U382" i="9"/>
  <c r="X381" i="9"/>
  <c r="W381" i="9"/>
  <c r="U381" i="9"/>
  <c r="X380" i="9"/>
  <c r="W380" i="9"/>
  <c r="U380" i="9"/>
  <c r="X379" i="9"/>
  <c r="W379" i="9"/>
  <c r="U379" i="9"/>
  <c r="X378" i="9"/>
  <c r="W378" i="9"/>
  <c r="U378" i="9"/>
  <c r="X377" i="9"/>
  <c r="W377" i="9"/>
  <c r="U377" i="9"/>
  <c r="X376" i="9"/>
  <c r="W376" i="9"/>
  <c r="U376" i="9"/>
  <c r="X375" i="9"/>
  <c r="W375" i="9"/>
  <c r="U375" i="9"/>
  <c r="X374" i="9"/>
  <c r="W374" i="9"/>
  <c r="U374" i="9"/>
  <c r="X373" i="9"/>
  <c r="W373" i="9"/>
  <c r="U373" i="9"/>
  <c r="X372" i="9"/>
  <c r="W372" i="9"/>
  <c r="U372" i="9"/>
  <c r="X371" i="9"/>
  <c r="W371" i="9"/>
  <c r="U371" i="9"/>
  <c r="X370" i="9"/>
  <c r="W370" i="9"/>
  <c r="U370" i="9"/>
  <c r="X369" i="9"/>
  <c r="W369" i="9"/>
  <c r="U369" i="9"/>
  <c r="X368" i="9"/>
  <c r="W368" i="9"/>
  <c r="U368" i="9"/>
  <c r="X367" i="9"/>
  <c r="W367" i="9"/>
  <c r="U367" i="9"/>
  <c r="X366" i="9"/>
  <c r="W366" i="9"/>
  <c r="U366" i="9"/>
  <c r="X365" i="9"/>
  <c r="W365" i="9"/>
  <c r="U365" i="9"/>
  <c r="X364" i="9"/>
  <c r="W364" i="9"/>
  <c r="U364" i="9"/>
  <c r="X363" i="9"/>
  <c r="W363" i="9"/>
  <c r="U363" i="9"/>
  <c r="X362" i="9"/>
  <c r="W362" i="9"/>
  <c r="U362" i="9"/>
  <c r="X361" i="9"/>
  <c r="W361" i="9"/>
  <c r="U361" i="9"/>
  <c r="X360" i="9"/>
  <c r="W360" i="9"/>
  <c r="U360" i="9"/>
  <c r="X359" i="9"/>
  <c r="W359" i="9"/>
  <c r="U359" i="9"/>
  <c r="X358" i="9"/>
  <c r="W358" i="9"/>
  <c r="U358" i="9"/>
  <c r="X357" i="9"/>
  <c r="W357" i="9"/>
  <c r="U357" i="9"/>
  <c r="X356" i="9"/>
  <c r="W356" i="9"/>
  <c r="U356" i="9"/>
  <c r="X355" i="9"/>
  <c r="W355" i="9"/>
  <c r="U355" i="9"/>
  <c r="X354" i="9"/>
  <c r="W354" i="9"/>
  <c r="U354" i="9"/>
  <c r="X353" i="9"/>
  <c r="W353" i="9"/>
  <c r="U353" i="9"/>
  <c r="X352" i="9"/>
  <c r="W352" i="9"/>
  <c r="U352" i="9"/>
  <c r="X351" i="9"/>
  <c r="W351" i="9"/>
  <c r="U351" i="9"/>
  <c r="X350" i="9"/>
  <c r="W350" i="9"/>
  <c r="U350" i="9"/>
  <c r="X349" i="9"/>
  <c r="W349" i="9"/>
  <c r="U349" i="9"/>
  <c r="X348" i="9"/>
  <c r="W348" i="9"/>
  <c r="U348" i="9"/>
  <c r="X347" i="9"/>
  <c r="W347" i="9"/>
  <c r="U347" i="9"/>
  <c r="X346" i="9"/>
  <c r="W346" i="9"/>
  <c r="U346" i="9"/>
  <c r="X345" i="9"/>
  <c r="W345" i="9"/>
  <c r="U345" i="9"/>
  <c r="X344" i="9"/>
  <c r="W344" i="9"/>
  <c r="U344" i="9"/>
  <c r="X343" i="9"/>
  <c r="W343" i="9"/>
  <c r="U343" i="9"/>
  <c r="X342" i="9"/>
  <c r="W342" i="9"/>
  <c r="U342" i="9"/>
  <c r="X341" i="9"/>
  <c r="W341" i="9"/>
  <c r="U341" i="9"/>
  <c r="X340" i="9"/>
  <c r="W340" i="9"/>
  <c r="U340" i="9"/>
  <c r="X339" i="9"/>
  <c r="W339" i="9"/>
  <c r="U339" i="9"/>
  <c r="X338" i="9"/>
  <c r="W338" i="9"/>
  <c r="U338" i="9"/>
  <c r="X337" i="9"/>
  <c r="W337" i="9"/>
  <c r="U337" i="9"/>
  <c r="X336" i="9"/>
  <c r="W336" i="9"/>
  <c r="U336" i="9"/>
  <c r="X335" i="9"/>
  <c r="W335" i="9"/>
  <c r="U335" i="9"/>
  <c r="X334" i="9"/>
  <c r="W334" i="9"/>
  <c r="U334" i="9"/>
  <c r="X333" i="9"/>
  <c r="W333" i="9"/>
  <c r="U333" i="9"/>
  <c r="X332" i="9"/>
  <c r="W332" i="9"/>
  <c r="U332" i="9"/>
  <c r="X331" i="9"/>
  <c r="W331" i="9"/>
  <c r="U331" i="9"/>
  <c r="X330" i="9"/>
  <c r="W330" i="9"/>
  <c r="U330" i="9"/>
  <c r="X329" i="9"/>
  <c r="W329" i="9"/>
  <c r="U329" i="9"/>
  <c r="X328" i="9"/>
  <c r="W328" i="9"/>
  <c r="U328" i="9"/>
  <c r="X327" i="9"/>
  <c r="W327" i="9"/>
  <c r="U327" i="9"/>
  <c r="X326" i="9"/>
  <c r="W326" i="9"/>
  <c r="U326" i="9"/>
  <c r="X325" i="9"/>
  <c r="W325" i="9"/>
  <c r="U325" i="9"/>
  <c r="X324" i="9"/>
  <c r="W324" i="9"/>
  <c r="U324" i="9"/>
  <c r="X323" i="9"/>
  <c r="W323" i="9"/>
  <c r="U323" i="9"/>
  <c r="X322" i="9"/>
  <c r="W322" i="9"/>
  <c r="U322" i="9"/>
  <c r="X321" i="9"/>
  <c r="W321" i="9"/>
  <c r="U321" i="9"/>
  <c r="X320" i="9"/>
  <c r="W320" i="9"/>
  <c r="U320" i="9"/>
  <c r="Y319" i="9"/>
  <c r="X319" i="9"/>
  <c r="W319" i="9"/>
  <c r="Z319" i="9" s="1"/>
  <c r="U319" i="9"/>
  <c r="Z318" i="9"/>
  <c r="X318" i="9"/>
  <c r="W318" i="9"/>
  <c r="Y318" i="9" s="1"/>
  <c r="U318" i="9"/>
  <c r="X317" i="9"/>
  <c r="W317" i="9"/>
  <c r="U317" i="9"/>
  <c r="X316" i="9"/>
  <c r="W316" i="9"/>
  <c r="Z316" i="9" s="1"/>
  <c r="U316" i="9"/>
  <c r="X315" i="9"/>
  <c r="W315" i="9"/>
  <c r="Z315" i="9" s="1"/>
  <c r="U315" i="9"/>
  <c r="X314" i="9"/>
  <c r="W314" i="9"/>
  <c r="Y314" i="9" s="1"/>
  <c r="U314" i="9"/>
  <c r="X313" i="9"/>
  <c r="W313" i="9"/>
  <c r="U313" i="9"/>
  <c r="X312" i="9"/>
  <c r="W312" i="9"/>
  <c r="Z312" i="9" s="1"/>
  <c r="U312" i="9"/>
  <c r="X311" i="9"/>
  <c r="W311" i="9"/>
  <c r="Z311" i="9" s="1"/>
  <c r="U311" i="9"/>
  <c r="X310" i="9"/>
  <c r="W310" i="9"/>
  <c r="Y310" i="9" s="1"/>
  <c r="U310" i="9"/>
  <c r="X309" i="9"/>
  <c r="W309" i="9"/>
  <c r="U309" i="9"/>
  <c r="Y308" i="9"/>
  <c r="X308" i="9"/>
  <c r="W308" i="9"/>
  <c r="Z308" i="9" s="1"/>
  <c r="U308" i="9"/>
  <c r="Y307" i="9"/>
  <c r="X307" i="9"/>
  <c r="W307" i="9"/>
  <c r="Z307" i="9" s="1"/>
  <c r="U307" i="9"/>
  <c r="Z306" i="9"/>
  <c r="X306" i="9"/>
  <c r="W306" i="9"/>
  <c r="Y306" i="9" s="1"/>
  <c r="U306" i="9"/>
  <c r="X305" i="9"/>
  <c r="W305" i="9"/>
  <c r="U305" i="9"/>
  <c r="Y304" i="9"/>
  <c r="X304" i="9"/>
  <c r="W304" i="9"/>
  <c r="Z304" i="9" s="1"/>
  <c r="U304" i="9"/>
  <c r="Y303" i="9"/>
  <c r="X303" i="9"/>
  <c r="W303" i="9"/>
  <c r="Z303" i="9" s="1"/>
  <c r="U303" i="9"/>
  <c r="Z302" i="9"/>
  <c r="X302" i="9"/>
  <c r="W302" i="9"/>
  <c r="Y302" i="9" s="1"/>
  <c r="U302" i="9"/>
  <c r="X301" i="9"/>
  <c r="W301" i="9"/>
  <c r="U301" i="9"/>
  <c r="X300" i="9"/>
  <c r="W300" i="9"/>
  <c r="Z300" i="9" s="1"/>
  <c r="U300" i="9"/>
  <c r="X299" i="9"/>
  <c r="W299" i="9"/>
  <c r="Z299" i="9" s="1"/>
  <c r="U299" i="9"/>
  <c r="X298" i="9"/>
  <c r="W298" i="9"/>
  <c r="Y298" i="9" s="1"/>
  <c r="U298" i="9"/>
  <c r="X297" i="9"/>
  <c r="W297" i="9"/>
  <c r="U297" i="9"/>
  <c r="X296" i="9"/>
  <c r="W296" i="9"/>
  <c r="Z296" i="9" s="1"/>
  <c r="U296" i="9"/>
  <c r="X295" i="9"/>
  <c r="W295" i="9"/>
  <c r="Z295" i="9" s="1"/>
  <c r="U295" i="9"/>
  <c r="X294" i="9"/>
  <c r="W294" i="9"/>
  <c r="Y294" i="9" s="1"/>
  <c r="U294" i="9"/>
  <c r="X293" i="9"/>
  <c r="W293" i="9"/>
  <c r="U293" i="9"/>
  <c r="Y292" i="9"/>
  <c r="X292" i="9"/>
  <c r="W292" i="9"/>
  <c r="Z292" i="9" s="1"/>
  <c r="U292" i="9"/>
  <c r="Y291" i="9"/>
  <c r="X291" i="9"/>
  <c r="W291" i="9"/>
  <c r="Z291" i="9" s="1"/>
  <c r="U291" i="9"/>
  <c r="Z290" i="9"/>
  <c r="X290" i="9"/>
  <c r="W290" i="9"/>
  <c r="Y290" i="9" s="1"/>
  <c r="U290" i="9"/>
  <c r="X289" i="9"/>
  <c r="W289" i="9"/>
  <c r="U289" i="9"/>
  <c r="Y288" i="9"/>
  <c r="X288" i="9"/>
  <c r="W288" i="9"/>
  <c r="Z288" i="9" s="1"/>
  <c r="U288" i="9"/>
  <c r="Y287" i="9"/>
  <c r="X287" i="9"/>
  <c r="W287" i="9"/>
  <c r="Z287" i="9" s="1"/>
  <c r="U287" i="9"/>
  <c r="Z286" i="9"/>
  <c r="X286" i="9"/>
  <c r="W286" i="9"/>
  <c r="Y286" i="9" s="1"/>
  <c r="U286" i="9"/>
  <c r="X285" i="9"/>
  <c r="W285" i="9"/>
  <c r="U285" i="9"/>
  <c r="X284" i="9"/>
  <c r="W284" i="9"/>
  <c r="Z284" i="9" s="1"/>
  <c r="U284" i="9"/>
  <c r="X283" i="9"/>
  <c r="W283" i="9"/>
  <c r="Z283" i="9" s="1"/>
  <c r="U283" i="9"/>
  <c r="X282" i="9"/>
  <c r="W282" i="9"/>
  <c r="Y282" i="9" s="1"/>
  <c r="U282" i="9"/>
  <c r="X281" i="9"/>
  <c r="W281" i="9"/>
  <c r="U281" i="9"/>
  <c r="X280" i="9"/>
  <c r="W280" i="9"/>
  <c r="Z280" i="9" s="1"/>
  <c r="U280" i="9"/>
  <c r="X279" i="9"/>
  <c r="W279" i="9"/>
  <c r="Z279" i="9" s="1"/>
  <c r="U279" i="9"/>
  <c r="X278" i="9"/>
  <c r="W278" i="9"/>
  <c r="Y278" i="9" s="1"/>
  <c r="U278" i="9"/>
  <c r="X277" i="9"/>
  <c r="W277" i="9"/>
  <c r="U277" i="9"/>
  <c r="Z276" i="9"/>
  <c r="X276" i="9"/>
  <c r="W276" i="9"/>
  <c r="Y276" i="9" s="1"/>
  <c r="U276" i="9"/>
  <c r="X275" i="9"/>
  <c r="W275" i="9"/>
  <c r="Z275" i="9" s="1"/>
  <c r="U275" i="9"/>
  <c r="X274" i="9"/>
  <c r="W274" i="9"/>
  <c r="Y274" i="9" s="1"/>
  <c r="U274" i="9"/>
  <c r="X273" i="9"/>
  <c r="W273" i="9"/>
  <c r="U273" i="9"/>
  <c r="Z272" i="9"/>
  <c r="X272" i="9"/>
  <c r="W272" i="9"/>
  <c r="Y272" i="9" s="1"/>
  <c r="U272" i="9"/>
  <c r="X271" i="9"/>
  <c r="W271" i="9"/>
  <c r="Z271" i="9" s="1"/>
  <c r="U271" i="9"/>
  <c r="X270" i="9"/>
  <c r="W270" i="9"/>
  <c r="Y270" i="9" s="1"/>
  <c r="U270" i="9"/>
  <c r="X269" i="9"/>
  <c r="W269" i="9"/>
  <c r="U269" i="9"/>
  <c r="Z268" i="9"/>
  <c r="X268" i="9"/>
  <c r="W268" i="9"/>
  <c r="Y268" i="9" s="1"/>
  <c r="U268" i="9"/>
  <c r="X267" i="9"/>
  <c r="W267" i="9"/>
  <c r="Z267" i="9" s="1"/>
  <c r="U267" i="9"/>
  <c r="X266" i="9"/>
  <c r="W266" i="9"/>
  <c r="Y266" i="9" s="1"/>
  <c r="U266" i="9"/>
  <c r="X265" i="9"/>
  <c r="W265" i="9"/>
  <c r="U265" i="9"/>
  <c r="Z264" i="9"/>
  <c r="X264" i="9"/>
  <c r="W264" i="9"/>
  <c r="Y264" i="9" s="1"/>
  <c r="U264" i="9"/>
  <c r="Y263" i="9"/>
  <c r="X263" i="9"/>
  <c r="W263" i="9"/>
  <c r="Z263" i="9" s="1"/>
  <c r="U263" i="9"/>
  <c r="Z262" i="9"/>
  <c r="X262" i="9"/>
  <c r="W262" i="9"/>
  <c r="Y262" i="9" s="1"/>
  <c r="U262" i="9"/>
  <c r="X261" i="9"/>
  <c r="W261" i="9"/>
  <c r="U261" i="9"/>
  <c r="Z260" i="9"/>
  <c r="X260" i="9"/>
  <c r="W260" i="9"/>
  <c r="Y260" i="9" s="1"/>
  <c r="U260" i="9"/>
  <c r="Y259" i="9"/>
  <c r="X259" i="9"/>
  <c r="W259" i="9"/>
  <c r="Z259" i="9" s="1"/>
  <c r="U259" i="9"/>
  <c r="Z258" i="9"/>
  <c r="X258" i="9"/>
  <c r="W258" i="9"/>
  <c r="Y258" i="9" s="1"/>
  <c r="U258" i="9"/>
  <c r="X257" i="9"/>
  <c r="W257" i="9"/>
  <c r="U257" i="9"/>
  <c r="X256" i="9"/>
  <c r="W256" i="9"/>
  <c r="Y256" i="9" s="1"/>
  <c r="U256" i="9"/>
  <c r="X255" i="9"/>
  <c r="W255" i="9"/>
  <c r="Z255" i="9" s="1"/>
  <c r="U255" i="9"/>
  <c r="X254" i="9"/>
  <c r="W254" i="9"/>
  <c r="Y254" i="9" s="1"/>
  <c r="U254" i="9"/>
  <c r="X253" i="9"/>
  <c r="W253" i="9"/>
  <c r="U253" i="9"/>
  <c r="X252" i="9"/>
  <c r="W252" i="9"/>
  <c r="Y252" i="9" s="1"/>
  <c r="U252" i="9"/>
  <c r="X251" i="9"/>
  <c r="W251" i="9"/>
  <c r="Z251" i="9" s="1"/>
  <c r="U251" i="9"/>
  <c r="X250" i="9"/>
  <c r="W250" i="9"/>
  <c r="Y250" i="9" s="1"/>
  <c r="U250" i="9"/>
  <c r="X249" i="9"/>
  <c r="W249" i="9"/>
  <c r="U249" i="9"/>
  <c r="Z248" i="9"/>
  <c r="X248" i="9"/>
  <c r="W248" i="9"/>
  <c r="Y248" i="9" s="1"/>
  <c r="U248" i="9"/>
  <c r="Y247" i="9"/>
  <c r="X247" i="9"/>
  <c r="W247" i="9"/>
  <c r="Z247" i="9" s="1"/>
  <c r="U247" i="9"/>
  <c r="Z246" i="9"/>
  <c r="X246" i="9"/>
  <c r="W246" i="9"/>
  <c r="Y246" i="9" s="1"/>
  <c r="U246" i="9"/>
  <c r="X245" i="9"/>
  <c r="W245" i="9"/>
  <c r="U245" i="9"/>
  <c r="Z244" i="9"/>
  <c r="X244" i="9"/>
  <c r="W244" i="9"/>
  <c r="Y244" i="9" s="1"/>
  <c r="U244" i="9"/>
  <c r="Y243" i="9"/>
  <c r="X243" i="9"/>
  <c r="W243" i="9"/>
  <c r="Z243" i="9" s="1"/>
  <c r="U243" i="9"/>
  <c r="Z242" i="9"/>
  <c r="X242" i="9"/>
  <c r="W242" i="9"/>
  <c r="Y242" i="9" s="1"/>
  <c r="U242" i="9"/>
  <c r="X241" i="9"/>
  <c r="W241" i="9"/>
  <c r="U241" i="9"/>
  <c r="X240" i="9"/>
  <c r="W240" i="9"/>
  <c r="Y240" i="9" s="1"/>
  <c r="U240" i="9"/>
  <c r="X239" i="9"/>
  <c r="W239" i="9"/>
  <c r="Z239" i="9" s="1"/>
  <c r="U239" i="9"/>
  <c r="X238" i="9"/>
  <c r="W238" i="9"/>
  <c r="Y238" i="9" s="1"/>
  <c r="U238" i="9"/>
  <c r="X237" i="9"/>
  <c r="W237" i="9"/>
  <c r="U237" i="9"/>
  <c r="X236" i="9"/>
  <c r="W236" i="9"/>
  <c r="Y236" i="9" s="1"/>
  <c r="U236" i="9"/>
  <c r="X235" i="9"/>
  <c r="W235" i="9"/>
  <c r="Z235" i="9" s="1"/>
  <c r="U235" i="9"/>
  <c r="X234" i="9"/>
  <c r="W234" i="9"/>
  <c r="Y234" i="9" s="1"/>
  <c r="U234" i="9"/>
  <c r="X233" i="9"/>
  <c r="W233" i="9"/>
  <c r="U233" i="9"/>
  <c r="Z232" i="9"/>
  <c r="X232" i="9"/>
  <c r="W232" i="9"/>
  <c r="Y232" i="9" s="1"/>
  <c r="U232" i="9"/>
  <c r="Y231" i="9"/>
  <c r="X231" i="9"/>
  <c r="W231" i="9"/>
  <c r="Z231" i="9" s="1"/>
  <c r="U231" i="9"/>
  <c r="Z230" i="9"/>
  <c r="X230" i="9"/>
  <c r="W230" i="9"/>
  <c r="Y230" i="9" s="1"/>
  <c r="U230" i="9"/>
  <c r="X229" i="9"/>
  <c r="W229" i="9"/>
  <c r="U229" i="9"/>
  <c r="Z228" i="9"/>
  <c r="X228" i="9"/>
  <c r="W228" i="9"/>
  <c r="Y228" i="9" s="1"/>
  <c r="U228" i="9"/>
  <c r="Y227" i="9"/>
  <c r="X227" i="9"/>
  <c r="W227" i="9"/>
  <c r="Z227" i="9" s="1"/>
  <c r="U227" i="9"/>
  <c r="Z226" i="9"/>
  <c r="X226" i="9"/>
  <c r="W226" i="9"/>
  <c r="Y226" i="9" s="1"/>
  <c r="U226" i="9"/>
  <c r="X225" i="9"/>
  <c r="W225" i="9"/>
  <c r="U225" i="9"/>
  <c r="X224" i="9"/>
  <c r="W224" i="9"/>
  <c r="Y224" i="9" s="1"/>
  <c r="U224" i="9"/>
  <c r="X223" i="9"/>
  <c r="W223" i="9"/>
  <c r="Z223" i="9" s="1"/>
  <c r="U223" i="9"/>
  <c r="X222" i="9"/>
  <c r="W222" i="9"/>
  <c r="Y222" i="9" s="1"/>
  <c r="U222" i="9"/>
  <c r="X221" i="9"/>
  <c r="W221" i="9"/>
  <c r="U221" i="9"/>
  <c r="X220" i="9"/>
  <c r="W220" i="9"/>
  <c r="Y220" i="9" s="1"/>
  <c r="U220" i="9"/>
  <c r="X219" i="9"/>
  <c r="W219" i="9"/>
  <c r="Z219" i="9" s="1"/>
  <c r="U219" i="9"/>
  <c r="X218" i="9"/>
  <c r="W218" i="9"/>
  <c r="Y218" i="9" s="1"/>
  <c r="U218" i="9"/>
  <c r="X217" i="9"/>
  <c r="W217" i="9"/>
  <c r="U217" i="9"/>
  <c r="Z216" i="9"/>
  <c r="X216" i="9"/>
  <c r="W216" i="9"/>
  <c r="Y216" i="9" s="1"/>
  <c r="U216" i="9"/>
  <c r="Y215" i="9"/>
  <c r="X215" i="9"/>
  <c r="W215" i="9"/>
  <c r="Z215" i="9" s="1"/>
  <c r="U215" i="9"/>
  <c r="Z214" i="9"/>
  <c r="X214" i="9"/>
  <c r="W214" i="9"/>
  <c r="Y214" i="9" s="1"/>
  <c r="U214" i="9"/>
  <c r="X213" i="9"/>
  <c r="W213" i="9"/>
  <c r="U213" i="9"/>
  <c r="Z212" i="9"/>
  <c r="X212" i="9"/>
  <c r="W212" i="9"/>
  <c r="Y212" i="9" s="1"/>
  <c r="U212" i="9"/>
  <c r="Y211" i="9"/>
  <c r="X211" i="9"/>
  <c r="W211" i="9"/>
  <c r="Z211" i="9" s="1"/>
  <c r="U211" i="9"/>
  <c r="Z210" i="9"/>
  <c r="X210" i="9"/>
  <c r="W210" i="9"/>
  <c r="Y210" i="9" s="1"/>
  <c r="U210" i="9"/>
  <c r="X209" i="9"/>
  <c r="W209" i="9"/>
  <c r="U209" i="9"/>
  <c r="Z208" i="9"/>
  <c r="Y208" i="9"/>
  <c r="X208" i="9"/>
  <c r="W208" i="9"/>
  <c r="U208" i="9"/>
  <c r="Y207" i="9"/>
  <c r="X207" i="9"/>
  <c r="W207" i="9"/>
  <c r="Z207" i="9" s="1"/>
  <c r="U207" i="9"/>
  <c r="Z206" i="9"/>
  <c r="X206" i="9"/>
  <c r="W206" i="9"/>
  <c r="Y206" i="9" s="1"/>
  <c r="U206" i="9"/>
  <c r="X205" i="9"/>
  <c r="W205" i="9"/>
  <c r="U205" i="9"/>
  <c r="X204" i="9"/>
  <c r="W204" i="9"/>
  <c r="Y204" i="9" s="1"/>
  <c r="U204" i="9"/>
  <c r="W203" i="9"/>
  <c r="Z203" i="9" s="1"/>
  <c r="U203" i="9"/>
  <c r="Z202" i="9"/>
  <c r="X202" i="9"/>
  <c r="W202" i="9"/>
  <c r="Y202" i="9" s="1"/>
  <c r="U202" i="9"/>
  <c r="Z201" i="9"/>
  <c r="X201" i="9"/>
  <c r="W201" i="9"/>
  <c r="Y201" i="9" s="1"/>
  <c r="U201" i="9"/>
  <c r="Z200" i="9"/>
  <c r="X200" i="9"/>
  <c r="W200" i="9"/>
  <c r="Y200" i="9" s="1"/>
  <c r="U200" i="9"/>
  <c r="Z199" i="9"/>
  <c r="X199" i="9"/>
  <c r="W199" i="9"/>
  <c r="Y199" i="9" s="1"/>
  <c r="U199" i="9"/>
  <c r="Z198" i="9"/>
  <c r="X198" i="9"/>
  <c r="W198" i="9"/>
  <c r="Y198" i="9" s="1"/>
  <c r="U198" i="9"/>
  <c r="Z197" i="9"/>
  <c r="X197" i="9"/>
  <c r="W197" i="9"/>
  <c r="Y197" i="9" s="1"/>
  <c r="U197" i="9"/>
  <c r="Z196" i="9"/>
  <c r="X196" i="9"/>
  <c r="W196" i="9"/>
  <c r="Y196" i="9" s="1"/>
  <c r="U196" i="9"/>
  <c r="Z195" i="9"/>
  <c r="Y195" i="9"/>
  <c r="X195" i="9"/>
  <c r="W195" i="9"/>
  <c r="U195" i="9"/>
  <c r="Z194" i="9"/>
  <c r="X194" i="9"/>
  <c r="W194" i="9"/>
  <c r="Y194" i="9" s="1"/>
  <c r="U194" i="9"/>
  <c r="Z193" i="9"/>
  <c r="X193" i="9"/>
  <c r="W193" i="9"/>
  <c r="Y193" i="9" s="1"/>
  <c r="U193" i="9"/>
  <c r="Z192" i="9"/>
  <c r="X192" i="9"/>
  <c r="W192" i="9"/>
  <c r="Y192" i="9" s="1"/>
  <c r="U192" i="9"/>
  <c r="Z191" i="9"/>
  <c r="Y191" i="9"/>
  <c r="X191" i="9"/>
  <c r="W191" i="9"/>
  <c r="U191" i="9"/>
  <c r="Z190" i="9"/>
  <c r="X190" i="9"/>
  <c r="W190" i="9"/>
  <c r="Y190" i="9" s="1"/>
  <c r="U190" i="9"/>
  <c r="Z189" i="9"/>
  <c r="X189" i="9"/>
  <c r="W189" i="9"/>
  <c r="Y189" i="9" s="1"/>
  <c r="U189" i="9"/>
  <c r="Z188" i="9"/>
  <c r="X188" i="9"/>
  <c r="W188" i="9"/>
  <c r="Y188" i="9" s="1"/>
  <c r="U188" i="9"/>
  <c r="Z187" i="9"/>
  <c r="X187" i="9"/>
  <c r="W187" i="9"/>
  <c r="Y187" i="9" s="1"/>
  <c r="U187" i="9"/>
  <c r="Z186" i="9"/>
  <c r="X186" i="9"/>
  <c r="W186" i="9"/>
  <c r="Y186" i="9" s="1"/>
  <c r="U186" i="9"/>
  <c r="Z185" i="9"/>
  <c r="X185" i="9"/>
  <c r="W185" i="9"/>
  <c r="Y185" i="9" s="1"/>
  <c r="U185" i="9"/>
  <c r="Z184" i="9"/>
  <c r="X184" i="9"/>
  <c r="W184" i="9"/>
  <c r="Y184" i="9" s="1"/>
  <c r="U184" i="9"/>
  <c r="Z183" i="9"/>
  <c r="X183" i="9"/>
  <c r="W183" i="9"/>
  <c r="Y183" i="9" s="1"/>
  <c r="U183" i="9"/>
  <c r="Z182" i="9"/>
  <c r="Y182" i="9"/>
  <c r="X182" i="9"/>
  <c r="W182" i="9"/>
  <c r="U182" i="9"/>
  <c r="Z181" i="9"/>
  <c r="X181" i="9"/>
  <c r="W181" i="9"/>
  <c r="Y181" i="9" s="1"/>
  <c r="U181" i="9"/>
  <c r="Z180" i="9"/>
  <c r="X180" i="9"/>
  <c r="W180" i="9"/>
  <c r="Y180" i="9" s="1"/>
  <c r="U180" i="9"/>
  <c r="Z179" i="9"/>
  <c r="Y179" i="9"/>
  <c r="X179" i="9"/>
  <c r="W179" i="9"/>
  <c r="U179" i="9"/>
  <c r="Z178" i="9"/>
  <c r="X178" i="9"/>
  <c r="W178" i="9"/>
  <c r="Y178" i="9" s="1"/>
  <c r="U178" i="9"/>
  <c r="Z177" i="9"/>
  <c r="X177" i="9"/>
  <c r="W177" i="9"/>
  <c r="Y177" i="9" s="1"/>
  <c r="U177" i="9"/>
  <c r="Z176" i="9"/>
  <c r="X176" i="9"/>
  <c r="W176" i="9"/>
  <c r="Y176" i="9" s="1"/>
  <c r="U176" i="9"/>
  <c r="Z175" i="9"/>
  <c r="X175" i="9"/>
  <c r="W175" i="9"/>
  <c r="Y175" i="9" s="1"/>
  <c r="U175" i="9"/>
  <c r="Z174" i="9"/>
  <c r="X174" i="9"/>
  <c r="W174" i="9"/>
  <c r="Y174" i="9" s="1"/>
  <c r="U174" i="9"/>
  <c r="Z173" i="9"/>
  <c r="X173" i="9"/>
  <c r="W173" i="9"/>
  <c r="Y173" i="9" s="1"/>
  <c r="U173" i="9"/>
  <c r="Z172" i="9"/>
  <c r="X172" i="9"/>
  <c r="W172" i="9"/>
  <c r="Y172" i="9" s="1"/>
  <c r="U172" i="9"/>
  <c r="Z171" i="9"/>
  <c r="X171" i="9"/>
  <c r="W171" i="9"/>
  <c r="Y171" i="9" s="1"/>
  <c r="U171" i="9"/>
  <c r="Z170" i="9"/>
  <c r="X170" i="9"/>
  <c r="W170" i="9"/>
  <c r="Y170" i="9" s="1"/>
  <c r="U170" i="9"/>
  <c r="Z169" i="9"/>
  <c r="X169" i="9"/>
  <c r="W169" i="9"/>
  <c r="Y169" i="9" s="1"/>
  <c r="U169" i="9"/>
  <c r="Z168" i="9"/>
  <c r="X168" i="9"/>
  <c r="W168" i="9"/>
  <c r="Y168" i="9" s="1"/>
  <c r="U168" i="9"/>
  <c r="Z167" i="9"/>
  <c r="Y167" i="9"/>
  <c r="X167" i="9"/>
  <c r="W167" i="9"/>
  <c r="U167" i="9"/>
  <c r="Z166" i="9"/>
  <c r="X166" i="9"/>
  <c r="W166" i="9"/>
  <c r="Y166" i="9" s="1"/>
  <c r="U166" i="9"/>
  <c r="Z165" i="9"/>
  <c r="X165" i="9"/>
  <c r="W165" i="9"/>
  <c r="Y165" i="9" s="1"/>
  <c r="U165" i="9"/>
  <c r="Z164" i="9"/>
  <c r="X164" i="9"/>
  <c r="W164" i="9"/>
  <c r="Y164" i="9" s="1"/>
  <c r="U164" i="9"/>
  <c r="Z163" i="9"/>
  <c r="Y163" i="9"/>
  <c r="X163" i="9"/>
  <c r="W163" i="9"/>
  <c r="U163" i="9"/>
  <c r="Z162" i="9"/>
  <c r="X162" i="9"/>
  <c r="W162" i="9"/>
  <c r="Y162" i="9" s="1"/>
  <c r="U162" i="9"/>
  <c r="Z161" i="9"/>
  <c r="X161" i="9"/>
  <c r="W161" i="9"/>
  <c r="Y161" i="9" s="1"/>
  <c r="U161" i="9"/>
  <c r="Z160" i="9"/>
  <c r="X160" i="9"/>
  <c r="W160" i="9"/>
  <c r="Y160" i="9" s="1"/>
  <c r="U160" i="9"/>
  <c r="Z159" i="9"/>
  <c r="X159" i="9"/>
  <c r="W159" i="9"/>
  <c r="Y159" i="9" s="1"/>
  <c r="U159" i="9"/>
  <c r="Z158" i="9"/>
  <c r="X158" i="9"/>
  <c r="W158" i="9"/>
  <c r="Y158" i="9" s="1"/>
  <c r="U158" i="9"/>
  <c r="Z157" i="9"/>
  <c r="X157" i="9"/>
  <c r="W157" i="9"/>
  <c r="Y157" i="9" s="1"/>
  <c r="U157" i="9"/>
  <c r="Z156" i="9"/>
  <c r="Y156" i="9"/>
  <c r="X156" i="9"/>
  <c r="W156" i="9"/>
  <c r="U156" i="9"/>
  <c r="Z155" i="9"/>
  <c r="X155" i="9"/>
  <c r="W155" i="9"/>
  <c r="Y155" i="9" s="1"/>
  <c r="U155" i="9"/>
  <c r="Z154" i="9"/>
  <c r="X154" i="9"/>
  <c r="W154" i="9"/>
  <c r="Y154" i="9" s="1"/>
  <c r="U154" i="9"/>
  <c r="Z153" i="9"/>
  <c r="Y153" i="9"/>
  <c r="X153" i="9"/>
  <c r="W153" i="9"/>
  <c r="U153" i="9"/>
  <c r="Z152" i="9"/>
  <c r="X152" i="9"/>
  <c r="W152" i="9"/>
  <c r="Y152" i="9" s="1"/>
  <c r="U152" i="9"/>
  <c r="Z151" i="9"/>
  <c r="X151" i="9"/>
  <c r="W151" i="9"/>
  <c r="Y151" i="9" s="1"/>
  <c r="U151" i="9"/>
  <c r="Z150" i="9"/>
  <c r="X150" i="9"/>
  <c r="W150" i="9"/>
  <c r="Y150" i="9" s="1"/>
  <c r="U150" i="9"/>
  <c r="Z149" i="9"/>
  <c r="X149" i="9"/>
  <c r="W149" i="9"/>
  <c r="Y149" i="9" s="1"/>
  <c r="U149" i="9"/>
  <c r="Z148" i="9"/>
  <c r="Y148" i="9"/>
  <c r="X148" i="9"/>
  <c r="W148" i="9"/>
  <c r="U148" i="9"/>
  <c r="Z147" i="9"/>
  <c r="X147" i="9"/>
  <c r="W147" i="9"/>
  <c r="Y147" i="9" s="1"/>
  <c r="U147" i="9"/>
  <c r="Z146" i="9"/>
  <c r="X146" i="9"/>
  <c r="W146" i="9"/>
  <c r="Y146" i="9" s="1"/>
  <c r="U146" i="9"/>
  <c r="Z145" i="9"/>
  <c r="Y145" i="9"/>
  <c r="X145" i="9"/>
  <c r="W145" i="9"/>
  <c r="U145" i="9"/>
  <c r="Z144" i="9"/>
  <c r="X144" i="9"/>
  <c r="W144" i="9"/>
  <c r="Y144" i="9" s="1"/>
  <c r="U144" i="9"/>
  <c r="Z143" i="9"/>
  <c r="X143" i="9"/>
  <c r="W143" i="9"/>
  <c r="Y143" i="9" s="1"/>
  <c r="U143" i="9"/>
  <c r="Z142" i="9"/>
  <c r="X142" i="9"/>
  <c r="W142" i="9"/>
  <c r="Y142" i="9" s="1"/>
  <c r="U142" i="9"/>
  <c r="Z141" i="9"/>
  <c r="X141" i="9"/>
  <c r="W141" i="9"/>
  <c r="Y141" i="9" s="1"/>
  <c r="U141" i="9"/>
  <c r="Z140" i="9"/>
  <c r="Y140" i="9"/>
  <c r="X140" i="9"/>
  <c r="W140" i="9"/>
  <c r="U140" i="9"/>
  <c r="Z139" i="9"/>
  <c r="X139" i="9"/>
  <c r="W139" i="9"/>
  <c r="Y139" i="9" s="1"/>
  <c r="U139" i="9"/>
  <c r="Z138" i="9"/>
  <c r="X138" i="9"/>
  <c r="W138" i="9"/>
  <c r="Y138" i="9" s="1"/>
  <c r="U138" i="9"/>
  <c r="Z137" i="9"/>
  <c r="Y137" i="9"/>
  <c r="X137" i="9"/>
  <c r="W137" i="9"/>
  <c r="U137" i="9"/>
  <c r="Z136" i="9"/>
  <c r="X136" i="9"/>
  <c r="W136" i="9"/>
  <c r="Y136" i="9" s="1"/>
  <c r="U136" i="9"/>
  <c r="Z135" i="9"/>
  <c r="X135" i="9"/>
  <c r="W135" i="9"/>
  <c r="Y135" i="9" s="1"/>
  <c r="U135" i="9"/>
  <c r="Z134" i="9"/>
  <c r="X134" i="9"/>
  <c r="W134" i="9"/>
  <c r="Y134" i="9" s="1"/>
  <c r="U134" i="9"/>
  <c r="Z133" i="9"/>
  <c r="X133" i="9"/>
  <c r="W133" i="9"/>
  <c r="Y133" i="9" s="1"/>
  <c r="U133" i="9"/>
  <c r="Z132" i="9"/>
  <c r="Y132" i="9"/>
  <c r="X132" i="9"/>
  <c r="W132" i="9"/>
  <c r="U132" i="9"/>
  <c r="Z131" i="9"/>
  <c r="X131" i="9"/>
  <c r="W131" i="9"/>
  <c r="Y131" i="9" s="1"/>
  <c r="U131" i="9"/>
  <c r="Z130" i="9"/>
  <c r="X130" i="9"/>
  <c r="W130" i="9"/>
  <c r="Y130" i="9" s="1"/>
  <c r="U130" i="9"/>
  <c r="Z129" i="9"/>
  <c r="Y129" i="9"/>
  <c r="X129" i="9"/>
  <c r="W129" i="9"/>
  <c r="U129" i="9"/>
  <c r="Z128" i="9"/>
  <c r="X128" i="9"/>
  <c r="W128" i="9"/>
  <c r="Y128" i="9" s="1"/>
  <c r="U128" i="9"/>
  <c r="Z127" i="9"/>
  <c r="X127" i="9"/>
  <c r="W127" i="9"/>
  <c r="Y127" i="9" s="1"/>
  <c r="U127" i="9"/>
  <c r="Z126" i="9"/>
  <c r="X126" i="9"/>
  <c r="W126" i="9"/>
  <c r="Y126" i="9" s="1"/>
  <c r="U126" i="9"/>
  <c r="Z125" i="9"/>
  <c r="X125" i="9"/>
  <c r="W125" i="9"/>
  <c r="Y125" i="9" s="1"/>
  <c r="U125" i="9"/>
  <c r="Z124" i="9"/>
  <c r="Y124" i="9"/>
  <c r="X124" i="9"/>
  <c r="W124" i="9"/>
  <c r="U124" i="9"/>
  <c r="Z123" i="9"/>
  <c r="X123" i="9"/>
  <c r="W123" i="9"/>
  <c r="Y123" i="9" s="1"/>
  <c r="U123" i="9"/>
  <c r="Z122" i="9"/>
  <c r="X122" i="9"/>
  <c r="W122" i="9"/>
  <c r="Y122" i="9" s="1"/>
  <c r="U122" i="9"/>
  <c r="Z121" i="9"/>
  <c r="Y121" i="9"/>
  <c r="X121" i="9"/>
  <c r="W121" i="9"/>
  <c r="U121" i="9"/>
  <c r="Z120" i="9"/>
  <c r="X120" i="9"/>
  <c r="W120" i="9"/>
  <c r="Y120" i="9" s="1"/>
  <c r="U120" i="9"/>
  <c r="Z119" i="9"/>
  <c r="X119" i="9"/>
  <c r="W119" i="9"/>
  <c r="Y119" i="9" s="1"/>
  <c r="U119" i="9"/>
  <c r="Z118" i="9"/>
  <c r="X118" i="9"/>
  <c r="W118" i="9"/>
  <c r="Y118" i="9" s="1"/>
  <c r="U118" i="9"/>
  <c r="Z117" i="9"/>
  <c r="X117" i="9"/>
  <c r="W117" i="9"/>
  <c r="Y117" i="9" s="1"/>
  <c r="U117" i="9"/>
  <c r="Z116" i="9"/>
  <c r="Y116" i="9"/>
  <c r="X116" i="9"/>
  <c r="W116" i="9"/>
  <c r="U116" i="9"/>
  <c r="Z115" i="9"/>
  <c r="X115" i="9"/>
  <c r="W115" i="9"/>
  <c r="Y115" i="9" s="1"/>
  <c r="U115" i="9"/>
  <c r="Z114" i="9"/>
  <c r="X114" i="9"/>
  <c r="W114" i="9"/>
  <c r="Y114" i="9" s="1"/>
  <c r="U114" i="9"/>
  <c r="Z113" i="9"/>
  <c r="Y113" i="9"/>
  <c r="X113" i="9"/>
  <c r="W113" i="9"/>
  <c r="U113" i="9"/>
  <c r="Z112" i="9"/>
  <c r="X112" i="9"/>
  <c r="W112" i="9"/>
  <c r="Y112" i="9" s="1"/>
  <c r="U112" i="9"/>
  <c r="Z111" i="9"/>
  <c r="X111" i="9"/>
  <c r="W111" i="9"/>
  <c r="Y111" i="9" s="1"/>
  <c r="U111" i="9"/>
  <c r="Z110" i="9"/>
  <c r="X110" i="9"/>
  <c r="W110" i="9"/>
  <c r="Y110" i="9" s="1"/>
  <c r="U110" i="9"/>
  <c r="Z109" i="9"/>
  <c r="X109" i="9"/>
  <c r="W109" i="9"/>
  <c r="Y109" i="9" s="1"/>
  <c r="U109" i="9"/>
  <c r="Z108" i="9"/>
  <c r="Y108" i="9"/>
  <c r="X108" i="9"/>
  <c r="W108" i="9"/>
  <c r="U108" i="9"/>
  <c r="Z107" i="9"/>
  <c r="X107" i="9"/>
  <c r="W107" i="9"/>
  <c r="Y107" i="9" s="1"/>
  <c r="U107" i="9"/>
  <c r="Z106" i="9"/>
  <c r="X106" i="9"/>
  <c r="W106" i="9"/>
  <c r="Y106" i="9" s="1"/>
  <c r="U106" i="9"/>
  <c r="Z105" i="9"/>
  <c r="Y105" i="9"/>
  <c r="X105" i="9"/>
  <c r="W105" i="9"/>
  <c r="U105" i="9"/>
  <c r="Z104" i="9"/>
  <c r="X104" i="9"/>
  <c r="W104" i="9"/>
  <c r="Y104" i="9" s="1"/>
  <c r="U104" i="9"/>
  <c r="Z103" i="9"/>
  <c r="X103" i="9"/>
  <c r="W103" i="9"/>
  <c r="Y103" i="9" s="1"/>
  <c r="U103" i="9"/>
  <c r="Z102" i="9"/>
  <c r="X102" i="9"/>
  <c r="W102" i="9"/>
  <c r="Y102" i="9" s="1"/>
  <c r="U102" i="9"/>
  <c r="Z101" i="9"/>
  <c r="X101" i="9"/>
  <c r="W101" i="9"/>
  <c r="Y101" i="9" s="1"/>
  <c r="U101" i="9"/>
  <c r="Z100" i="9"/>
  <c r="Y100" i="9"/>
  <c r="X100" i="9"/>
  <c r="W100" i="9"/>
  <c r="U100" i="9"/>
  <c r="Z99" i="9"/>
  <c r="X99" i="9"/>
  <c r="W99" i="9"/>
  <c r="Y99" i="9" s="1"/>
  <c r="U99" i="9"/>
  <c r="Z98" i="9"/>
  <c r="X98" i="9"/>
  <c r="W98" i="9"/>
  <c r="Y98" i="9" s="1"/>
  <c r="U98" i="9"/>
  <c r="Z97" i="9"/>
  <c r="Y97" i="9"/>
  <c r="X97" i="9"/>
  <c r="W97" i="9"/>
  <c r="U97" i="9"/>
  <c r="Z96" i="9"/>
  <c r="X96" i="9"/>
  <c r="W96" i="9"/>
  <c r="Y96" i="9" s="1"/>
  <c r="U96" i="9"/>
  <c r="Z95" i="9"/>
  <c r="X95" i="9"/>
  <c r="W95" i="9"/>
  <c r="Y95" i="9" s="1"/>
  <c r="U95" i="9"/>
  <c r="Z94" i="9"/>
  <c r="X94" i="9"/>
  <c r="W94" i="9"/>
  <c r="Y94" i="9" s="1"/>
  <c r="U94" i="9"/>
  <c r="Z93" i="9"/>
  <c r="X93" i="9"/>
  <c r="W93" i="9"/>
  <c r="Y93" i="9" s="1"/>
  <c r="U93" i="9"/>
  <c r="Z92" i="9"/>
  <c r="Y92" i="9"/>
  <c r="X92" i="9"/>
  <c r="W92" i="9"/>
  <c r="U92" i="9"/>
  <c r="Z91" i="9"/>
  <c r="X91" i="9"/>
  <c r="W91" i="9"/>
  <c r="Y91" i="9" s="1"/>
  <c r="U91" i="9"/>
  <c r="Z90" i="9"/>
  <c r="X90" i="9"/>
  <c r="W90" i="9"/>
  <c r="Y90" i="9" s="1"/>
  <c r="U90" i="9"/>
  <c r="Z89" i="9"/>
  <c r="Y89" i="9"/>
  <c r="X89" i="9"/>
  <c r="W89" i="9"/>
  <c r="U89" i="9"/>
  <c r="Z88" i="9"/>
  <c r="X88" i="9"/>
  <c r="W88" i="9"/>
  <c r="Y88" i="9" s="1"/>
  <c r="U88" i="9"/>
  <c r="Z87" i="9"/>
  <c r="X87" i="9"/>
  <c r="W87" i="9"/>
  <c r="Y87" i="9" s="1"/>
  <c r="U87" i="9"/>
  <c r="Z86" i="9"/>
  <c r="X86" i="9"/>
  <c r="W86" i="9"/>
  <c r="Y86" i="9" s="1"/>
  <c r="U86" i="9"/>
  <c r="Z85" i="9"/>
  <c r="X85" i="9"/>
  <c r="W85" i="9"/>
  <c r="Y85" i="9" s="1"/>
  <c r="U85" i="9"/>
  <c r="Z84" i="9"/>
  <c r="Y84" i="9"/>
  <c r="X84" i="9"/>
  <c r="W84" i="9"/>
  <c r="U84" i="9"/>
  <c r="Z83" i="9"/>
  <c r="X83" i="9"/>
  <c r="W83" i="9"/>
  <c r="Y83" i="9" s="1"/>
  <c r="U83" i="9"/>
  <c r="Z82" i="9"/>
  <c r="X82" i="9"/>
  <c r="W82" i="9"/>
  <c r="Y82" i="9" s="1"/>
  <c r="U82" i="9"/>
  <c r="Z81" i="9"/>
  <c r="Y81" i="9"/>
  <c r="X81" i="9"/>
  <c r="W81" i="9"/>
  <c r="U81" i="9"/>
  <c r="Z80" i="9"/>
  <c r="X80" i="9"/>
  <c r="W80" i="9"/>
  <c r="Y80" i="9" s="1"/>
  <c r="U80" i="9"/>
  <c r="Z79" i="9"/>
  <c r="X79" i="9"/>
  <c r="W79" i="9"/>
  <c r="Y79" i="9" s="1"/>
  <c r="U79" i="9"/>
  <c r="Z78" i="9"/>
  <c r="X78" i="9"/>
  <c r="W78" i="9"/>
  <c r="Y78" i="9" s="1"/>
  <c r="U78" i="9"/>
  <c r="Z77" i="9"/>
  <c r="X77" i="9"/>
  <c r="W77" i="9"/>
  <c r="Y77" i="9" s="1"/>
  <c r="U77" i="9"/>
  <c r="Z76" i="9"/>
  <c r="Y76" i="9"/>
  <c r="X76" i="9"/>
  <c r="W76" i="9"/>
  <c r="U76" i="9"/>
  <c r="Z75" i="9"/>
  <c r="X75" i="9"/>
  <c r="W75" i="9"/>
  <c r="Y75" i="9" s="1"/>
  <c r="U75" i="9"/>
  <c r="Z74" i="9"/>
  <c r="X74" i="9"/>
  <c r="W74" i="9"/>
  <c r="Y74" i="9" s="1"/>
  <c r="U74" i="9"/>
  <c r="Z73" i="9"/>
  <c r="Y73" i="9"/>
  <c r="X73" i="9"/>
  <c r="W73" i="9"/>
  <c r="U73" i="9"/>
  <c r="Z72" i="9"/>
  <c r="X72" i="9"/>
  <c r="W72" i="9"/>
  <c r="Y72" i="9" s="1"/>
  <c r="U72" i="9"/>
  <c r="Z71" i="9"/>
  <c r="X71" i="9"/>
  <c r="W71" i="9"/>
  <c r="Y71" i="9" s="1"/>
  <c r="U71" i="9"/>
  <c r="Z70" i="9"/>
  <c r="X70" i="9"/>
  <c r="W70" i="9"/>
  <c r="Y70" i="9" s="1"/>
  <c r="U70" i="9"/>
  <c r="Z69" i="9"/>
  <c r="X69" i="9"/>
  <c r="W69" i="9"/>
  <c r="Y69" i="9" s="1"/>
  <c r="U69" i="9"/>
  <c r="Z68" i="9"/>
  <c r="Y68" i="9"/>
  <c r="X68" i="9"/>
  <c r="W68" i="9"/>
  <c r="U68" i="9"/>
  <c r="Z67" i="9"/>
  <c r="X67" i="9"/>
  <c r="W67" i="9"/>
  <c r="Y67" i="9" s="1"/>
  <c r="U67" i="9"/>
  <c r="Z66" i="9"/>
  <c r="X66" i="9"/>
  <c r="W66" i="9"/>
  <c r="Y66" i="9" s="1"/>
  <c r="U66" i="9"/>
  <c r="Z65" i="9"/>
  <c r="Y65" i="9"/>
  <c r="X65" i="9"/>
  <c r="W65" i="9"/>
  <c r="U65" i="9"/>
  <c r="Z64" i="9"/>
  <c r="X64" i="9"/>
  <c r="W64" i="9"/>
  <c r="Y64" i="9" s="1"/>
  <c r="U64" i="9"/>
  <c r="Z63" i="9"/>
  <c r="X63" i="9"/>
  <c r="W63" i="9"/>
  <c r="Y63" i="9" s="1"/>
  <c r="U63" i="9"/>
  <c r="Z62" i="9"/>
  <c r="X62" i="9"/>
  <c r="W62" i="9"/>
  <c r="Y62" i="9" s="1"/>
  <c r="U62" i="9"/>
  <c r="Z61" i="9"/>
  <c r="X61" i="9"/>
  <c r="W61" i="9"/>
  <c r="Y61" i="9" s="1"/>
  <c r="U61" i="9"/>
  <c r="Z60" i="9"/>
  <c r="Y60" i="9"/>
  <c r="X60" i="9"/>
  <c r="W60" i="9"/>
  <c r="U60" i="9"/>
  <c r="Z59" i="9"/>
  <c r="X59" i="9"/>
  <c r="W59" i="9"/>
  <c r="Y59" i="9" s="1"/>
  <c r="U59" i="9"/>
  <c r="Z58" i="9"/>
  <c r="X58" i="9"/>
  <c r="W58" i="9"/>
  <c r="Y58" i="9" s="1"/>
  <c r="U58" i="9"/>
  <c r="Z57" i="9"/>
  <c r="Y57" i="9"/>
  <c r="X57" i="9"/>
  <c r="W57" i="9"/>
  <c r="U57" i="9"/>
  <c r="Z56" i="9"/>
  <c r="X56" i="9"/>
  <c r="W56" i="9"/>
  <c r="Y56" i="9" s="1"/>
  <c r="U56" i="9"/>
  <c r="Z55" i="9"/>
  <c r="X55" i="9"/>
  <c r="W55" i="9"/>
  <c r="Y55" i="9" s="1"/>
  <c r="U55" i="9"/>
  <c r="Z54" i="9"/>
  <c r="X54" i="9"/>
  <c r="W54" i="9"/>
  <c r="Y54" i="9" s="1"/>
  <c r="U54" i="9"/>
  <c r="Z53" i="9"/>
  <c r="X53" i="9"/>
  <c r="W53" i="9"/>
  <c r="Y53" i="9" s="1"/>
  <c r="U53" i="9"/>
  <c r="Z52" i="9"/>
  <c r="Y52" i="9"/>
  <c r="X52" i="9"/>
  <c r="W52" i="9"/>
  <c r="U52" i="9"/>
  <c r="Z51" i="9"/>
  <c r="X51" i="9"/>
  <c r="W51" i="9"/>
  <c r="Y51" i="9" s="1"/>
  <c r="U51" i="9"/>
  <c r="Z50" i="9"/>
  <c r="X50" i="9"/>
  <c r="W50" i="9"/>
  <c r="Y50" i="9" s="1"/>
  <c r="U50" i="9"/>
  <c r="Z49" i="9"/>
  <c r="Y49" i="9"/>
  <c r="X49" i="9"/>
  <c r="W49" i="9"/>
  <c r="U49" i="9"/>
  <c r="Z48" i="9"/>
  <c r="X48" i="9"/>
  <c r="W48" i="9"/>
  <c r="Y48" i="9" s="1"/>
  <c r="U48" i="9"/>
  <c r="Z47" i="9"/>
  <c r="X47" i="9"/>
  <c r="W47" i="9"/>
  <c r="Y47" i="9" s="1"/>
  <c r="U47" i="9"/>
  <c r="Z46" i="9"/>
  <c r="X46" i="9"/>
  <c r="W46" i="9"/>
  <c r="Y46" i="9" s="1"/>
  <c r="U46" i="9"/>
  <c r="Z45" i="9"/>
  <c r="X45" i="9"/>
  <c r="W45" i="9"/>
  <c r="Y45" i="9" s="1"/>
  <c r="U45" i="9"/>
  <c r="Z44" i="9"/>
  <c r="Y44" i="9"/>
  <c r="X44" i="9"/>
  <c r="W44" i="9"/>
  <c r="U44" i="9"/>
  <c r="Z43" i="9"/>
  <c r="X43" i="9"/>
  <c r="W43" i="9"/>
  <c r="Y43" i="9" s="1"/>
  <c r="U43" i="9"/>
  <c r="Z42" i="9"/>
  <c r="X42" i="9"/>
  <c r="W42" i="9"/>
  <c r="Y42" i="9" s="1"/>
  <c r="U42" i="9"/>
  <c r="Z41" i="9"/>
  <c r="Y41" i="9"/>
  <c r="X41" i="9"/>
  <c r="W41" i="9"/>
  <c r="U41" i="9"/>
  <c r="Z40" i="9"/>
  <c r="X40" i="9"/>
  <c r="W40" i="9"/>
  <c r="Y40" i="9" s="1"/>
  <c r="U40" i="9"/>
  <c r="Z39" i="9"/>
  <c r="X39" i="9"/>
  <c r="W39" i="9"/>
  <c r="Y39" i="9" s="1"/>
  <c r="U39" i="9"/>
  <c r="Z38" i="9"/>
  <c r="X38" i="9"/>
  <c r="W38" i="9"/>
  <c r="Y38" i="9" s="1"/>
  <c r="U38" i="9"/>
  <c r="Z37" i="9"/>
  <c r="X37" i="9"/>
  <c r="W37" i="9"/>
  <c r="Y37" i="9" s="1"/>
  <c r="U37" i="9"/>
  <c r="Z36" i="9"/>
  <c r="Y36" i="9"/>
  <c r="X36" i="9"/>
  <c r="W36" i="9"/>
  <c r="U36" i="9"/>
  <c r="Z35" i="9"/>
  <c r="X35" i="9"/>
  <c r="W35" i="9"/>
  <c r="Y35" i="9" s="1"/>
  <c r="U35" i="9"/>
  <c r="Z34" i="9"/>
  <c r="X34" i="9"/>
  <c r="W34" i="9"/>
  <c r="Y34" i="9" s="1"/>
  <c r="U34" i="9"/>
  <c r="Z33" i="9"/>
  <c r="Y33" i="9"/>
  <c r="X33" i="9"/>
  <c r="W33" i="9"/>
  <c r="U33" i="9"/>
  <c r="Z32" i="9"/>
  <c r="X32" i="9"/>
  <c r="W32" i="9"/>
  <c r="Y32" i="9" s="1"/>
  <c r="U32" i="9"/>
  <c r="Z31" i="9"/>
  <c r="X31" i="9"/>
  <c r="W31" i="9"/>
  <c r="Y31" i="9" s="1"/>
  <c r="U31" i="9"/>
  <c r="Z30" i="9"/>
  <c r="X30" i="9"/>
  <c r="W30" i="9"/>
  <c r="Y30" i="9" s="1"/>
  <c r="U30" i="9"/>
  <c r="Z29" i="9"/>
  <c r="X29" i="9"/>
  <c r="W29" i="9"/>
  <c r="Y29" i="9" s="1"/>
  <c r="U29" i="9"/>
  <c r="Z28" i="9"/>
  <c r="Y28" i="9"/>
  <c r="X28" i="9"/>
  <c r="W28" i="9"/>
  <c r="U28" i="9"/>
  <c r="Z27" i="9"/>
  <c r="X27" i="9"/>
  <c r="W27" i="9"/>
  <c r="Y27" i="9" s="1"/>
  <c r="U27" i="9"/>
  <c r="Z26" i="9"/>
  <c r="X26" i="9"/>
  <c r="W26" i="9"/>
  <c r="Y26" i="9" s="1"/>
  <c r="U26" i="9"/>
  <c r="Z25" i="9"/>
  <c r="Y25" i="9"/>
  <c r="X25" i="9"/>
  <c r="W25" i="9"/>
  <c r="U25" i="9"/>
  <c r="Z24" i="9"/>
  <c r="X24" i="9"/>
  <c r="W24" i="9"/>
  <c r="Y24" i="9" s="1"/>
  <c r="U24" i="9"/>
  <c r="Z23" i="9"/>
  <c r="X23" i="9"/>
  <c r="W23" i="9"/>
  <c r="Y23" i="9" s="1"/>
  <c r="U23" i="9"/>
  <c r="Z22" i="9"/>
  <c r="X22" i="9"/>
  <c r="W22" i="9"/>
  <c r="Y22" i="9" s="1"/>
  <c r="U22" i="9"/>
  <c r="Z21" i="9"/>
  <c r="X21" i="9"/>
  <c r="W21" i="9"/>
  <c r="Y21" i="9" s="1"/>
  <c r="U21" i="9"/>
  <c r="Z20" i="9"/>
  <c r="Y20" i="9"/>
  <c r="X20" i="9"/>
  <c r="W20" i="9"/>
  <c r="U20" i="9"/>
  <c r="Z19" i="9"/>
  <c r="X19" i="9"/>
  <c r="W19" i="9"/>
  <c r="Y19" i="9" s="1"/>
  <c r="U19" i="9"/>
  <c r="Z18" i="9"/>
  <c r="X18" i="9"/>
  <c r="W18" i="9"/>
  <c r="Y18" i="9" s="1"/>
  <c r="U18" i="9"/>
  <c r="Z17" i="9"/>
  <c r="Y17" i="9"/>
  <c r="X17" i="9"/>
  <c r="W17" i="9"/>
  <c r="U17" i="9"/>
  <c r="Z16" i="9"/>
  <c r="Y16" i="9"/>
  <c r="X16" i="9"/>
  <c r="W16" i="9"/>
  <c r="U16" i="9"/>
  <c r="Z15" i="9"/>
  <c r="X15" i="9"/>
  <c r="W15" i="9"/>
  <c r="Y15" i="9" s="1"/>
  <c r="U15" i="9"/>
  <c r="Z14" i="9"/>
  <c r="X14" i="9"/>
  <c r="W14" i="9"/>
  <c r="Y14" i="9" s="1"/>
  <c r="U14" i="9"/>
  <c r="Z13" i="9"/>
  <c r="X13" i="9"/>
  <c r="W13" i="9"/>
  <c r="Y13" i="9" s="1"/>
  <c r="U13" i="9"/>
  <c r="Z12" i="9"/>
  <c r="Y12" i="9"/>
  <c r="X12" i="9"/>
  <c r="W12" i="9"/>
  <c r="U12" i="9"/>
  <c r="Z11" i="9"/>
  <c r="X11" i="9"/>
  <c r="W11" i="9"/>
  <c r="Y11" i="9" s="1"/>
  <c r="U11" i="9"/>
  <c r="Z10" i="9"/>
  <c r="X10" i="9"/>
  <c r="W10" i="9"/>
  <c r="Y10" i="9" s="1"/>
  <c r="U10" i="9"/>
  <c r="Z9" i="9"/>
  <c r="Y9" i="9"/>
  <c r="X9" i="9"/>
  <c r="W9" i="9"/>
  <c r="U9" i="9"/>
  <c r="Z8" i="9"/>
  <c r="X8" i="9"/>
  <c r="W8" i="9"/>
  <c r="Y8" i="9" s="1"/>
  <c r="U8" i="9"/>
  <c r="Z7" i="9"/>
  <c r="X7" i="9"/>
  <c r="W7" i="9"/>
  <c r="Y7" i="9" s="1"/>
  <c r="U7" i="9"/>
  <c r="Z6" i="9"/>
  <c r="X6" i="9"/>
  <c r="W6" i="9"/>
  <c r="Y6" i="9" s="1"/>
  <c r="U6" i="9"/>
  <c r="Z5" i="9"/>
  <c r="X5" i="9"/>
  <c r="W5" i="9"/>
  <c r="Y5" i="9" s="1"/>
  <c r="U5" i="9"/>
  <c r="Z4" i="9"/>
  <c r="Y4" i="9"/>
  <c r="X4" i="9"/>
  <c r="W4" i="9"/>
  <c r="U4" i="9"/>
  <c r="Z3" i="9"/>
  <c r="X3" i="9"/>
  <c r="W3" i="9"/>
  <c r="Y3" i="9" s="1"/>
  <c r="U3" i="9"/>
  <c r="U803" i="7"/>
  <c r="U802" i="7"/>
  <c r="U801" i="7"/>
  <c r="U800" i="7"/>
  <c r="U799" i="7"/>
  <c r="U798" i="7"/>
  <c r="U797" i="7"/>
  <c r="U796" i="7"/>
  <c r="U795" i="7"/>
  <c r="U794" i="7"/>
  <c r="U793" i="7"/>
  <c r="U792" i="7"/>
  <c r="U791" i="7"/>
  <c r="U790" i="7"/>
  <c r="U789" i="7"/>
  <c r="U788" i="7"/>
  <c r="U787" i="7"/>
  <c r="U786" i="7"/>
  <c r="U785" i="7"/>
  <c r="U784" i="7"/>
  <c r="U783" i="7"/>
  <c r="U782" i="7"/>
  <c r="U781" i="7"/>
  <c r="U780" i="7"/>
  <c r="U779" i="7"/>
  <c r="U778" i="7"/>
  <c r="U777" i="7"/>
  <c r="U776" i="7"/>
  <c r="U775" i="7"/>
  <c r="U774" i="7"/>
  <c r="U773" i="7"/>
  <c r="U772" i="7"/>
  <c r="U771" i="7"/>
  <c r="U770" i="7"/>
  <c r="U769" i="7"/>
  <c r="U768" i="7"/>
  <c r="U767" i="7"/>
  <c r="U766" i="7"/>
  <c r="U765" i="7"/>
  <c r="U764" i="7"/>
  <c r="U763" i="7"/>
  <c r="U762" i="7"/>
  <c r="U761" i="7"/>
  <c r="U760" i="7"/>
  <c r="U759" i="7"/>
  <c r="U758" i="7"/>
  <c r="U757" i="7"/>
  <c r="U756" i="7"/>
  <c r="U755" i="7"/>
  <c r="U754" i="7"/>
  <c r="U753" i="7"/>
  <c r="U752" i="7"/>
  <c r="U751" i="7"/>
  <c r="U750" i="7"/>
  <c r="U749" i="7"/>
  <c r="U748" i="7"/>
  <c r="U747" i="7"/>
  <c r="U746" i="7"/>
  <c r="U745" i="7"/>
  <c r="U744" i="7"/>
  <c r="U743" i="7"/>
  <c r="U742" i="7"/>
  <c r="U741" i="7"/>
  <c r="U740" i="7"/>
  <c r="U739" i="7"/>
  <c r="U738" i="7"/>
  <c r="U737" i="7"/>
  <c r="U736" i="7"/>
  <c r="U735" i="7"/>
  <c r="U734" i="7"/>
  <c r="U733" i="7"/>
  <c r="U732" i="7"/>
  <c r="U731" i="7"/>
  <c r="U730" i="7"/>
  <c r="U729" i="7"/>
  <c r="U728" i="7"/>
  <c r="U727" i="7"/>
  <c r="U726" i="7"/>
  <c r="U725" i="7"/>
  <c r="U724" i="7"/>
  <c r="U723" i="7"/>
  <c r="U722" i="7"/>
  <c r="U721" i="7"/>
  <c r="U720" i="7"/>
  <c r="U719" i="7"/>
  <c r="U718" i="7"/>
  <c r="U717" i="7"/>
  <c r="U716" i="7"/>
  <c r="U715" i="7"/>
  <c r="U714" i="7"/>
  <c r="U713" i="7"/>
  <c r="U712" i="7"/>
  <c r="U711" i="7"/>
  <c r="U710" i="7"/>
  <c r="U709" i="7"/>
  <c r="U708" i="7"/>
  <c r="U707" i="7"/>
  <c r="U706" i="7"/>
  <c r="U705" i="7"/>
  <c r="U704" i="7"/>
  <c r="U703" i="7"/>
  <c r="U702" i="7"/>
  <c r="U701" i="7"/>
  <c r="U700" i="7"/>
  <c r="U699" i="7"/>
  <c r="U698" i="7"/>
  <c r="U697" i="7"/>
  <c r="U696" i="7"/>
  <c r="U695" i="7"/>
  <c r="U694" i="7"/>
  <c r="U693" i="7"/>
  <c r="U692" i="7"/>
  <c r="U691" i="7"/>
  <c r="U690" i="7"/>
  <c r="U689" i="7"/>
  <c r="U688" i="7"/>
  <c r="U687" i="7"/>
  <c r="U686" i="7"/>
  <c r="U685" i="7"/>
  <c r="U684" i="7"/>
  <c r="U683" i="7"/>
  <c r="U682" i="7"/>
  <c r="U681" i="7"/>
  <c r="U680" i="7"/>
  <c r="U679" i="7"/>
  <c r="U678" i="7"/>
  <c r="U677" i="7"/>
  <c r="U676" i="7"/>
  <c r="U675" i="7"/>
  <c r="U674" i="7"/>
  <c r="U673" i="7"/>
  <c r="U672" i="7"/>
  <c r="U671" i="7"/>
  <c r="U670" i="7"/>
  <c r="U669" i="7"/>
  <c r="U668" i="7"/>
  <c r="U667" i="7"/>
  <c r="U666" i="7"/>
  <c r="U665" i="7"/>
  <c r="U664" i="7"/>
  <c r="U663" i="7"/>
  <c r="U662" i="7"/>
  <c r="U661" i="7"/>
  <c r="U660" i="7"/>
  <c r="U659" i="7"/>
  <c r="U658" i="7"/>
  <c r="U657" i="7"/>
  <c r="U656" i="7"/>
  <c r="U655" i="7"/>
  <c r="U654" i="7"/>
  <c r="U653" i="7"/>
  <c r="U652" i="7"/>
  <c r="U651" i="7"/>
  <c r="U650" i="7"/>
  <c r="U649" i="7"/>
  <c r="U648" i="7"/>
  <c r="U647" i="7"/>
  <c r="U646" i="7"/>
  <c r="U645" i="7"/>
  <c r="U644" i="7"/>
  <c r="U643" i="7"/>
  <c r="U642" i="7"/>
  <c r="U641" i="7"/>
  <c r="U640" i="7"/>
  <c r="U639" i="7"/>
  <c r="U638" i="7"/>
  <c r="U637" i="7"/>
  <c r="U636" i="7"/>
  <c r="U635" i="7"/>
  <c r="U634" i="7"/>
  <c r="U633" i="7"/>
  <c r="U632" i="7"/>
  <c r="U631" i="7"/>
  <c r="U630" i="7"/>
  <c r="U629" i="7"/>
  <c r="U628" i="7"/>
  <c r="U627" i="7"/>
  <c r="U626" i="7"/>
  <c r="U625" i="7"/>
  <c r="U624" i="7"/>
  <c r="U623" i="7"/>
  <c r="U622" i="7"/>
  <c r="U621" i="7"/>
  <c r="U620" i="7"/>
  <c r="U619" i="7"/>
  <c r="U618" i="7"/>
  <c r="U617" i="7"/>
  <c r="U616" i="7"/>
  <c r="U615" i="7"/>
  <c r="U614" i="7"/>
  <c r="U613" i="7"/>
  <c r="U612" i="7"/>
  <c r="U611" i="7"/>
  <c r="U610" i="7"/>
  <c r="U609" i="7"/>
  <c r="U608" i="7"/>
  <c r="U607" i="7"/>
  <c r="U606" i="7"/>
  <c r="U605" i="7"/>
  <c r="U604" i="7"/>
  <c r="U603" i="7"/>
  <c r="U602" i="7"/>
  <c r="U601" i="7"/>
  <c r="U600" i="7"/>
  <c r="U599" i="7"/>
  <c r="U598" i="7"/>
  <c r="U597" i="7"/>
  <c r="U596" i="7"/>
  <c r="U595" i="7"/>
  <c r="U594" i="7"/>
  <c r="U593" i="7"/>
  <c r="U592" i="7"/>
  <c r="U591" i="7"/>
  <c r="U590" i="7"/>
  <c r="U589" i="7"/>
  <c r="U588" i="7"/>
  <c r="U587" i="7"/>
  <c r="U586" i="7"/>
  <c r="U585" i="7"/>
  <c r="U584" i="7"/>
  <c r="U583" i="7"/>
  <c r="U582" i="7"/>
  <c r="U581" i="7"/>
  <c r="U580" i="7"/>
  <c r="U579" i="7"/>
  <c r="U578" i="7"/>
  <c r="U577" i="7"/>
  <c r="U576" i="7"/>
  <c r="U575" i="7"/>
  <c r="U574" i="7"/>
  <c r="U573" i="7"/>
  <c r="U572" i="7"/>
  <c r="U571" i="7"/>
  <c r="U570" i="7"/>
  <c r="U569" i="7"/>
  <c r="U568" i="7"/>
  <c r="U567" i="7"/>
  <c r="U566" i="7"/>
  <c r="U565" i="7"/>
  <c r="U564" i="7"/>
  <c r="U563" i="7"/>
  <c r="U562" i="7"/>
  <c r="U561" i="7"/>
  <c r="U560" i="7"/>
  <c r="U559" i="7"/>
  <c r="U558" i="7"/>
  <c r="U557" i="7"/>
  <c r="U556" i="7"/>
  <c r="U555" i="7"/>
  <c r="U554" i="7"/>
  <c r="U553" i="7"/>
  <c r="U552" i="7"/>
  <c r="U551" i="7"/>
  <c r="U550" i="7"/>
  <c r="U549" i="7"/>
  <c r="U548" i="7"/>
  <c r="U547" i="7"/>
  <c r="U546" i="7"/>
  <c r="U545" i="7"/>
  <c r="U544" i="7"/>
  <c r="U543" i="7"/>
  <c r="U542" i="7"/>
  <c r="U541" i="7"/>
  <c r="U540" i="7"/>
  <c r="U539" i="7"/>
  <c r="U538" i="7"/>
  <c r="U537" i="7"/>
  <c r="U536" i="7"/>
  <c r="U535" i="7"/>
  <c r="U534" i="7"/>
  <c r="U533" i="7"/>
  <c r="U532" i="7"/>
  <c r="U531" i="7"/>
  <c r="U530" i="7"/>
  <c r="U529" i="7"/>
  <c r="U528" i="7"/>
  <c r="U527" i="7"/>
  <c r="U526" i="7"/>
  <c r="U525" i="7"/>
  <c r="U524" i="7"/>
  <c r="U523" i="7"/>
  <c r="U522" i="7"/>
  <c r="U521" i="7"/>
  <c r="U520" i="7"/>
  <c r="U519" i="7"/>
  <c r="U518" i="7"/>
  <c r="U517" i="7"/>
  <c r="U516" i="7"/>
  <c r="U515" i="7"/>
  <c r="U514" i="7"/>
  <c r="U513" i="7"/>
  <c r="U512" i="7"/>
  <c r="U511" i="7"/>
  <c r="U510" i="7"/>
  <c r="U509" i="7"/>
  <c r="U508" i="7"/>
  <c r="U507" i="7"/>
  <c r="U506" i="7"/>
  <c r="U505" i="7"/>
  <c r="U504" i="7"/>
  <c r="U503" i="7"/>
  <c r="U502" i="7"/>
  <c r="U501" i="7"/>
  <c r="U500" i="7"/>
  <c r="U499" i="7"/>
  <c r="U498" i="7"/>
  <c r="U497" i="7"/>
  <c r="U496" i="7"/>
  <c r="U495" i="7"/>
  <c r="U494" i="7"/>
  <c r="U493" i="7"/>
  <c r="U492" i="7"/>
  <c r="U491" i="7"/>
  <c r="U490" i="7"/>
  <c r="U489" i="7"/>
  <c r="U488" i="7"/>
  <c r="U487" i="7"/>
  <c r="U486" i="7"/>
  <c r="U485" i="7"/>
  <c r="U484" i="7"/>
  <c r="U483" i="7"/>
  <c r="U482" i="7"/>
  <c r="U481" i="7"/>
  <c r="U480" i="7"/>
  <c r="U479" i="7"/>
  <c r="U478" i="7"/>
  <c r="U477" i="7"/>
  <c r="U476" i="7"/>
  <c r="U475" i="7"/>
  <c r="U474" i="7"/>
  <c r="U473" i="7"/>
  <c r="U472" i="7"/>
  <c r="U471" i="7"/>
  <c r="U470" i="7"/>
  <c r="U469" i="7"/>
  <c r="U468" i="7"/>
  <c r="U467" i="7"/>
  <c r="U466" i="7"/>
  <c r="U465" i="7"/>
  <c r="U464" i="7"/>
  <c r="U463" i="7"/>
  <c r="U462" i="7"/>
  <c r="U461" i="7"/>
  <c r="U460" i="7"/>
  <c r="U459" i="7"/>
  <c r="U458" i="7"/>
  <c r="U457" i="7"/>
  <c r="U456" i="7"/>
  <c r="U455" i="7"/>
  <c r="U454" i="7"/>
  <c r="U453" i="7"/>
  <c r="U452" i="7"/>
  <c r="U451" i="7"/>
  <c r="U450" i="7"/>
  <c r="U449" i="7"/>
  <c r="U448" i="7"/>
  <c r="U447" i="7"/>
  <c r="U446" i="7"/>
  <c r="U445" i="7"/>
  <c r="U444" i="7"/>
  <c r="U443" i="7"/>
  <c r="U442" i="7"/>
  <c r="U441" i="7"/>
  <c r="U440" i="7"/>
  <c r="U439" i="7"/>
  <c r="U438" i="7"/>
  <c r="U437" i="7"/>
  <c r="U436" i="7"/>
  <c r="U435" i="7"/>
  <c r="U434" i="7"/>
  <c r="U433" i="7"/>
  <c r="U432" i="7"/>
  <c r="U431" i="7"/>
  <c r="U430" i="7"/>
  <c r="U429" i="7"/>
  <c r="U428" i="7"/>
  <c r="U427" i="7"/>
  <c r="U426" i="7"/>
  <c r="U425" i="7"/>
  <c r="U424" i="7"/>
  <c r="U423" i="7"/>
  <c r="U422" i="7"/>
  <c r="U421" i="7"/>
  <c r="U420" i="7"/>
  <c r="U419" i="7"/>
  <c r="U418" i="7"/>
  <c r="U417" i="7"/>
  <c r="U416" i="7"/>
  <c r="U415" i="7"/>
  <c r="U414" i="7"/>
  <c r="U413" i="7"/>
  <c r="U412" i="7"/>
  <c r="U411" i="7"/>
  <c r="U410" i="7"/>
  <c r="U409" i="7"/>
  <c r="U408" i="7"/>
  <c r="U407" i="7"/>
  <c r="U406" i="7"/>
  <c r="U405" i="7"/>
  <c r="U404" i="7"/>
  <c r="U403" i="7"/>
  <c r="U402" i="7"/>
  <c r="U401" i="7"/>
  <c r="U400" i="7"/>
  <c r="U399" i="7"/>
  <c r="U398" i="7"/>
  <c r="U397" i="7"/>
  <c r="U396" i="7"/>
  <c r="U395" i="7"/>
  <c r="U394" i="7"/>
  <c r="U393" i="7"/>
  <c r="U392" i="7"/>
  <c r="U391" i="7"/>
  <c r="U390" i="7"/>
  <c r="U389" i="7"/>
  <c r="U388" i="7"/>
  <c r="U387" i="7"/>
  <c r="U386" i="7"/>
  <c r="U385" i="7"/>
  <c r="U384" i="7"/>
  <c r="U383" i="7"/>
  <c r="U382" i="7"/>
  <c r="U381" i="7"/>
  <c r="U380" i="7"/>
  <c r="U379" i="7"/>
  <c r="U378" i="7"/>
  <c r="U377" i="7"/>
  <c r="U376" i="7"/>
  <c r="U375" i="7"/>
  <c r="U374" i="7"/>
  <c r="U373" i="7"/>
  <c r="U372" i="7"/>
  <c r="U371" i="7"/>
  <c r="U370" i="7"/>
  <c r="U369" i="7"/>
  <c r="U368" i="7"/>
  <c r="U367" i="7"/>
  <c r="U366" i="7"/>
  <c r="U365" i="7"/>
  <c r="U364" i="7"/>
  <c r="U363" i="7"/>
  <c r="U362" i="7"/>
  <c r="U361" i="7"/>
  <c r="U360" i="7"/>
  <c r="U359" i="7"/>
  <c r="U358" i="7"/>
  <c r="U357" i="7"/>
  <c r="U356" i="7"/>
  <c r="U355" i="7"/>
  <c r="U354" i="7"/>
  <c r="U353" i="7"/>
  <c r="U352" i="7"/>
  <c r="U351" i="7"/>
  <c r="U350" i="7"/>
  <c r="U349" i="7"/>
  <c r="U348" i="7"/>
  <c r="U347" i="7"/>
  <c r="U346" i="7"/>
  <c r="U345" i="7"/>
  <c r="U344" i="7"/>
  <c r="U343" i="7"/>
  <c r="U342" i="7"/>
  <c r="U341" i="7"/>
  <c r="U340" i="7"/>
  <c r="U339" i="7"/>
  <c r="U338" i="7"/>
  <c r="U337" i="7"/>
  <c r="U336" i="7"/>
  <c r="U335" i="7"/>
  <c r="U334" i="7"/>
  <c r="U333" i="7"/>
  <c r="U332" i="7"/>
  <c r="U331" i="7"/>
  <c r="U330" i="7"/>
  <c r="U329" i="7"/>
  <c r="U328" i="7"/>
  <c r="U327" i="7"/>
  <c r="U326" i="7"/>
  <c r="U325" i="7"/>
  <c r="U324" i="7"/>
  <c r="U323" i="7"/>
  <c r="U322" i="7"/>
  <c r="U321" i="7"/>
  <c r="U320" i="7"/>
  <c r="U319" i="7"/>
  <c r="U318" i="7"/>
  <c r="U317" i="7"/>
  <c r="U316" i="7"/>
  <c r="U315" i="7"/>
  <c r="U314" i="7"/>
  <c r="U313" i="7"/>
  <c r="U312" i="7"/>
  <c r="U311" i="7"/>
  <c r="U310" i="7"/>
  <c r="U309" i="7"/>
  <c r="U308" i="7"/>
  <c r="U307" i="7"/>
  <c r="U306" i="7"/>
  <c r="U305" i="7"/>
  <c r="U304" i="7"/>
  <c r="U303" i="7"/>
  <c r="U302" i="7"/>
  <c r="U301" i="7"/>
  <c r="U300" i="7"/>
  <c r="U299" i="7"/>
  <c r="U298" i="7"/>
  <c r="U297" i="7"/>
  <c r="U296" i="7"/>
  <c r="U295" i="7"/>
  <c r="U294" i="7"/>
  <c r="U293" i="7"/>
  <c r="U292" i="7"/>
  <c r="U291" i="7"/>
  <c r="U290" i="7"/>
  <c r="U289" i="7"/>
  <c r="U288" i="7"/>
  <c r="U287" i="7"/>
  <c r="U286" i="7"/>
  <c r="U285" i="7"/>
  <c r="U284" i="7"/>
  <c r="U283" i="7"/>
  <c r="U282" i="7"/>
  <c r="U281" i="7"/>
  <c r="U280" i="7"/>
  <c r="U279" i="7"/>
  <c r="U278" i="7"/>
  <c r="U277" i="7"/>
  <c r="U276" i="7"/>
  <c r="U275" i="7"/>
  <c r="U274" i="7"/>
  <c r="U273" i="7"/>
  <c r="U272" i="7"/>
  <c r="U271" i="7"/>
  <c r="U270" i="7"/>
  <c r="U269" i="7"/>
  <c r="U268" i="7"/>
  <c r="U267" i="7"/>
  <c r="U266" i="7"/>
  <c r="U265" i="7"/>
  <c r="U264" i="7"/>
  <c r="U263" i="7"/>
  <c r="U262" i="7"/>
  <c r="U261" i="7"/>
  <c r="U260" i="7"/>
  <c r="U259" i="7"/>
  <c r="U258" i="7"/>
  <c r="U257" i="7"/>
  <c r="U256" i="7"/>
  <c r="U255" i="7"/>
  <c r="U254" i="7"/>
  <c r="U253" i="7"/>
  <c r="U252" i="7"/>
  <c r="U251" i="7"/>
  <c r="U250" i="7"/>
  <c r="U249" i="7"/>
  <c r="U248" i="7"/>
  <c r="U247" i="7"/>
  <c r="U246" i="7"/>
  <c r="U245" i="7"/>
  <c r="U244" i="7"/>
  <c r="U243" i="7"/>
  <c r="U242" i="7"/>
  <c r="U241" i="7"/>
  <c r="U240" i="7"/>
  <c r="U239" i="7"/>
  <c r="U238" i="7"/>
  <c r="U237" i="7"/>
  <c r="U236" i="7"/>
  <c r="U235" i="7"/>
  <c r="U234" i="7"/>
  <c r="U233" i="7"/>
  <c r="U232" i="7"/>
  <c r="U231" i="7"/>
  <c r="U230" i="7"/>
  <c r="U229" i="7"/>
  <c r="U228" i="7"/>
  <c r="U227" i="7"/>
  <c r="U226" i="7"/>
  <c r="U225" i="7"/>
  <c r="U224" i="7"/>
  <c r="U223" i="7"/>
  <c r="U222" i="7"/>
  <c r="U221" i="7"/>
  <c r="U220" i="7"/>
  <c r="U219" i="7"/>
  <c r="U218" i="7"/>
  <c r="U217" i="7"/>
  <c r="U216" i="7"/>
  <c r="U215" i="7"/>
  <c r="U214" i="7"/>
  <c r="U213" i="7"/>
  <c r="U212" i="7"/>
  <c r="U211" i="7"/>
  <c r="U210" i="7"/>
  <c r="U209" i="7"/>
  <c r="U208" i="7"/>
  <c r="U207" i="7"/>
  <c r="U206" i="7"/>
  <c r="U205" i="7"/>
  <c r="U204" i="7"/>
  <c r="U203" i="7"/>
  <c r="U202" i="7"/>
  <c r="U201" i="7"/>
  <c r="U200" i="7"/>
  <c r="U199" i="7"/>
  <c r="U198" i="7"/>
  <c r="U197" i="7"/>
  <c r="U196" i="7"/>
  <c r="U195" i="7"/>
  <c r="U194" i="7"/>
  <c r="U193" i="7"/>
  <c r="U192" i="7"/>
  <c r="U191" i="7"/>
  <c r="U190" i="7"/>
  <c r="U189" i="7"/>
  <c r="U188" i="7"/>
  <c r="U187" i="7"/>
  <c r="U186" i="7"/>
  <c r="U185" i="7"/>
  <c r="U184" i="7"/>
  <c r="U183" i="7"/>
  <c r="U182" i="7"/>
  <c r="U181" i="7"/>
  <c r="U180" i="7"/>
  <c r="U179" i="7"/>
  <c r="U178" i="7"/>
  <c r="U177" i="7"/>
  <c r="U176" i="7"/>
  <c r="U175" i="7"/>
  <c r="U174" i="7"/>
  <c r="U173" i="7"/>
  <c r="U172" i="7"/>
  <c r="U171" i="7"/>
  <c r="U170" i="7"/>
  <c r="U169" i="7"/>
  <c r="U168" i="7"/>
  <c r="U167" i="7"/>
  <c r="U166" i="7"/>
  <c r="U165" i="7"/>
  <c r="U164" i="7"/>
  <c r="U163" i="7"/>
  <c r="U162" i="7"/>
  <c r="U161" i="7"/>
  <c r="U160" i="7"/>
  <c r="U159" i="7"/>
  <c r="U158" i="7"/>
  <c r="U157" i="7"/>
  <c r="U156" i="7"/>
  <c r="U155" i="7"/>
  <c r="U154" i="7"/>
  <c r="U153" i="7"/>
  <c r="U152" i="7"/>
  <c r="U151" i="7"/>
  <c r="U150" i="7"/>
  <c r="U149" i="7"/>
  <c r="U148" i="7"/>
  <c r="U147" i="7"/>
  <c r="U146" i="7"/>
  <c r="U145" i="7"/>
  <c r="U144" i="7"/>
  <c r="U143" i="7"/>
  <c r="U142" i="7"/>
  <c r="U141" i="7"/>
  <c r="U140" i="7"/>
  <c r="U139" i="7"/>
  <c r="U138" i="7"/>
  <c r="U137" i="7"/>
  <c r="U136" i="7"/>
  <c r="U135" i="7"/>
  <c r="U134" i="7"/>
  <c r="U133" i="7"/>
  <c r="U132" i="7"/>
  <c r="U131" i="7"/>
  <c r="U130" i="7"/>
  <c r="U129" i="7"/>
  <c r="U128" i="7"/>
  <c r="U127" i="7"/>
  <c r="U126" i="7"/>
  <c r="U125" i="7"/>
  <c r="U124" i="7"/>
  <c r="U123" i="7"/>
  <c r="U122" i="7"/>
  <c r="U121" i="7"/>
  <c r="U120" i="7"/>
  <c r="U119" i="7"/>
  <c r="U118" i="7"/>
  <c r="U117" i="7"/>
  <c r="U116" i="7"/>
  <c r="U115" i="7"/>
  <c r="U114" i="7"/>
  <c r="U113" i="7"/>
  <c r="U112" i="7"/>
  <c r="U111" i="7"/>
  <c r="U110" i="7"/>
  <c r="U109" i="7"/>
  <c r="U108" i="7"/>
  <c r="U107" i="7"/>
  <c r="U106" i="7"/>
  <c r="U105" i="7"/>
  <c r="U104" i="7"/>
  <c r="U103" i="7"/>
  <c r="U102" i="7"/>
  <c r="U101" i="7"/>
  <c r="U100" i="7"/>
  <c r="U99" i="7"/>
  <c r="U98" i="7"/>
  <c r="U97" i="7"/>
  <c r="U96" i="7"/>
  <c r="U95" i="7"/>
  <c r="U94" i="7"/>
  <c r="U93" i="7"/>
  <c r="U92" i="7"/>
  <c r="U91" i="7"/>
  <c r="U90" i="7"/>
  <c r="U89" i="7"/>
  <c r="U88" i="7"/>
  <c r="U87" i="7"/>
  <c r="U86" i="7"/>
  <c r="U85" i="7"/>
  <c r="U84" i="7"/>
  <c r="U83" i="7"/>
  <c r="U82" i="7"/>
  <c r="U81" i="7"/>
  <c r="U80" i="7"/>
  <c r="U79" i="7"/>
  <c r="U78" i="7"/>
  <c r="U77" i="7"/>
  <c r="U76" i="7"/>
  <c r="U75" i="7"/>
  <c r="U74" i="7"/>
  <c r="U73" i="7"/>
  <c r="U72" i="7"/>
  <c r="U71" i="7"/>
  <c r="U70" i="7"/>
  <c r="U69" i="7"/>
  <c r="U68" i="7"/>
  <c r="U67" i="7"/>
  <c r="U66" i="7"/>
  <c r="U65" i="7"/>
  <c r="U64" i="7"/>
  <c r="U63" i="7"/>
  <c r="U62" i="7"/>
  <c r="U61" i="7"/>
  <c r="U60" i="7"/>
  <c r="U59" i="7"/>
  <c r="U58" i="7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U3" i="7"/>
  <c r="Y322" i="9" l="1"/>
  <c r="Z322" i="9"/>
  <c r="Y326" i="9"/>
  <c r="Z326" i="9"/>
  <c r="Y330" i="9"/>
  <c r="Z330" i="9"/>
  <c r="Y334" i="9"/>
  <c r="Z334" i="9"/>
  <c r="Y338" i="9"/>
  <c r="Z338" i="9"/>
  <c r="Y342" i="9"/>
  <c r="Z342" i="9"/>
  <c r="Y346" i="9"/>
  <c r="Z346" i="9"/>
  <c r="Y350" i="9"/>
  <c r="Z350" i="9"/>
  <c r="Y354" i="9"/>
  <c r="Z354" i="9"/>
  <c r="Y358" i="9"/>
  <c r="Z358" i="9"/>
  <c r="Y362" i="9"/>
  <c r="Z362" i="9"/>
  <c r="Y366" i="9"/>
  <c r="Z366" i="9"/>
  <c r="Y370" i="9"/>
  <c r="Z370" i="9"/>
  <c r="Y374" i="9"/>
  <c r="Z374" i="9"/>
  <c r="Y378" i="9"/>
  <c r="Z378" i="9"/>
  <c r="Y382" i="9"/>
  <c r="Z382" i="9"/>
  <c r="Y386" i="9"/>
  <c r="Z386" i="9"/>
  <c r="Y390" i="9"/>
  <c r="Z390" i="9"/>
  <c r="Y394" i="9"/>
  <c r="Z394" i="9"/>
  <c r="Y437" i="9"/>
  <c r="Z437" i="9"/>
  <c r="Y449" i="9"/>
  <c r="Z449" i="9"/>
  <c r="Y467" i="9"/>
  <c r="Z467" i="9"/>
  <c r="Y481" i="9"/>
  <c r="Z481" i="9"/>
  <c r="Y499" i="9"/>
  <c r="Z499" i="9"/>
  <c r="Y513" i="9"/>
  <c r="Z513" i="9"/>
  <c r="Y531" i="9"/>
  <c r="Z531" i="9"/>
  <c r="Y545" i="9"/>
  <c r="Z545" i="9"/>
  <c r="Y563" i="9"/>
  <c r="Z563" i="9"/>
  <c r="Y577" i="9"/>
  <c r="Z577" i="9"/>
  <c r="Y203" i="9"/>
  <c r="Z204" i="9"/>
  <c r="Z222" i="9"/>
  <c r="Y223" i="9"/>
  <c r="Z224" i="9"/>
  <c r="Z238" i="9"/>
  <c r="Y239" i="9"/>
  <c r="Z240" i="9"/>
  <c r="Z254" i="9"/>
  <c r="Y255" i="9"/>
  <c r="Z256" i="9"/>
  <c r="Z282" i="9"/>
  <c r="Y283" i="9"/>
  <c r="Y284" i="9"/>
  <c r="Z298" i="9"/>
  <c r="Y299" i="9"/>
  <c r="Y300" i="9"/>
  <c r="Z314" i="9"/>
  <c r="Y315" i="9"/>
  <c r="Y316" i="9"/>
  <c r="Z466" i="9"/>
  <c r="Y466" i="9"/>
  <c r="Z498" i="9"/>
  <c r="Y498" i="9"/>
  <c r="Z530" i="9"/>
  <c r="Y530" i="9"/>
  <c r="Z562" i="9"/>
  <c r="Y562" i="9"/>
  <c r="Z218" i="9"/>
  <c r="Y219" i="9"/>
  <c r="Z220" i="9"/>
  <c r="Z234" i="9"/>
  <c r="Y235" i="9"/>
  <c r="Z236" i="9"/>
  <c r="Z250" i="9"/>
  <c r="Y251" i="9"/>
  <c r="Z252" i="9"/>
  <c r="Z266" i="9"/>
  <c r="Y267" i="9"/>
  <c r="Z270" i="9"/>
  <c r="Y271" i="9"/>
  <c r="Z274" i="9"/>
  <c r="Y275" i="9"/>
  <c r="Z278" i="9"/>
  <c r="Y279" i="9"/>
  <c r="Y280" i="9"/>
  <c r="Z294" i="9"/>
  <c r="Y295" i="9"/>
  <c r="Y296" i="9"/>
  <c r="Z310" i="9"/>
  <c r="Y311" i="9"/>
  <c r="Y312" i="9"/>
  <c r="Z320" i="9"/>
  <c r="Y320" i="9"/>
  <c r="Z324" i="9"/>
  <c r="Y324" i="9"/>
  <c r="Z328" i="9"/>
  <c r="Y328" i="9"/>
  <c r="Z332" i="9"/>
  <c r="Y332" i="9"/>
  <c r="Z336" i="9"/>
  <c r="Y336" i="9"/>
  <c r="Z340" i="9"/>
  <c r="Y340" i="9"/>
  <c r="Z344" i="9"/>
  <c r="Y344" i="9"/>
  <c r="Z348" i="9"/>
  <c r="Y348" i="9"/>
  <c r="Z352" i="9"/>
  <c r="Y352" i="9"/>
  <c r="Z356" i="9"/>
  <c r="Y356" i="9"/>
  <c r="Z360" i="9"/>
  <c r="Y360" i="9"/>
  <c r="Z364" i="9"/>
  <c r="Y364" i="9"/>
  <c r="Z368" i="9"/>
  <c r="Y368" i="9"/>
  <c r="Z372" i="9"/>
  <c r="Y372" i="9"/>
  <c r="Z376" i="9"/>
  <c r="Y376" i="9"/>
  <c r="Z380" i="9"/>
  <c r="Y380" i="9"/>
  <c r="Z384" i="9"/>
  <c r="Y384" i="9"/>
  <c r="Z388" i="9"/>
  <c r="Y388" i="9"/>
  <c r="Z392" i="9"/>
  <c r="Y392" i="9"/>
  <c r="Y451" i="9"/>
  <c r="Z451" i="9"/>
  <c r="Y465" i="9"/>
  <c r="Z465" i="9"/>
  <c r="Y483" i="9"/>
  <c r="Z483" i="9"/>
  <c r="Y497" i="9"/>
  <c r="Z497" i="9"/>
  <c r="Y515" i="9"/>
  <c r="Z515" i="9"/>
  <c r="Y529" i="9"/>
  <c r="Z529" i="9"/>
  <c r="Y547" i="9"/>
  <c r="Z547" i="9"/>
  <c r="Y561" i="9"/>
  <c r="Z561" i="9"/>
  <c r="Y579" i="9"/>
  <c r="Z579" i="9"/>
  <c r="Z323" i="9"/>
  <c r="Y323" i="9"/>
  <c r="Z327" i="9"/>
  <c r="Y327" i="9"/>
  <c r="Z331" i="9"/>
  <c r="Y331" i="9"/>
  <c r="Z335" i="9"/>
  <c r="Y335" i="9"/>
  <c r="Z339" i="9"/>
  <c r="Y339" i="9"/>
  <c r="Z343" i="9"/>
  <c r="Y343" i="9"/>
  <c r="Z347" i="9"/>
  <c r="Y347" i="9"/>
  <c r="Z351" i="9"/>
  <c r="Y351" i="9"/>
  <c r="Z355" i="9"/>
  <c r="Y355" i="9"/>
  <c r="Z359" i="9"/>
  <c r="Y359" i="9"/>
  <c r="Z363" i="9"/>
  <c r="Y363" i="9"/>
  <c r="Z367" i="9"/>
  <c r="Y367" i="9"/>
  <c r="Z371" i="9"/>
  <c r="Y371" i="9"/>
  <c r="Z375" i="9"/>
  <c r="Y375" i="9"/>
  <c r="Z379" i="9"/>
  <c r="Y379" i="9"/>
  <c r="Z383" i="9"/>
  <c r="Y383" i="9"/>
  <c r="Z387" i="9"/>
  <c r="Y387" i="9"/>
  <c r="Z391" i="9"/>
  <c r="Y391" i="9"/>
  <c r="Z395" i="9"/>
  <c r="Y395" i="9"/>
  <c r="Z450" i="9"/>
  <c r="Y450" i="9"/>
  <c r="Z482" i="9"/>
  <c r="Y482" i="9"/>
  <c r="Z514" i="9"/>
  <c r="Y514" i="9"/>
  <c r="Z546" i="9"/>
  <c r="Y546" i="9"/>
  <c r="Z578" i="9"/>
  <c r="Y578" i="9"/>
  <c r="Z403" i="9"/>
  <c r="Z398" i="9"/>
  <c r="Z435" i="9"/>
  <c r="Z445" i="9"/>
  <c r="Y446" i="9"/>
  <c r="Z447" i="9"/>
  <c r="Z461" i="9"/>
  <c r="Y462" i="9"/>
  <c r="Z463" i="9"/>
  <c r="Z477" i="9"/>
  <c r="Y478" i="9"/>
  <c r="Z479" i="9"/>
  <c r="Z493" i="9"/>
  <c r="Y494" i="9"/>
  <c r="Z495" i="9"/>
  <c r="Z509" i="9"/>
  <c r="Y510" i="9"/>
  <c r="Z511" i="9"/>
  <c r="Z525" i="9"/>
  <c r="Y526" i="9"/>
  <c r="Z527" i="9"/>
  <c r="Z541" i="9"/>
  <c r="Y542" i="9"/>
  <c r="Z543" i="9"/>
  <c r="Z557" i="9"/>
  <c r="Y558" i="9"/>
  <c r="Z559" i="9"/>
  <c r="Z573" i="9"/>
  <c r="Y574" i="9"/>
  <c r="Z575" i="9"/>
  <c r="Z593" i="9"/>
  <c r="Y594" i="9"/>
  <c r="Z597" i="9"/>
  <c r="Y598" i="9"/>
  <c r="Z601" i="9"/>
  <c r="Y602" i="9"/>
  <c r="Y213" i="9"/>
  <c r="Z213" i="9"/>
  <c r="Y229" i="9"/>
  <c r="Z229" i="9"/>
  <c r="Y245" i="9"/>
  <c r="Z245" i="9"/>
  <c r="Y261" i="9"/>
  <c r="Z261" i="9"/>
  <c r="Y397" i="9"/>
  <c r="Z397" i="9"/>
  <c r="Y460" i="9"/>
  <c r="Z460" i="9"/>
  <c r="Y476" i="9"/>
  <c r="Z476" i="9"/>
  <c r="Y492" i="9"/>
  <c r="Z492" i="9"/>
  <c r="Y524" i="9"/>
  <c r="Z524" i="9"/>
  <c r="Y556" i="9"/>
  <c r="Z556" i="9"/>
  <c r="Y600" i="9"/>
  <c r="Z600" i="9"/>
  <c r="Y217" i="9"/>
  <c r="Z217" i="9"/>
  <c r="Y233" i="9"/>
  <c r="Z233" i="9"/>
  <c r="Y249" i="9"/>
  <c r="Z249" i="9"/>
  <c r="Y265" i="9"/>
  <c r="Z265" i="9"/>
  <c r="Y269" i="9"/>
  <c r="Z269" i="9"/>
  <c r="Y273" i="9"/>
  <c r="Z273" i="9"/>
  <c r="Y277" i="9"/>
  <c r="Z277" i="9"/>
  <c r="Y281" i="9"/>
  <c r="Z281" i="9"/>
  <c r="Y285" i="9"/>
  <c r="Z285" i="9"/>
  <c r="Y289" i="9"/>
  <c r="Z289" i="9"/>
  <c r="Y293" i="9"/>
  <c r="Z293" i="9"/>
  <c r="Y297" i="9"/>
  <c r="Z297" i="9"/>
  <c r="Y301" i="9"/>
  <c r="Z301" i="9"/>
  <c r="Y305" i="9"/>
  <c r="Z305" i="9"/>
  <c r="Y309" i="9"/>
  <c r="Z309" i="9"/>
  <c r="Y313" i="9"/>
  <c r="Z313" i="9"/>
  <c r="Y317" i="9"/>
  <c r="Z317" i="9"/>
  <c r="Y321" i="9"/>
  <c r="Z321" i="9"/>
  <c r="Y325" i="9"/>
  <c r="Z325" i="9"/>
  <c r="Y329" i="9"/>
  <c r="Z329" i="9"/>
  <c r="Y333" i="9"/>
  <c r="Z333" i="9"/>
  <c r="Y337" i="9"/>
  <c r="Z337" i="9"/>
  <c r="Y341" i="9"/>
  <c r="Z341" i="9"/>
  <c r="Y345" i="9"/>
  <c r="Z345" i="9"/>
  <c r="Y349" i="9"/>
  <c r="Z349" i="9"/>
  <c r="Y353" i="9"/>
  <c r="Z353" i="9"/>
  <c r="Y357" i="9"/>
  <c r="Z357" i="9"/>
  <c r="Y361" i="9"/>
  <c r="Z361" i="9"/>
  <c r="Y365" i="9"/>
  <c r="Z365" i="9"/>
  <c r="Y369" i="9"/>
  <c r="Z369" i="9"/>
  <c r="Y373" i="9"/>
  <c r="Z373" i="9"/>
  <c r="Y377" i="9"/>
  <c r="Z377" i="9"/>
  <c r="Y381" i="9"/>
  <c r="Z381" i="9"/>
  <c r="Y385" i="9"/>
  <c r="Z385" i="9"/>
  <c r="Y389" i="9"/>
  <c r="Z389" i="9"/>
  <c r="Y393" i="9"/>
  <c r="Z393" i="9"/>
  <c r="Y444" i="9"/>
  <c r="Z444" i="9"/>
  <c r="Y508" i="9"/>
  <c r="Z508" i="9"/>
  <c r="Y540" i="9"/>
  <c r="Z540" i="9"/>
  <c r="Y572" i="9"/>
  <c r="Z572" i="9"/>
  <c r="Y592" i="9"/>
  <c r="Z592" i="9"/>
  <c r="Y596" i="9"/>
  <c r="Z596" i="9"/>
  <c r="Y205" i="9"/>
  <c r="Z205" i="9"/>
  <c r="Y209" i="9"/>
  <c r="Z209" i="9"/>
  <c r="Y225" i="9"/>
  <c r="Z225" i="9"/>
  <c r="Y241" i="9"/>
  <c r="Z241" i="9"/>
  <c r="Y257" i="9"/>
  <c r="Z257" i="9"/>
  <c r="Y401" i="9"/>
  <c r="Z401" i="9"/>
  <c r="Y404" i="9"/>
  <c r="Z404" i="9"/>
  <c r="Y408" i="9"/>
  <c r="Z408" i="9"/>
  <c r="Y412" i="9"/>
  <c r="Z412" i="9"/>
  <c r="Y416" i="9"/>
  <c r="Z416" i="9"/>
  <c r="Y420" i="9"/>
  <c r="Z420" i="9"/>
  <c r="Y424" i="9"/>
  <c r="Z424" i="9"/>
  <c r="Y428" i="9"/>
  <c r="Z428" i="9"/>
  <c r="Y432" i="9"/>
  <c r="Z432" i="9"/>
  <c r="Y221" i="9"/>
  <c r="Z221" i="9"/>
  <c r="Y237" i="9"/>
  <c r="Z237" i="9"/>
  <c r="Y253" i="9"/>
  <c r="Z253" i="9"/>
  <c r="X203" i="9"/>
  <c r="Y434" i="9"/>
  <c r="Y436" i="9"/>
  <c r="Y438" i="9"/>
  <c r="Y448" i="9"/>
  <c r="Z448" i="9"/>
  <c r="Y464" i="9"/>
  <c r="Z464" i="9"/>
  <c r="Y480" i="9"/>
  <c r="Z480" i="9"/>
  <c r="Y496" i="9"/>
  <c r="Z496" i="9"/>
  <c r="Y512" i="9"/>
  <c r="Z512" i="9"/>
  <c r="Y528" i="9"/>
  <c r="Z528" i="9"/>
  <c r="Y544" i="9"/>
  <c r="Z544" i="9"/>
  <c r="Y560" i="9"/>
  <c r="Z560" i="9"/>
  <c r="Y576" i="9"/>
  <c r="Z576" i="9"/>
  <c r="Y440" i="9"/>
  <c r="Z440" i="9"/>
  <c r="Y456" i="9"/>
  <c r="Z456" i="9"/>
  <c r="Y472" i="9"/>
  <c r="Z472" i="9"/>
  <c r="Y488" i="9"/>
  <c r="Z488" i="9"/>
  <c r="Y504" i="9"/>
  <c r="Z504" i="9"/>
  <c r="Y520" i="9"/>
  <c r="Z520" i="9"/>
  <c r="Y536" i="9"/>
  <c r="Z536" i="9"/>
  <c r="Y552" i="9"/>
  <c r="Z552" i="9"/>
  <c r="Y568" i="9"/>
  <c r="Z568" i="9"/>
  <c r="Y584" i="9"/>
  <c r="Z584" i="9"/>
  <c r="Y588" i="9"/>
  <c r="Z588" i="9"/>
  <c r="Y452" i="9"/>
  <c r="Z452" i="9"/>
  <c r="Y468" i="9"/>
  <c r="Z468" i="9"/>
  <c r="Y484" i="9"/>
  <c r="Z484" i="9"/>
  <c r="Y500" i="9"/>
  <c r="Z500" i="9"/>
  <c r="Y516" i="9"/>
  <c r="Z516" i="9"/>
  <c r="Y532" i="9"/>
  <c r="Z532" i="9"/>
  <c r="Y548" i="9"/>
  <c r="Z548" i="9"/>
  <c r="Y564" i="9"/>
  <c r="Z564" i="9"/>
  <c r="Y580" i="9"/>
  <c r="Z580" i="9"/>
  <c r="X803" i="7"/>
  <c r="X802" i="7"/>
  <c r="X801" i="7"/>
  <c r="X800" i="7"/>
  <c r="X799" i="7"/>
  <c r="X798" i="7"/>
  <c r="X797" i="7"/>
  <c r="X796" i="7"/>
  <c r="X795" i="7"/>
  <c r="X794" i="7"/>
  <c r="X793" i="7"/>
  <c r="X792" i="7"/>
  <c r="X791" i="7"/>
  <c r="X790" i="7"/>
  <c r="X789" i="7"/>
  <c r="X788" i="7"/>
  <c r="X787" i="7"/>
  <c r="X786" i="7"/>
  <c r="X785" i="7"/>
  <c r="X784" i="7"/>
  <c r="X783" i="7"/>
  <c r="X782" i="7"/>
  <c r="X781" i="7"/>
  <c r="X780" i="7"/>
  <c r="X779" i="7"/>
  <c r="X778" i="7"/>
  <c r="X777" i="7"/>
  <c r="X776" i="7"/>
  <c r="X775" i="7"/>
  <c r="X774" i="7"/>
  <c r="X773" i="7"/>
  <c r="X772" i="7"/>
  <c r="X771" i="7"/>
  <c r="X770" i="7"/>
  <c r="X769" i="7"/>
  <c r="X768" i="7"/>
  <c r="X767" i="7"/>
  <c r="X766" i="7"/>
  <c r="X765" i="7"/>
  <c r="X764" i="7"/>
  <c r="X763" i="7"/>
  <c r="X762" i="7"/>
  <c r="X761" i="7"/>
  <c r="X760" i="7"/>
  <c r="X759" i="7"/>
  <c r="X758" i="7"/>
  <c r="X757" i="7"/>
  <c r="X756" i="7"/>
  <c r="X755" i="7"/>
  <c r="X754" i="7"/>
  <c r="X753" i="7"/>
  <c r="X752" i="7"/>
  <c r="X751" i="7"/>
  <c r="X750" i="7"/>
  <c r="X749" i="7"/>
  <c r="X748" i="7"/>
  <c r="X747" i="7"/>
  <c r="X746" i="7"/>
  <c r="X745" i="7"/>
  <c r="X744" i="7"/>
  <c r="X743" i="7"/>
  <c r="X742" i="7"/>
  <c r="X741" i="7"/>
  <c r="X740" i="7"/>
  <c r="X739" i="7"/>
  <c r="X738" i="7"/>
  <c r="X737" i="7"/>
  <c r="X736" i="7"/>
  <c r="X735" i="7"/>
  <c r="X734" i="7"/>
  <c r="X733" i="7"/>
  <c r="X732" i="7"/>
  <c r="X731" i="7"/>
  <c r="X730" i="7"/>
  <c r="X729" i="7"/>
  <c r="X728" i="7"/>
  <c r="X727" i="7"/>
  <c r="X726" i="7"/>
  <c r="X725" i="7"/>
  <c r="X724" i="7"/>
  <c r="X723" i="7"/>
  <c r="X722" i="7"/>
  <c r="X721" i="7"/>
  <c r="X720" i="7"/>
  <c r="X719" i="7"/>
  <c r="X718" i="7"/>
  <c r="X717" i="7"/>
  <c r="X716" i="7"/>
  <c r="X715" i="7"/>
  <c r="X714" i="7"/>
  <c r="X713" i="7"/>
  <c r="X712" i="7"/>
  <c r="X711" i="7"/>
  <c r="X710" i="7"/>
  <c r="X709" i="7"/>
  <c r="X708" i="7"/>
  <c r="X707" i="7"/>
  <c r="X706" i="7"/>
  <c r="X705" i="7"/>
  <c r="X704" i="7"/>
  <c r="X703" i="7"/>
  <c r="X702" i="7"/>
  <c r="X701" i="7"/>
  <c r="X700" i="7"/>
  <c r="X699" i="7"/>
  <c r="X698" i="7"/>
  <c r="X697" i="7"/>
  <c r="X696" i="7"/>
  <c r="X695" i="7"/>
  <c r="X694" i="7"/>
  <c r="X693" i="7"/>
  <c r="X692" i="7"/>
  <c r="X691" i="7"/>
  <c r="X690" i="7"/>
  <c r="X689" i="7"/>
  <c r="X688" i="7"/>
  <c r="X687" i="7"/>
  <c r="X686" i="7"/>
  <c r="X685" i="7"/>
  <c r="X684" i="7"/>
  <c r="X683" i="7"/>
  <c r="X682" i="7"/>
  <c r="X681" i="7"/>
  <c r="X680" i="7"/>
  <c r="X679" i="7"/>
  <c r="X678" i="7"/>
  <c r="X677" i="7"/>
  <c r="X676" i="7"/>
  <c r="X675" i="7"/>
  <c r="X674" i="7"/>
  <c r="X673" i="7"/>
  <c r="X672" i="7"/>
  <c r="X671" i="7"/>
  <c r="X670" i="7"/>
  <c r="X669" i="7"/>
  <c r="X668" i="7"/>
  <c r="X667" i="7"/>
  <c r="X666" i="7"/>
  <c r="X665" i="7"/>
  <c r="X664" i="7"/>
  <c r="X663" i="7"/>
  <c r="X662" i="7"/>
  <c r="X661" i="7"/>
  <c r="X660" i="7"/>
  <c r="X659" i="7"/>
  <c r="X658" i="7"/>
  <c r="X657" i="7"/>
  <c r="X656" i="7"/>
  <c r="X655" i="7"/>
  <c r="X654" i="7"/>
  <c r="X653" i="7"/>
  <c r="X652" i="7"/>
  <c r="X651" i="7"/>
  <c r="X650" i="7"/>
  <c r="X649" i="7"/>
  <c r="X648" i="7"/>
  <c r="X647" i="7"/>
  <c r="X646" i="7"/>
  <c r="X645" i="7"/>
  <c r="X644" i="7"/>
  <c r="X643" i="7"/>
  <c r="X642" i="7"/>
  <c r="X641" i="7"/>
  <c r="X640" i="7"/>
  <c r="X639" i="7"/>
  <c r="X638" i="7"/>
  <c r="X637" i="7"/>
  <c r="X636" i="7"/>
  <c r="X635" i="7"/>
  <c r="X634" i="7"/>
  <c r="X633" i="7"/>
  <c r="X632" i="7"/>
  <c r="X631" i="7"/>
  <c r="X630" i="7"/>
  <c r="X629" i="7"/>
  <c r="X628" i="7"/>
  <c r="X627" i="7"/>
  <c r="X626" i="7"/>
  <c r="X625" i="7"/>
  <c r="X624" i="7"/>
  <c r="X623" i="7"/>
  <c r="X622" i="7"/>
  <c r="X621" i="7"/>
  <c r="X620" i="7"/>
  <c r="X619" i="7"/>
  <c r="X618" i="7"/>
  <c r="X617" i="7"/>
  <c r="X616" i="7"/>
  <c r="X615" i="7"/>
  <c r="X614" i="7"/>
  <c r="X613" i="7"/>
  <c r="X612" i="7"/>
  <c r="X611" i="7"/>
  <c r="X610" i="7"/>
  <c r="X609" i="7"/>
  <c r="X608" i="7"/>
  <c r="X607" i="7"/>
  <c r="X606" i="7"/>
  <c r="X605" i="7"/>
  <c r="X604" i="7"/>
  <c r="X602" i="7"/>
  <c r="X601" i="7"/>
  <c r="X600" i="7"/>
  <c r="X599" i="7"/>
  <c r="X598" i="7"/>
  <c r="X597" i="7"/>
  <c r="X596" i="7"/>
  <c r="X595" i="7"/>
  <c r="X594" i="7"/>
  <c r="X593" i="7"/>
  <c r="X592" i="7"/>
  <c r="X591" i="7"/>
  <c r="X590" i="7"/>
  <c r="X589" i="7"/>
  <c r="X588" i="7"/>
  <c r="X587" i="7"/>
  <c r="X586" i="7"/>
  <c r="X585" i="7"/>
  <c r="X584" i="7"/>
  <c r="X583" i="7"/>
  <c r="X582" i="7"/>
  <c r="X581" i="7"/>
  <c r="X580" i="7"/>
  <c r="X579" i="7"/>
  <c r="X578" i="7"/>
  <c r="X577" i="7"/>
  <c r="X576" i="7"/>
  <c r="X575" i="7"/>
  <c r="X574" i="7"/>
  <c r="X573" i="7"/>
  <c r="X572" i="7"/>
  <c r="X571" i="7"/>
  <c r="X570" i="7"/>
  <c r="X569" i="7"/>
  <c r="X568" i="7"/>
  <c r="X567" i="7"/>
  <c r="X566" i="7"/>
  <c r="X565" i="7"/>
  <c r="X564" i="7"/>
  <c r="X563" i="7"/>
  <c r="X562" i="7"/>
  <c r="X561" i="7"/>
  <c r="X560" i="7"/>
  <c r="X559" i="7"/>
  <c r="X558" i="7"/>
  <c r="X557" i="7"/>
  <c r="X556" i="7"/>
  <c r="X555" i="7"/>
  <c r="X554" i="7"/>
  <c r="X553" i="7"/>
  <c r="X552" i="7"/>
  <c r="X551" i="7"/>
  <c r="X550" i="7"/>
  <c r="X549" i="7"/>
  <c r="X548" i="7"/>
  <c r="X547" i="7"/>
  <c r="X546" i="7"/>
  <c r="X545" i="7"/>
  <c r="X544" i="7"/>
  <c r="X543" i="7"/>
  <c r="X542" i="7"/>
  <c r="X541" i="7"/>
  <c r="X540" i="7"/>
  <c r="X539" i="7"/>
  <c r="X538" i="7"/>
  <c r="X537" i="7"/>
  <c r="X536" i="7"/>
  <c r="X535" i="7"/>
  <c r="X534" i="7"/>
  <c r="X533" i="7"/>
  <c r="X532" i="7"/>
  <c r="X531" i="7"/>
  <c r="X530" i="7"/>
  <c r="X529" i="7"/>
  <c r="X528" i="7"/>
  <c r="X527" i="7"/>
  <c r="X526" i="7"/>
  <c r="X525" i="7"/>
  <c r="X524" i="7"/>
  <c r="X523" i="7"/>
  <c r="X522" i="7"/>
  <c r="X521" i="7"/>
  <c r="X520" i="7"/>
  <c r="X519" i="7"/>
  <c r="X518" i="7"/>
  <c r="X517" i="7"/>
  <c r="X516" i="7"/>
  <c r="X515" i="7"/>
  <c r="X514" i="7"/>
  <c r="X513" i="7"/>
  <c r="X512" i="7"/>
  <c r="X511" i="7"/>
  <c r="X510" i="7"/>
  <c r="X509" i="7"/>
  <c r="X508" i="7"/>
  <c r="X507" i="7"/>
  <c r="X506" i="7"/>
  <c r="X505" i="7"/>
  <c r="X504" i="7"/>
  <c r="X503" i="7"/>
  <c r="X502" i="7"/>
  <c r="X501" i="7"/>
  <c r="X500" i="7"/>
  <c r="X499" i="7"/>
  <c r="X498" i="7"/>
  <c r="X497" i="7"/>
  <c r="X496" i="7"/>
  <c r="X495" i="7"/>
  <c r="X494" i="7"/>
  <c r="X493" i="7"/>
  <c r="X492" i="7"/>
  <c r="X491" i="7"/>
  <c r="X490" i="7"/>
  <c r="X489" i="7"/>
  <c r="X488" i="7"/>
  <c r="X487" i="7"/>
  <c r="X486" i="7"/>
  <c r="X485" i="7"/>
  <c r="X484" i="7"/>
  <c r="X483" i="7"/>
  <c r="X482" i="7"/>
  <c r="X481" i="7"/>
  <c r="X480" i="7"/>
  <c r="X479" i="7"/>
  <c r="X478" i="7"/>
  <c r="X477" i="7"/>
  <c r="X476" i="7"/>
  <c r="X475" i="7"/>
  <c r="X474" i="7"/>
  <c r="X473" i="7"/>
  <c r="X472" i="7"/>
  <c r="X471" i="7"/>
  <c r="X470" i="7"/>
  <c r="X469" i="7"/>
  <c r="X468" i="7"/>
  <c r="X467" i="7"/>
  <c r="X466" i="7"/>
  <c r="X465" i="7"/>
  <c r="X464" i="7"/>
  <c r="X463" i="7"/>
  <c r="X462" i="7"/>
  <c r="X461" i="7"/>
  <c r="X460" i="7"/>
  <c r="X459" i="7"/>
  <c r="X458" i="7"/>
  <c r="X457" i="7"/>
  <c r="X456" i="7"/>
  <c r="X455" i="7"/>
  <c r="X454" i="7"/>
  <c r="X453" i="7"/>
  <c r="X452" i="7"/>
  <c r="X451" i="7"/>
  <c r="X450" i="7"/>
  <c r="X449" i="7"/>
  <c r="X448" i="7"/>
  <c r="X447" i="7"/>
  <c r="X446" i="7"/>
  <c r="X445" i="7"/>
  <c r="X444" i="7"/>
  <c r="X443" i="7"/>
  <c r="X442" i="7"/>
  <c r="X441" i="7"/>
  <c r="X440" i="7"/>
  <c r="X439" i="7"/>
  <c r="X438" i="7"/>
  <c r="X437" i="7"/>
  <c r="X436" i="7"/>
  <c r="X435" i="7"/>
  <c r="X434" i="7"/>
  <c r="X433" i="7"/>
  <c r="X432" i="7"/>
  <c r="X431" i="7"/>
  <c r="X430" i="7"/>
  <c r="X429" i="7"/>
  <c r="X428" i="7"/>
  <c r="X427" i="7"/>
  <c r="X426" i="7"/>
  <c r="X425" i="7"/>
  <c r="X424" i="7"/>
  <c r="X423" i="7"/>
  <c r="X422" i="7"/>
  <c r="X421" i="7"/>
  <c r="X420" i="7"/>
  <c r="X419" i="7"/>
  <c r="X418" i="7"/>
  <c r="X417" i="7"/>
  <c r="X416" i="7"/>
  <c r="X415" i="7"/>
  <c r="X414" i="7"/>
  <c r="X413" i="7"/>
  <c r="X412" i="7"/>
  <c r="X411" i="7"/>
  <c r="X410" i="7"/>
  <c r="X409" i="7"/>
  <c r="X408" i="7"/>
  <c r="X407" i="7"/>
  <c r="X406" i="7"/>
  <c r="X405" i="7"/>
  <c r="X404" i="7"/>
  <c r="X403" i="7"/>
  <c r="X402" i="7"/>
  <c r="X401" i="7"/>
  <c r="X400" i="7"/>
  <c r="X399" i="7"/>
  <c r="X398" i="7"/>
  <c r="X397" i="7"/>
  <c r="X396" i="7"/>
  <c r="X395" i="7"/>
  <c r="X394" i="7"/>
  <c r="X393" i="7"/>
  <c r="X392" i="7"/>
  <c r="X391" i="7"/>
  <c r="X390" i="7"/>
  <c r="X389" i="7"/>
  <c r="X388" i="7"/>
  <c r="X387" i="7"/>
  <c r="X386" i="7"/>
  <c r="X385" i="7"/>
  <c r="X384" i="7"/>
  <c r="X383" i="7"/>
  <c r="X382" i="7"/>
  <c r="X381" i="7"/>
  <c r="X380" i="7"/>
  <c r="X379" i="7"/>
  <c r="X378" i="7"/>
  <c r="X377" i="7"/>
  <c r="X376" i="7"/>
  <c r="X375" i="7"/>
  <c r="X374" i="7"/>
  <c r="X373" i="7"/>
  <c r="X372" i="7"/>
  <c r="X371" i="7"/>
  <c r="X370" i="7"/>
  <c r="X369" i="7"/>
  <c r="X368" i="7"/>
  <c r="X367" i="7"/>
  <c r="X366" i="7"/>
  <c r="X365" i="7"/>
  <c r="X364" i="7"/>
  <c r="X363" i="7"/>
  <c r="X362" i="7"/>
  <c r="X361" i="7"/>
  <c r="X360" i="7"/>
  <c r="X359" i="7"/>
  <c r="X358" i="7"/>
  <c r="X357" i="7"/>
  <c r="X356" i="7"/>
  <c r="X355" i="7"/>
  <c r="X354" i="7"/>
  <c r="X353" i="7"/>
  <c r="X352" i="7"/>
  <c r="X351" i="7"/>
  <c r="X350" i="7"/>
  <c r="X349" i="7"/>
  <c r="X348" i="7"/>
  <c r="X347" i="7"/>
  <c r="X346" i="7"/>
  <c r="X345" i="7"/>
  <c r="X344" i="7"/>
  <c r="X343" i="7"/>
  <c r="X342" i="7"/>
  <c r="X341" i="7"/>
  <c r="X340" i="7"/>
  <c r="X339" i="7"/>
  <c r="X338" i="7"/>
  <c r="X337" i="7"/>
  <c r="X336" i="7"/>
  <c r="X335" i="7"/>
  <c r="X334" i="7"/>
  <c r="X333" i="7"/>
  <c r="X332" i="7"/>
  <c r="X331" i="7"/>
  <c r="X330" i="7"/>
  <c r="X329" i="7"/>
  <c r="X328" i="7"/>
  <c r="X327" i="7"/>
  <c r="X326" i="7"/>
  <c r="X325" i="7"/>
  <c r="X324" i="7"/>
  <c r="X323" i="7"/>
  <c r="X322" i="7"/>
  <c r="X321" i="7"/>
  <c r="X320" i="7"/>
  <c r="X319" i="7"/>
  <c r="X318" i="7"/>
  <c r="X317" i="7"/>
  <c r="X316" i="7"/>
  <c r="X315" i="7"/>
  <c r="X314" i="7"/>
  <c r="X313" i="7"/>
  <c r="X312" i="7"/>
  <c r="X311" i="7"/>
  <c r="X310" i="7"/>
  <c r="X309" i="7"/>
  <c r="X308" i="7"/>
  <c r="X307" i="7"/>
  <c r="X306" i="7"/>
  <c r="X305" i="7"/>
  <c r="X304" i="7"/>
  <c r="X303" i="7"/>
  <c r="X302" i="7"/>
  <c r="X301" i="7"/>
  <c r="X300" i="7"/>
  <c r="X299" i="7"/>
  <c r="X298" i="7"/>
  <c r="X297" i="7"/>
  <c r="X296" i="7"/>
  <c r="X295" i="7"/>
  <c r="X294" i="7"/>
  <c r="X293" i="7"/>
  <c r="X292" i="7"/>
  <c r="X291" i="7"/>
  <c r="X290" i="7"/>
  <c r="X289" i="7"/>
  <c r="X288" i="7"/>
  <c r="X287" i="7"/>
  <c r="X286" i="7"/>
  <c r="X285" i="7"/>
  <c r="X284" i="7"/>
  <c r="X283" i="7"/>
  <c r="X282" i="7"/>
  <c r="X281" i="7"/>
  <c r="X280" i="7"/>
  <c r="X279" i="7"/>
  <c r="X278" i="7"/>
  <c r="X277" i="7"/>
  <c r="X276" i="7"/>
  <c r="X275" i="7"/>
  <c r="X274" i="7"/>
  <c r="X273" i="7"/>
  <c r="X272" i="7"/>
  <c r="X271" i="7"/>
  <c r="X270" i="7"/>
  <c r="X269" i="7"/>
  <c r="X268" i="7"/>
  <c r="X267" i="7"/>
  <c r="X266" i="7"/>
  <c r="X265" i="7"/>
  <c r="X264" i="7"/>
  <c r="X263" i="7"/>
  <c r="X262" i="7"/>
  <c r="X261" i="7"/>
  <c r="X260" i="7"/>
  <c r="X259" i="7"/>
  <c r="X258" i="7"/>
  <c r="X257" i="7"/>
  <c r="X256" i="7"/>
  <c r="X255" i="7"/>
  <c r="X254" i="7"/>
  <c r="X253" i="7"/>
  <c r="X252" i="7"/>
  <c r="X251" i="7"/>
  <c r="X250" i="7"/>
  <c r="X249" i="7"/>
  <c r="X248" i="7"/>
  <c r="X247" i="7"/>
  <c r="X246" i="7"/>
  <c r="X245" i="7"/>
  <c r="X244" i="7"/>
  <c r="X243" i="7"/>
  <c r="X242" i="7"/>
  <c r="X241" i="7"/>
  <c r="X240" i="7"/>
  <c r="X239" i="7"/>
  <c r="X238" i="7"/>
  <c r="X237" i="7"/>
  <c r="X236" i="7"/>
  <c r="X235" i="7"/>
  <c r="X234" i="7"/>
  <c r="X233" i="7"/>
  <c r="X232" i="7"/>
  <c r="X231" i="7"/>
  <c r="X230" i="7"/>
  <c r="X229" i="7"/>
  <c r="X228" i="7"/>
  <c r="X227" i="7"/>
  <c r="X226" i="7"/>
  <c r="X225" i="7"/>
  <c r="X224" i="7"/>
  <c r="X223" i="7"/>
  <c r="X222" i="7"/>
  <c r="X221" i="7"/>
  <c r="X220" i="7"/>
  <c r="X219" i="7"/>
  <c r="X218" i="7"/>
  <c r="X217" i="7"/>
  <c r="X216" i="7"/>
  <c r="X215" i="7"/>
  <c r="X214" i="7"/>
  <c r="X213" i="7"/>
  <c r="X212" i="7"/>
  <c r="X211" i="7"/>
  <c r="X210" i="7"/>
  <c r="X209" i="7"/>
  <c r="X208" i="7"/>
  <c r="X207" i="7"/>
  <c r="X206" i="7"/>
  <c r="X205" i="7"/>
  <c r="X204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3" i="7"/>
  <c r="X172" i="7"/>
  <c r="X171" i="7"/>
  <c r="X170" i="7"/>
  <c r="X169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B2" i="2" l="1"/>
  <c r="W773" i="2" s="1"/>
  <c r="V803" i="8"/>
  <c r="V802" i="8"/>
  <c r="V801" i="8"/>
  <c r="V800" i="8"/>
  <c r="V799" i="8"/>
  <c r="V798" i="8"/>
  <c r="V797" i="8"/>
  <c r="V796" i="8"/>
  <c r="V795" i="8"/>
  <c r="V794" i="8"/>
  <c r="V793" i="8"/>
  <c r="V792" i="8"/>
  <c r="V791" i="8"/>
  <c r="V790" i="8"/>
  <c r="V789" i="8"/>
  <c r="V788" i="8"/>
  <c r="V787" i="8"/>
  <c r="V786" i="8"/>
  <c r="V785" i="8"/>
  <c r="V784" i="8"/>
  <c r="V783" i="8"/>
  <c r="V782" i="8"/>
  <c r="V781" i="8"/>
  <c r="V780" i="8"/>
  <c r="V779" i="8"/>
  <c r="V778" i="8"/>
  <c r="V777" i="8"/>
  <c r="V776" i="8"/>
  <c r="V775" i="8"/>
  <c r="V774" i="8"/>
  <c r="V773" i="8"/>
  <c r="V772" i="8"/>
  <c r="V771" i="8"/>
  <c r="V770" i="8"/>
  <c r="V769" i="8"/>
  <c r="V768" i="8"/>
  <c r="V767" i="8"/>
  <c r="V766" i="8"/>
  <c r="V765" i="8"/>
  <c r="V764" i="8"/>
  <c r="V763" i="8"/>
  <c r="V762" i="8"/>
  <c r="V761" i="8"/>
  <c r="V760" i="8"/>
  <c r="V759" i="8"/>
  <c r="V758" i="8"/>
  <c r="V757" i="8"/>
  <c r="V756" i="8"/>
  <c r="V755" i="8"/>
  <c r="V754" i="8"/>
  <c r="V753" i="8"/>
  <c r="V752" i="8"/>
  <c r="V751" i="8"/>
  <c r="V750" i="8"/>
  <c r="V749" i="8"/>
  <c r="V748" i="8"/>
  <c r="V747" i="8"/>
  <c r="V746" i="8"/>
  <c r="V745" i="8"/>
  <c r="V744" i="8"/>
  <c r="V743" i="8"/>
  <c r="V742" i="8"/>
  <c r="V741" i="8"/>
  <c r="V740" i="8"/>
  <c r="V739" i="8"/>
  <c r="V738" i="8"/>
  <c r="V737" i="8"/>
  <c r="V736" i="8"/>
  <c r="V735" i="8"/>
  <c r="V734" i="8"/>
  <c r="V733" i="8"/>
  <c r="V732" i="8"/>
  <c r="V731" i="8"/>
  <c r="V730" i="8"/>
  <c r="V729" i="8"/>
  <c r="V728" i="8"/>
  <c r="V727" i="8"/>
  <c r="V726" i="8"/>
  <c r="V725" i="8"/>
  <c r="V724" i="8"/>
  <c r="V723" i="8"/>
  <c r="V722" i="8"/>
  <c r="V721" i="8"/>
  <c r="V720" i="8"/>
  <c r="V719" i="8"/>
  <c r="V718" i="8"/>
  <c r="V717" i="8"/>
  <c r="V716" i="8"/>
  <c r="V715" i="8"/>
  <c r="V714" i="8"/>
  <c r="V713" i="8"/>
  <c r="V712" i="8"/>
  <c r="V711" i="8"/>
  <c r="V710" i="8"/>
  <c r="V709" i="8"/>
  <c r="V708" i="8"/>
  <c r="V707" i="8"/>
  <c r="V706" i="8"/>
  <c r="V705" i="8"/>
  <c r="V704" i="8"/>
  <c r="V703" i="8"/>
  <c r="V702" i="8"/>
  <c r="V701" i="8"/>
  <c r="V700" i="8"/>
  <c r="V699" i="8"/>
  <c r="V698" i="8"/>
  <c r="V697" i="8"/>
  <c r="V696" i="8"/>
  <c r="V695" i="8"/>
  <c r="V694" i="8"/>
  <c r="V693" i="8"/>
  <c r="V692" i="8"/>
  <c r="V691" i="8"/>
  <c r="V690" i="8"/>
  <c r="V689" i="8"/>
  <c r="V688" i="8"/>
  <c r="V687" i="8"/>
  <c r="V686" i="8"/>
  <c r="V685" i="8"/>
  <c r="V684" i="8"/>
  <c r="V683" i="8"/>
  <c r="V682" i="8"/>
  <c r="V681" i="8"/>
  <c r="V680" i="8"/>
  <c r="V679" i="8"/>
  <c r="V678" i="8"/>
  <c r="V677" i="8"/>
  <c r="V676" i="8"/>
  <c r="V675" i="8"/>
  <c r="V674" i="8"/>
  <c r="V673" i="8"/>
  <c r="V672" i="8"/>
  <c r="V671" i="8"/>
  <c r="V670" i="8"/>
  <c r="V669" i="8"/>
  <c r="V668" i="8"/>
  <c r="V667" i="8"/>
  <c r="V666" i="8"/>
  <c r="V665" i="8"/>
  <c r="V664" i="8"/>
  <c r="V663" i="8"/>
  <c r="V662" i="8"/>
  <c r="V661" i="8"/>
  <c r="V660" i="8"/>
  <c r="V659" i="8"/>
  <c r="V658" i="8"/>
  <c r="V657" i="8"/>
  <c r="V656" i="8"/>
  <c r="V655" i="8"/>
  <c r="V654" i="8"/>
  <c r="V653" i="8"/>
  <c r="V652" i="8"/>
  <c r="V651" i="8"/>
  <c r="V650" i="8"/>
  <c r="V649" i="8"/>
  <c r="V648" i="8"/>
  <c r="V647" i="8"/>
  <c r="V646" i="8"/>
  <c r="V645" i="8"/>
  <c r="V644" i="8"/>
  <c r="V643" i="8"/>
  <c r="V642" i="8"/>
  <c r="V641" i="8"/>
  <c r="V640" i="8"/>
  <c r="V639" i="8"/>
  <c r="V638" i="8"/>
  <c r="V637" i="8"/>
  <c r="V636" i="8"/>
  <c r="V635" i="8"/>
  <c r="V634" i="8"/>
  <c r="V633" i="8"/>
  <c r="V632" i="8"/>
  <c r="V631" i="8"/>
  <c r="V630" i="8"/>
  <c r="V629" i="8"/>
  <c r="V628" i="8"/>
  <c r="V627" i="8"/>
  <c r="V626" i="8"/>
  <c r="V625" i="8"/>
  <c r="V624" i="8"/>
  <c r="V623" i="8"/>
  <c r="V622" i="8"/>
  <c r="V621" i="8"/>
  <c r="V620" i="8"/>
  <c r="V619" i="8"/>
  <c r="V618" i="8"/>
  <c r="V617" i="8"/>
  <c r="V616" i="8"/>
  <c r="V615" i="8"/>
  <c r="V614" i="8"/>
  <c r="V613" i="8"/>
  <c r="V612" i="8"/>
  <c r="V611" i="8"/>
  <c r="V610" i="8"/>
  <c r="V609" i="8"/>
  <c r="V608" i="8"/>
  <c r="V607" i="8"/>
  <c r="V606" i="8"/>
  <c r="V605" i="8"/>
  <c r="V604" i="8"/>
  <c r="V603" i="8"/>
  <c r="V602" i="8"/>
  <c r="V601" i="8"/>
  <c r="V600" i="8"/>
  <c r="V599" i="8"/>
  <c r="V598" i="8"/>
  <c r="V597" i="8"/>
  <c r="V596" i="8"/>
  <c r="V595" i="8"/>
  <c r="V594" i="8"/>
  <c r="V593" i="8"/>
  <c r="V592" i="8"/>
  <c r="V591" i="8"/>
  <c r="V590" i="8"/>
  <c r="V589" i="8"/>
  <c r="V588" i="8"/>
  <c r="V587" i="8"/>
  <c r="V586" i="8"/>
  <c r="V585" i="8"/>
  <c r="V584" i="8"/>
  <c r="V583" i="8"/>
  <c r="V582" i="8"/>
  <c r="V581" i="8"/>
  <c r="V580" i="8"/>
  <c r="V579" i="8"/>
  <c r="V578" i="8"/>
  <c r="V577" i="8"/>
  <c r="V576" i="8"/>
  <c r="V575" i="8"/>
  <c r="V574" i="8"/>
  <c r="V573" i="8"/>
  <c r="V572" i="8"/>
  <c r="V571" i="8"/>
  <c r="V570" i="8"/>
  <c r="V569" i="8"/>
  <c r="V568" i="8"/>
  <c r="V567" i="8"/>
  <c r="V566" i="8"/>
  <c r="V565" i="8"/>
  <c r="V564" i="8"/>
  <c r="V563" i="8"/>
  <c r="V562" i="8"/>
  <c r="V561" i="8"/>
  <c r="V560" i="8"/>
  <c r="V559" i="8"/>
  <c r="V558" i="8"/>
  <c r="V557" i="8"/>
  <c r="V556" i="8"/>
  <c r="V555" i="8"/>
  <c r="V554" i="8"/>
  <c r="V553" i="8"/>
  <c r="V552" i="8"/>
  <c r="V551" i="8"/>
  <c r="V550" i="8"/>
  <c r="V549" i="8"/>
  <c r="V548" i="8"/>
  <c r="V547" i="8"/>
  <c r="V546" i="8"/>
  <c r="V545" i="8"/>
  <c r="V544" i="8"/>
  <c r="V543" i="8"/>
  <c r="V542" i="8"/>
  <c r="V541" i="8"/>
  <c r="V540" i="8"/>
  <c r="V539" i="8"/>
  <c r="V538" i="8"/>
  <c r="V537" i="8"/>
  <c r="V536" i="8"/>
  <c r="V535" i="8"/>
  <c r="V534" i="8"/>
  <c r="V533" i="8"/>
  <c r="V532" i="8"/>
  <c r="V531" i="8"/>
  <c r="V530" i="8"/>
  <c r="V529" i="8"/>
  <c r="V528" i="8"/>
  <c r="V527" i="8"/>
  <c r="V526" i="8"/>
  <c r="V525" i="8"/>
  <c r="V524" i="8"/>
  <c r="V523" i="8"/>
  <c r="V522" i="8"/>
  <c r="V521" i="8"/>
  <c r="V520" i="8"/>
  <c r="V519" i="8"/>
  <c r="V518" i="8"/>
  <c r="V517" i="8"/>
  <c r="V516" i="8"/>
  <c r="V515" i="8"/>
  <c r="V514" i="8"/>
  <c r="V513" i="8"/>
  <c r="V512" i="8"/>
  <c r="V511" i="8"/>
  <c r="V510" i="8"/>
  <c r="V509" i="8"/>
  <c r="V508" i="8"/>
  <c r="V507" i="8"/>
  <c r="V506" i="8"/>
  <c r="V505" i="8"/>
  <c r="V504" i="8"/>
  <c r="V503" i="8"/>
  <c r="V502" i="8"/>
  <c r="V501" i="8"/>
  <c r="V500" i="8"/>
  <c r="V499" i="8"/>
  <c r="V498" i="8"/>
  <c r="V497" i="8"/>
  <c r="V496" i="8"/>
  <c r="V495" i="8"/>
  <c r="V494" i="8"/>
  <c r="V493" i="8"/>
  <c r="V492" i="8"/>
  <c r="V491" i="8"/>
  <c r="V490" i="8"/>
  <c r="V489" i="8"/>
  <c r="V488" i="8"/>
  <c r="V487" i="8"/>
  <c r="V486" i="8"/>
  <c r="V485" i="8"/>
  <c r="V484" i="8"/>
  <c r="V483" i="8"/>
  <c r="V482" i="8"/>
  <c r="V481" i="8"/>
  <c r="V480" i="8"/>
  <c r="V479" i="8"/>
  <c r="V478" i="8"/>
  <c r="V477" i="8"/>
  <c r="V476" i="8"/>
  <c r="V475" i="8"/>
  <c r="V474" i="8"/>
  <c r="V473" i="8"/>
  <c r="V472" i="8"/>
  <c r="V471" i="8"/>
  <c r="V470" i="8"/>
  <c r="V469" i="8"/>
  <c r="V468" i="8"/>
  <c r="V467" i="8"/>
  <c r="V466" i="8"/>
  <c r="V465" i="8"/>
  <c r="V464" i="8"/>
  <c r="V463" i="8"/>
  <c r="V462" i="8"/>
  <c r="V461" i="8"/>
  <c r="V460" i="8"/>
  <c r="V459" i="8"/>
  <c r="V458" i="8"/>
  <c r="V457" i="8"/>
  <c r="V456" i="8"/>
  <c r="V455" i="8"/>
  <c r="V454" i="8"/>
  <c r="V453" i="8"/>
  <c r="V452" i="8"/>
  <c r="V451" i="8"/>
  <c r="V450" i="8"/>
  <c r="V449" i="8"/>
  <c r="V448" i="8"/>
  <c r="V447" i="8"/>
  <c r="V446" i="8"/>
  <c r="V445" i="8"/>
  <c r="V444" i="8"/>
  <c r="V443" i="8"/>
  <c r="V442" i="8"/>
  <c r="V441" i="8"/>
  <c r="V440" i="8"/>
  <c r="V439" i="8"/>
  <c r="V438" i="8"/>
  <c r="V437" i="8"/>
  <c r="V436" i="8"/>
  <c r="V435" i="8"/>
  <c r="V434" i="8"/>
  <c r="V433" i="8"/>
  <c r="V432" i="8"/>
  <c r="V431" i="8"/>
  <c r="V430" i="8"/>
  <c r="V429" i="8"/>
  <c r="V428" i="8"/>
  <c r="V427" i="8"/>
  <c r="V426" i="8"/>
  <c r="V425" i="8"/>
  <c r="V424" i="8"/>
  <c r="V423" i="8"/>
  <c r="V422" i="8"/>
  <c r="V421" i="8"/>
  <c r="V420" i="8"/>
  <c r="V419" i="8"/>
  <c r="V418" i="8"/>
  <c r="V417" i="8"/>
  <c r="V416" i="8"/>
  <c r="V415" i="8"/>
  <c r="V414" i="8"/>
  <c r="V413" i="8"/>
  <c r="V412" i="8"/>
  <c r="V411" i="8"/>
  <c r="V410" i="8"/>
  <c r="V409" i="8"/>
  <c r="V408" i="8"/>
  <c r="V407" i="8"/>
  <c r="V406" i="8"/>
  <c r="V405" i="8"/>
  <c r="V404" i="8"/>
  <c r="V403" i="8"/>
  <c r="Y403" i="8" s="1"/>
  <c r="V402" i="8"/>
  <c r="V401" i="8"/>
  <c r="V400" i="8"/>
  <c r="V399" i="8"/>
  <c r="V398" i="8"/>
  <c r="V397" i="8"/>
  <c r="V396" i="8"/>
  <c r="V395" i="8"/>
  <c r="V394" i="8"/>
  <c r="V393" i="8"/>
  <c r="V392" i="8"/>
  <c r="V391" i="8"/>
  <c r="V390" i="8"/>
  <c r="V389" i="8"/>
  <c r="V388" i="8"/>
  <c r="V387" i="8"/>
  <c r="V386" i="8"/>
  <c r="V385" i="8"/>
  <c r="V384" i="8"/>
  <c r="V383" i="8"/>
  <c r="V382" i="8"/>
  <c r="V381" i="8"/>
  <c r="V380" i="8"/>
  <c r="V379" i="8"/>
  <c r="V378" i="8"/>
  <c r="V377" i="8"/>
  <c r="V376" i="8"/>
  <c r="V375" i="8"/>
  <c r="V374" i="8"/>
  <c r="V373" i="8"/>
  <c r="V372" i="8"/>
  <c r="V371" i="8"/>
  <c r="V370" i="8"/>
  <c r="V369" i="8"/>
  <c r="V368" i="8"/>
  <c r="V367" i="8"/>
  <c r="V366" i="8"/>
  <c r="V365" i="8"/>
  <c r="V364" i="8"/>
  <c r="V363" i="8"/>
  <c r="V362" i="8"/>
  <c r="V361" i="8"/>
  <c r="V360" i="8"/>
  <c r="V359" i="8"/>
  <c r="V358" i="8"/>
  <c r="V357" i="8"/>
  <c r="V356" i="8"/>
  <c r="V355" i="8"/>
  <c r="V354" i="8"/>
  <c r="V353" i="8"/>
  <c r="V352" i="8"/>
  <c r="V351" i="8"/>
  <c r="V350" i="8"/>
  <c r="V349" i="8"/>
  <c r="V348" i="8"/>
  <c r="V347" i="8"/>
  <c r="V346" i="8"/>
  <c r="V345" i="8"/>
  <c r="V344" i="8"/>
  <c r="V343" i="8"/>
  <c r="V342" i="8"/>
  <c r="V341" i="8"/>
  <c r="V340" i="8"/>
  <c r="V339" i="8"/>
  <c r="V338" i="8"/>
  <c r="V337" i="8"/>
  <c r="V336" i="8"/>
  <c r="V335" i="8"/>
  <c r="V334" i="8"/>
  <c r="V333" i="8"/>
  <c r="V332" i="8"/>
  <c r="V331" i="8"/>
  <c r="V330" i="8"/>
  <c r="V329" i="8"/>
  <c r="V328" i="8"/>
  <c r="V327" i="8"/>
  <c r="V326" i="8"/>
  <c r="V325" i="8"/>
  <c r="V324" i="8"/>
  <c r="V323" i="8"/>
  <c r="V322" i="8"/>
  <c r="V321" i="8"/>
  <c r="V320" i="8"/>
  <c r="V319" i="8"/>
  <c r="V318" i="8"/>
  <c r="V317" i="8"/>
  <c r="V316" i="8"/>
  <c r="V315" i="8"/>
  <c r="V314" i="8"/>
  <c r="V313" i="8"/>
  <c r="V312" i="8"/>
  <c r="V311" i="8"/>
  <c r="V310" i="8"/>
  <c r="V309" i="8"/>
  <c r="V308" i="8"/>
  <c r="V307" i="8"/>
  <c r="V306" i="8"/>
  <c r="V305" i="8"/>
  <c r="V304" i="8"/>
  <c r="V303" i="8"/>
  <c r="V302" i="8"/>
  <c r="V301" i="8"/>
  <c r="V300" i="8"/>
  <c r="V299" i="8"/>
  <c r="V298" i="8"/>
  <c r="V297" i="8"/>
  <c r="V296" i="8"/>
  <c r="V295" i="8"/>
  <c r="V294" i="8"/>
  <c r="V293" i="8"/>
  <c r="V292" i="8"/>
  <c r="V291" i="8"/>
  <c r="V290" i="8"/>
  <c r="V289" i="8"/>
  <c r="V288" i="8"/>
  <c r="V287" i="8"/>
  <c r="V286" i="8"/>
  <c r="V285" i="8"/>
  <c r="V284" i="8"/>
  <c r="V283" i="8"/>
  <c r="V282" i="8"/>
  <c r="V281" i="8"/>
  <c r="V280" i="8"/>
  <c r="V279" i="8"/>
  <c r="V278" i="8"/>
  <c r="V277" i="8"/>
  <c r="V276" i="8"/>
  <c r="V275" i="8"/>
  <c r="V274" i="8"/>
  <c r="V273" i="8"/>
  <c r="V272" i="8"/>
  <c r="V271" i="8"/>
  <c r="V270" i="8"/>
  <c r="V269" i="8"/>
  <c r="V268" i="8"/>
  <c r="V267" i="8"/>
  <c r="V266" i="8"/>
  <c r="V265" i="8"/>
  <c r="V264" i="8"/>
  <c r="V263" i="8"/>
  <c r="V262" i="8"/>
  <c r="V261" i="8"/>
  <c r="V260" i="8"/>
  <c r="V259" i="8"/>
  <c r="V258" i="8"/>
  <c r="V257" i="8"/>
  <c r="V256" i="8"/>
  <c r="V255" i="8"/>
  <c r="V254" i="8"/>
  <c r="V253" i="8"/>
  <c r="V252" i="8"/>
  <c r="V251" i="8"/>
  <c r="V250" i="8"/>
  <c r="V249" i="8"/>
  <c r="V248" i="8"/>
  <c r="V247" i="8"/>
  <c r="V246" i="8"/>
  <c r="V245" i="8"/>
  <c r="V244" i="8"/>
  <c r="V243" i="8"/>
  <c r="V242" i="8"/>
  <c r="V241" i="8"/>
  <c r="V240" i="8"/>
  <c r="V239" i="8"/>
  <c r="V238" i="8"/>
  <c r="V237" i="8"/>
  <c r="V236" i="8"/>
  <c r="V235" i="8"/>
  <c r="V234" i="8"/>
  <c r="V233" i="8"/>
  <c r="V232" i="8"/>
  <c r="V231" i="8"/>
  <c r="V230" i="8"/>
  <c r="V229" i="8"/>
  <c r="V228" i="8"/>
  <c r="V227" i="8"/>
  <c r="V226" i="8"/>
  <c r="V225" i="8"/>
  <c r="V224" i="8"/>
  <c r="V223" i="8"/>
  <c r="V222" i="8"/>
  <c r="V221" i="8"/>
  <c r="V220" i="8"/>
  <c r="V219" i="8"/>
  <c r="V218" i="8"/>
  <c r="V217" i="8"/>
  <c r="V216" i="8"/>
  <c r="V215" i="8"/>
  <c r="V214" i="8"/>
  <c r="V213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183" i="8"/>
  <c r="V182" i="8"/>
  <c r="V181" i="8"/>
  <c r="V180" i="8"/>
  <c r="V179" i="8"/>
  <c r="V178" i="8"/>
  <c r="V177" i="8"/>
  <c r="V176" i="8"/>
  <c r="V175" i="8"/>
  <c r="V174" i="8"/>
  <c r="V173" i="8"/>
  <c r="V172" i="8"/>
  <c r="V171" i="8"/>
  <c r="V170" i="8"/>
  <c r="V169" i="8"/>
  <c r="V168" i="8"/>
  <c r="V167" i="8"/>
  <c r="V166" i="8"/>
  <c r="V165" i="8"/>
  <c r="V164" i="8"/>
  <c r="V163" i="8"/>
  <c r="V162" i="8"/>
  <c r="V161" i="8"/>
  <c r="V160" i="8"/>
  <c r="V159" i="8"/>
  <c r="V158" i="8"/>
  <c r="V157" i="8"/>
  <c r="V156" i="8"/>
  <c r="V155" i="8"/>
  <c r="V154" i="8"/>
  <c r="V153" i="8"/>
  <c r="V152" i="8"/>
  <c r="V151" i="8"/>
  <c r="V150" i="8"/>
  <c r="V149" i="8"/>
  <c r="V148" i="8"/>
  <c r="V147" i="8"/>
  <c r="V146" i="8"/>
  <c r="V145" i="8"/>
  <c r="V144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V73" i="8"/>
  <c r="V72" i="8"/>
  <c r="V71" i="8"/>
  <c r="V70" i="8"/>
  <c r="V69" i="8"/>
  <c r="V68" i="8"/>
  <c r="V67" i="8"/>
  <c r="V66" i="8"/>
  <c r="V65" i="8"/>
  <c r="V64" i="8"/>
  <c r="V63" i="8"/>
  <c r="V62" i="8"/>
  <c r="V61" i="8"/>
  <c r="V60" i="8"/>
  <c r="V59" i="8"/>
  <c r="V58" i="8"/>
  <c r="V57" i="8"/>
  <c r="V56" i="8"/>
  <c r="V55" i="8"/>
  <c r="V54" i="8"/>
  <c r="V53" i="8"/>
  <c r="V52" i="8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T629" i="8" l="1"/>
  <c r="T3" i="8"/>
  <c r="W21" i="8"/>
  <c r="W19" i="8"/>
  <c r="W25" i="8"/>
  <c r="W301" i="8"/>
  <c r="W15" i="8"/>
  <c r="W269" i="8"/>
  <c r="W3" i="8"/>
  <c r="W29" i="8"/>
  <c r="W88" i="8"/>
  <c r="W176" i="8"/>
  <c r="W333" i="8"/>
  <c r="W120" i="8"/>
  <c r="W7" i="8"/>
  <c r="W104" i="8"/>
  <c r="T167" i="8"/>
  <c r="W169" i="8"/>
  <c r="W11" i="8"/>
  <c r="W33" i="8"/>
  <c r="W72" i="8"/>
  <c r="W136" i="8"/>
  <c r="T190" i="8"/>
  <c r="W365" i="8"/>
  <c r="W397" i="8"/>
  <c r="W429" i="8"/>
  <c r="T481" i="8"/>
  <c r="T545" i="8"/>
  <c r="T613" i="8"/>
  <c r="T6" i="8"/>
  <c r="T10" i="8"/>
  <c r="T14" i="8"/>
  <c r="T18" i="8"/>
  <c r="T22" i="8"/>
  <c r="T26" i="8"/>
  <c r="T30" i="8"/>
  <c r="T34" i="8"/>
  <c r="W36" i="8"/>
  <c r="W41" i="8"/>
  <c r="W44" i="8"/>
  <c r="W49" i="8"/>
  <c r="W52" i="8"/>
  <c r="W57" i="8"/>
  <c r="W60" i="8"/>
  <c r="W76" i="8"/>
  <c r="W92" i="8"/>
  <c r="W108" i="8"/>
  <c r="W124" i="8"/>
  <c r="W140" i="8"/>
  <c r="T151" i="8"/>
  <c r="W153" i="8"/>
  <c r="W160" i="8"/>
  <c r="T174" i="8"/>
  <c r="W245" i="8"/>
  <c r="W277" i="8"/>
  <c r="W309" i="8"/>
  <c r="W341" i="8"/>
  <c r="W373" i="8"/>
  <c r="W405" i="8"/>
  <c r="W437" i="8"/>
  <c r="T497" i="8"/>
  <c r="T565" i="8"/>
  <c r="T635" i="8"/>
  <c r="T619" i="8"/>
  <c r="T603" i="8"/>
  <c r="T587" i="8"/>
  <c r="T571" i="8"/>
  <c r="T535" i="8"/>
  <c r="T519" i="8"/>
  <c r="T503" i="8"/>
  <c r="T487" i="8"/>
  <c r="T471" i="8"/>
  <c r="W455" i="8"/>
  <c r="W447" i="8"/>
  <c r="W439" i="8"/>
  <c r="W431" i="8"/>
  <c r="W423" i="8"/>
  <c r="W415" i="8"/>
  <c r="W407" i="8"/>
  <c r="W399" i="8"/>
  <c r="W391" i="8"/>
  <c r="W383" i="8"/>
  <c r="W375" i="8"/>
  <c r="W367" i="8"/>
  <c r="W359" i="8"/>
  <c r="W351" i="8"/>
  <c r="W343" i="8"/>
  <c r="W335" i="8"/>
  <c r="W327" i="8"/>
  <c r="W319" i="8"/>
  <c r="W311" i="8"/>
  <c r="W303" i="8"/>
  <c r="W295" i="8"/>
  <c r="W287" i="8"/>
  <c r="W279" i="8"/>
  <c r="W271" i="8"/>
  <c r="W263" i="8"/>
  <c r="W255" i="8"/>
  <c r="W247" i="8"/>
  <c r="T234" i="8"/>
  <c r="T226" i="8"/>
  <c r="T218" i="8"/>
  <c r="T213" i="8"/>
  <c r="T210" i="8"/>
  <c r="T205" i="8"/>
  <c r="T202" i="8"/>
  <c r="T197" i="8"/>
  <c r="T194" i="8"/>
  <c r="W189" i="8"/>
  <c r="T187" i="8"/>
  <c r="T178" i="8"/>
  <c r="W173" i="8"/>
  <c r="T171" i="8"/>
  <c r="T162" i="8"/>
  <c r="W157" i="8"/>
  <c r="T155" i="8"/>
  <c r="T146" i="8"/>
  <c r="T142" i="8"/>
  <c r="T138" i="8"/>
  <c r="T134" i="8"/>
  <c r="T130" i="8"/>
  <c r="T126" i="8"/>
  <c r="T122" i="8"/>
  <c r="T118" i="8"/>
  <c r="T114" i="8"/>
  <c r="T110" i="8"/>
  <c r="T106" i="8"/>
  <c r="T102" i="8"/>
  <c r="T98" i="8"/>
  <c r="T94" i="8"/>
  <c r="T90" i="8"/>
  <c r="T86" i="8"/>
  <c r="T82" i="8"/>
  <c r="T78" i="8"/>
  <c r="T74" i="8"/>
  <c r="T70" i="8"/>
  <c r="T66" i="8"/>
  <c r="T62" i="8"/>
  <c r="T58" i="8"/>
  <c r="T54" i="8"/>
  <c r="T50" i="8"/>
  <c r="T46" i="8"/>
  <c r="T42" i="8"/>
  <c r="T38" i="8"/>
  <c r="T621" i="8"/>
  <c r="T605" i="8"/>
  <c r="T589" i="8"/>
  <c r="T573" i="8"/>
  <c r="T557" i="8"/>
  <c r="W553" i="8"/>
  <c r="T537" i="8"/>
  <c r="T521" i="8"/>
  <c r="T505" i="8"/>
  <c r="T489" i="8"/>
  <c r="T473" i="8"/>
  <c r="W457" i="8"/>
  <c r="W449" i="8"/>
  <c r="W441" i="8"/>
  <c r="W433" i="8"/>
  <c r="W425" i="8"/>
  <c r="W417" i="8"/>
  <c r="W409" i="8"/>
  <c r="W401" i="8"/>
  <c r="W393" i="8"/>
  <c r="W385" i="8"/>
  <c r="W377" i="8"/>
  <c r="W369" i="8"/>
  <c r="W361" i="8"/>
  <c r="W353" i="8"/>
  <c r="W345" i="8"/>
  <c r="W337" i="8"/>
  <c r="W329" i="8"/>
  <c r="W321" i="8"/>
  <c r="W313" i="8"/>
  <c r="W305" i="8"/>
  <c r="W297" i="8"/>
  <c r="W289" i="8"/>
  <c r="W281" i="8"/>
  <c r="W273" i="8"/>
  <c r="W265" i="8"/>
  <c r="W257" i="8"/>
  <c r="W249" i="8"/>
  <c r="W241" i="8"/>
  <c r="W235" i="8"/>
  <c r="W233" i="8"/>
  <c r="W227" i="8"/>
  <c r="W225" i="8"/>
  <c r="W219" i="8"/>
  <c r="W217" i="8"/>
  <c r="T215" i="8"/>
  <c r="W209" i="8"/>
  <c r="T207" i="8"/>
  <c r="W201" i="8"/>
  <c r="T199" i="8"/>
  <c r="W193" i="8"/>
  <c r="T191" i="8"/>
  <c r="T182" i="8"/>
  <c r="W177" i="8"/>
  <c r="T175" i="8"/>
  <c r="T166" i="8"/>
  <c r="W161" i="8"/>
  <c r="T159" i="8"/>
  <c r="T150" i="8"/>
  <c r="W145" i="8"/>
  <c r="W141" i="8"/>
  <c r="W137" i="8"/>
  <c r="W133" i="8"/>
  <c r="W129" i="8"/>
  <c r="W125" i="8"/>
  <c r="W121" i="8"/>
  <c r="W117" i="8"/>
  <c r="W113" i="8"/>
  <c r="W109" i="8"/>
  <c r="W105" i="8"/>
  <c r="W101" i="8"/>
  <c r="W97" i="8"/>
  <c r="W93" i="8"/>
  <c r="W89" i="8"/>
  <c r="W85" i="8"/>
  <c r="W81" i="8"/>
  <c r="W77" i="8"/>
  <c r="W73" i="8"/>
  <c r="W69" i="8"/>
  <c r="W65" i="8"/>
  <c r="W61" i="8"/>
  <c r="T627" i="8"/>
  <c r="T611" i="8"/>
  <c r="T595" i="8"/>
  <c r="T579" i="8"/>
  <c r="T563" i="8"/>
  <c r="T543" i="8"/>
  <c r="T527" i="8"/>
  <c r="T511" i="8"/>
  <c r="T495" i="8"/>
  <c r="T479" i="8"/>
  <c r="T463" i="8"/>
  <c r="W459" i="8"/>
  <c r="W451" i="8"/>
  <c r="W443" i="8"/>
  <c r="W435" i="8"/>
  <c r="W427" i="8"/>
  <c r="W419" i="8"/>
  <c r="W411" i="8"/>
  <c r="W403" i="8"/>
  <c r="W395" i="8"/>
  <c r="W387" i="8"/>
  <c r="W379" i="8"/>
  <c r="W371" i="8"/>
  <c r="W363" i="8"/>
  <c r="W355" i="8"/>
  <c r="W347" i="8"/>
  <c r="W339" i="8"/>
  <c r="W331" i="8"/>
  <c r="W323" i="8"/>
  <c r="W315" i="8"/>
  <c r="W307" i="8"/>
  <c r="W299" i="8"/>
  <c r="W291" i="8"/>
  <c r="W283" i="8"/>
  <c r="W275" i="8"/>
  <c r="W267" i="8"/>
  <c r="W259" i="8"/>
  <c r="W251" i="8"/>
  <c r="W243" i="8"/>
  <c r="W237" i="8"/>
  <c r="W229" i="8"/>
  <c r="W221" i="8"/>
  <c r="T186" i="8"/>
  <c r="W181" i="8"/>
  <c r="T179" i="8"/>
  <c r="T170" i="8"/>
  <c r="W165" i="8"/>
  <c r="T163" i="8"/>
  <c r="T154" i="8"/>
  <c r="W149" i="8"/>
  <c r="T147" i="8"/>
  <c r="T143" i="8"/>
  <c r="T139" i="8"/>
  <c r="T135" i="8"/>
  <c r="T131" i="8"/>
  <c r="T127" i="8"/>
  <c r="T123" i="8"/>
  <c r="T119" i="8"/>
  <c r="T115" i="8"/>
  <c r="T111" i="8"/>
  <c r="T107" i="8"/>
  <c r="T103" i="8"/>
  <c r="T99" i="8"/>
  <c r="T95" i="8"/>
  <c r="T91" i="8"/>
  <c r="T87" i="8"/>
  <c r="T83" i="8"/>
  <c r="T79" i="8"/>
  <c r="T75" i="8"/>
  <c r="T71" i="8"/>
  <c r="T67" i="8"/>
  <c r="T63" i="8"/>
  <c r="T59" i="8"/>
  <c r="T55" i="8"/>
  <c r="T51" i="8"/>
  <c r="T47" i="8"/>
  <c r="T43" i="8"/>
  <c r="T39" i="8"/>
  <c r="T35" i="8"/>
  <c r="W4" i="8"/>
  <c r="W8" i="8"/>
  <c r="W12" i="8"/>
  <c r="W16" i="8"/>
  <c r="W20" i="8"/>
  <c r="W24" i="8"/>
  <c r="W28" i="8"/>
  <c r="W32" i="8"/>
  <c r="W64" i="8"/>
  <c r="W80" i="8"/>
  <c r="W96" i="8"/>
  <c r="W112" i="8"/>
  <c r="W128" i="8"/>
  <c r="W144" i="8"/>
  <c r="T158" i="8"/>
  <c r="W253" i="8"/>
  <c r="W285" i="8"/>
  <c r="W317" i="8"/>
  <c r="W349" i="8"/>
  <c r="W381" i="8"/>
  <c r="W413" i="8"/>
  <c r="W445" i="8"/>
  <c r="T513" i="8"/>
  <c r="T581" i="8"/>
  <c r="T5" i="8"/>
  <c r="T9" i="8"/>
  <c r="T13" i="8"/>
  <c r="T17" i="8"/>
  <c r="T23" i="8"/>
  <c r="T27" i="8"/>
  <c r="T31" i="8"/>
  <c r="W37" i="8"/>
  <c r="W40" i="8"/>
  <c r="W45" i="8"/>
  <c r="W48" i="8"/>
  <c r="W53" i="8"/>
  <c r="W56" i="8"/>
  <c r="W68" i="8"/>
  <c r="W84" i="8"/>
  <c r="W100" i="8"/>
  <c r="W116" i="8"/>
  <c r="W132" i="8"/>
  <c r="T183" i="8"/>
  <c r="W185" i="8"/>
  <c r="W192" i="8"/>
  <c r="W200" i="8"/>
  <c r="W208" i="8"/>
  <c r="W216" i="8"/>
  <c r="W224" i="8"/>
  <c r="W232" i="8"/>
  <c r="W240" i="8"/>
  <c r="W261" i="8"/>
  <c r="W293" i="8"/>
  <c r="W325" i="8"/>
  <c r="W357" i="8"/>
  <c r="W389" i="8"/>
  <c r="W421" i="8"/>
  <c r="W453" i="8"/>
  <c r="T465" i="8"/>
  <c r="T529" i="8"/>
  <c r="T597" i="8"/>
  <c r="W156" i="8"/>
  <c r="W172" i="8"/>
  <c r="W188" i="8"/>
  <c r="W195" i="8"/>
  <c r="W203" i="8"/>
  <c r="W211" i="8"/>
  <c r="W152" i="8"/>
  <c r="W168" i="8"/>
  <c r="W184" i="8"/>
  <c r="W148" i="8"/>
  <c r="W164" i="8"/>
  <c r="W180" i="8"/>
  <c r="W549" i="2"/>
  <c r="W613" i="2"/>
  <c r="W677" i="2"/>
  <c r="W741" i="2"/>
  <c r="W565" i="2"/>
  <c r="W629" i="2"/>
  <c r="W693" i="2"/>
  <c r="W757" i="2"/>
  <c r="W581" i="2"/>
  <c r="W645" i="2"/>
  <c r="W709" i="2"/>
  <c r="W803" i="2"/>
  <c r="W799" i="2"/>
  <c r="W795" i="2"/>
  <c r="W791" i="2"/>
  <c r="W787" i="2"/>
  <c r="W783" i="2"/>
  <c r="W779" i="2"/>
  <c r="W775" i="2"/>
  <c r="W771" i="2"/>
  <c r="W767" i="2"/>
  <c r="W763" i="2"/>
  <c r="W759" i="2"/>
  <c r="W755" i="2"/>
  <c r="W751" i="2"/>
  <c r="W747" i="2"/>
  <c r="W743" i="2"/>
  <c r="W739" i="2"/>
  <c r="W735" i="2"/>
  <c r="W731" i="2"/>
  <c r="W727" i="2"/>
  <c r="W723" i="2"/>
  <c r="W719" i="2"/>
  <c r="W715" i="2"/>
  <c r="W711" i="2"/>
  <c r="W707" i="2"/>
  <c r="W703" i="2"/>
  <c r="W699" i="2"/>
  <c r="W695" i="2"/>
  <c r="W691" i="2"/>
  <c r="W687" i="2"/>
  <c r="W683" i="2"/>
  <c r="W679" i="2"/>
  <c r="W675" i="2"/>
  <c r="W671" i="2"/>
  <c r="W667" i="2"/>
  <c r="W663" i="2"/>
  <c r="W659" i="2"/>
  <c r="W655" i="2"/>
  <c r="W651" i="2"/>
  <c r="W647" i="2"/>
  <c r="W643" i="2"/>
  <c r="W639" i="2"/>
  <c r="W635" i="2"/>
  <c r="W631" i="2"/>
  <c r="W627" i="2"/>
  <c r="W623" i="2"/>
  <c r="W619" i="2"/>
  <c r="W615" i="2"/>
  <c r="W611" i="2"/>
  <c r="W607" i="2"/>
  <c r="W603" i="2"/>
  <c r="W599" i="2"/>
  <c r="W595" i="2"/>
  <c r="W591" i="2"/>
  <c r="W587" i="2"/>
  <c r="W583" i="2"/>
  <c r="W579" i="2"/>
  <c r="W575" i="2"/>
  <c r="W571" i="2"/>
  <c r="W567" i="2"/>
  <c r="W563" i="2"/>
  <c r="W559" i="2"/>
  <c r="W555" i="2"/>
  <c r="W551" i="2"/>
  <c r="W547" i="2"/>
  <c r="W543" i="2"/>
  <c r="W539" i="2"/>
  <c r="W535" i="2"/>
  <c r="W802" i="2"/>
  <c r="W798" i="2"/>
  <c r="W794" i="2"/>
  <c r="W790" i="2"/>
  <c r="W786" i="2"/>
  <c r="W782" i="2"/>
  <c r="W778" i="2"/>
  <c r="W774" i="2"/>
  <c r="W770" i="2"/>
  <c r="W766" i="2"/>
  <c r="W762" i="2"/>
  <c r="W758" i="2"/>
  <c r="W754" i="2"/>
  <c r="W750" i="2"/>
  <c r="W746" i="2"/>
  <c r="W742" i="2"/>
  <c r="W738" i="2"/>
  <c r="W734" i="2"/>
  <c r="W730" i="2"/>
  <c r="W726" i="2"/>
  <c r="W722" i="2"/>
  <c r="W718" i="2"/>
  <c r="W714" i="2"/>
  <c r="W710" i="2"/>
  <c r="W706" i="2"/>
  <c r="W702" i="2"/>
  <c r="W698" i="2"/>
  <c r="W694" i="2"/>
  <c r="W690" i="2"/>
  <c r="W686" i="2"/>
  <c r="W682" i="2"/>
  <c r="W678" i="2"/>
  <c r="W674" i="2"/>
  <c r="W670" i="2"/>
  <c r="W666" i="2"/>
  <c r="W662" i="2"/>
  <c r="W658" i="2"/>
  <c r="W654" i="2"/>
  <c r="W650" i="2"/>
  <c r="W646" i="2"/>
  <c r="W642" i="2"/>
  <c r="W638" i="2"/>
  <c r="W634" i="2"/>
  <c r="W630" i="2"/>
  <c r="W626" i="2"/>
  <c r="W622" i="2"/>
  <c r="W618" i="2"/>
  <c r="W614" i="2"/>
  <c r="W610" i="2"/>
  <c r="W606" i="2"/>
  <c r="W602" i="2"/>
  <c r="W598" i="2"/>
  <c r="W594" i="2"/>
  <c r="W590" i="2"/>
  <c r="W586" i="2"/>
  <c r="W582" i="2"/>
  <c r="W578" i="2"/>
  <c r="W574" i="2"/>
  <c r="W570" i="2"/>
  <c r="W566" i="2"/>
  <c r="W562" i="2"/>
  <c r="W558" i="2"/>
  <c r="W554" i="2"/>
  <c r="W550" i="2"/>
  <c r="W546" i="2"/>
  <c r="W542" i="2"/>
  <c r="W538" i="2"/>
  <c r="W534" i="2"/>
  <c r="W800" i="2"/>
  <c r="W796" i="2"/>
  <c r="W792" i="2"/>
  <c r="W788" i="2"/>
  <c r="W784" i="2"/>
  <c r="W780" i="2"/>
  <c r="W776" i="2"/>
  <c r="W772" i="2"/>
  <c r="W768" i="2"/>
  <c r="W764" i="2"/>
  <c r="W760" i="2"/>
  <c r="W756" i="2"/>
  <c r="W752" i="2"/>
  <c r="W748" i="2"/>
  <c r="W744" i="2"/>
  <c r="W740" i="2"/>
  <c r="W736" i="2"/>
  <c r="W732" i="2"/>
  <c r="W728" i="2"/>
  <c r="W724" i="2"/>
  <c r="W720" i="2"/>
  <c r="W716" i="2"/>
  <c r="W712" i="2"/>
  <c r="W708" i="2"/>
  <c r="W704" i="2"/>
  <c r="W700" i="2"/>
  <c r="W696" i="2"/>
  <c r="W692" i="2"/>
  <c r="W688" i="2"/>
  <c r="W684" i="2"/>
  <c r="W680" i="2"/>
  <c r="W676" i="2"/>
  <c r="W672" i="2"/>
  <c r="W668" i="2"/>
  <c r="W664" i="2"/>
  <c r="W660" i="2"/>
  <c r="W656" i="2"/>
  <c r="W652" i="2"/>
  <c r="W648" i="2"/>
  <c r="W644" i="2"/>
  <c r="W640" i="2"/>
  <c r="W636" i="2"/>
  <c r="W632" i="2"/>
  <c r="W628" i="2"/>
  <c r="W624" i="2"/>
  <c r="W620" i="2"/>
  <c r="W616" i="2"/>
  <c r="W612" i="2"/>
  <c r="W608" i="2"/>
  <c r="W604" i="2"/>
  <c r="W600" i="2"/>
  <c r="W596" i="2"/>
  <c r="W592" i="2"/>
  <c r="W588" i="2"/>
  <c r="W584" i="2"/>
  <c r="W580" i="2"/>
  <c r="W576" i="2"/>
  <c r="W572" i="2"/>
  <c r="W568" i="2"/>
  <c r="W564" i="2"/>
  <c r="W560" i="2"/>
  <c r="W556" i="2"/>
  <c r="W552" i="2"/>
  <c r="W548" i="2"/>
  <c r="W544" i="2"/>
  <c r="W540" i="2"/>
  <c r="W536" i="2"/>
  <c r="W532" i="2"/>
  <c r="W801" i="2"/>
  <c r="W785" i="2"/>
  <c r="W769" i="2"/>
  <c r="W753" i="2"/>
  <c r="W737" i="2"/>
  <c r="W721" i="2"/>
  <c r="W705" i="2"/>
  <c r="W689" i="2"/>
  <c r="W673" i="2"/>
  <c r="W657" i="2"/>
  <c r="W641" i="2"/>
  <c r="W625" i="2"/>
  <c r="W609" i="2"/>
  <c r="W593" i="2"/>
  <c r="W577" i="2"/>
  <c r="W561" i="2"/>
  <c r="W545" i="2"/>
  <c r="W797" i="2"/>
  <c r="W781" i="2"/>
  <c r="W765" i="2"/>
  <c r="W749" i="2"/>
  <c r="W733" i="2"/>
  <c r="W717" i="2"/>
  <c r="W701" i="2"/>
  <c r="W685" i="2"/>
  <c r="W669" i="2"/>
  <c r="W653" i="2"/>
  <c r="W637" i="2"/>
  <c r="W621" i="2"/>
  <c r="W605" i="2"/>
  <c r="W589" i="2"/>
  <c r="W573" i="2"/>
  <c r="W557" i="2"/>
  <c r="W541" i="2"/>
  <c r="W793" i="2"/>
  <c r="W777" i="2"/>
  <c r="W761" i="2"/>
  <c r="W745" i="2"/>
  <c r="W729" i="2"/>
  <c r="W713" i="2"/>
  <c r="W697" i="2"/>
  <c r="W681" i="2"/>
  <c r="W665" i="2"/>
  <c r="W649" i="2"/>
  <c r="W633" i="2"/>
  <c r="W617" i="2"/>
  <c r="W601" i="2"/>
  <c r="W585" i="2"/>
  <c r="W569" i="2"/>
  <c r="W553" i="2"/>
  <c r="W537" i="2"/>
  <c r="W533" i="2"/>
  <c r="W597" i="2"/>
  <c r="W661" i="2"/>
  <c r="W725" i="2"/>
  <c r="W789" i="2"/>
  <c r="W803" i="8"/>
  <c r="T801" i="8"/>
  <c r="W799" i="8"/>
  <c r="T797" i="8"/>
  <c r="W795" i="8"/>
  <c r="T793" i="8"/>
  <c r="W791" i="8"/>
  <c r="T789" i="8"/>
  <c r="W787" i="8"/>
  <c r="T785" i="8"/>
  <c r="W783" i="8"/>
  <c r="T781" i="8"/>
  <c r="W779" i="8"/>
  <c r="T777" i="8"/>
  <c r="W775" i="8"/>
  <c r="T773" i="8"/>
  <c r="W771" i="8"/>
  <c r="T769" i="8"/>
  <c r="W767" i="8"/>
  <c r="T765" i="8"/>
  <c r="W763" i="8"/>
  <c r="T761" i="8"/>
  <c r="W759" i="8"/>
  <c r="T757" i="8"/>
  <c r="W755" i="8"/>
  <c r="T753" i="8"/>
  <c r="W751" i="8"/>
  <c r="T749" i="8"/>
  <c r="W747" i="8"/>
  <c r="T745" i="8"/>
  <c r="W743" i="8"/>
  <c r="T741" i="8"/>
  <c r="W739" i="8"/>
  <c r="T737" i="8"/>
  <c r="W735" i="8"/>
  <c r="T733" i="8"/>
  <c r="W731" i="8"/>
  <c r="T729" i="8"/>
  <c r="W727" i="8"/>
  <c r="T725" i="8"/>
  <c r="W723" i="8"/>
  <c r="T721" i="8"/>
  <c r="W719" i="8"/>
  <c r="T717" i="8"/>
  <c r="W715" i="8"/>
  <c r="T713" i="8"/>
  <c r="W711" i="8"/>
  <c r="T709" i="8"/>
  <c r="W707" i="8"/>
  <c r="T705" i="8"/>
  <c r="W703" i="8"/>
  <c r="T701" i="8"/>
  <c r="W699" i="8"/>
  <c r="T697" i="8"/>
  <c r="W695" i="8"/>
  <c r="T693" i="8"/>
  <c r="W691" i="8"/>
  <c r="T689" i="8"/>
  <c r="W687" i="8"/>
  <c r="T685" i="8"/>
  <c r="W683" i="8"/>
  <c r="T681" i="8"/>
  <c r="W679" i="8"/>
  <c r="T677" i="8"/>
  <c r="W675" i="8"/>
  <c r="T673" i="8"/>
  <c r="W671" i="8"/>
  <c r="T669" i="8"/>
  <c r="W667" i="8"/>
  <c r="T665" i="8"/>
  <c r="W663" i="8"/>
  <c r="T661" i="8"/>
  <c r="W659" i="8"/>
  <c r="T657" i="8"/>
  <c r="W655" i="8"/>
  <c r="T653" i="8"/>
  <c r="W651" i="8"/>
  <c r="T649" i="8"/>
  <c r="W647" i="8"/>
  <c r="T645" i="8"/>
  <c r="W643" i="8"/>
  <c r="T641" i="8"/>
  <c r="W639" i="8"/>
  <c r="T637" i="8"/>
  <c r="W635" i="8"/>
  <c r="T803" i="8"/>
  <c r="W801" i="8"/>
  <c r="T799" i="8"/>
  <c r="W797" i="8"/>
  <c r="T795" i="8"/>
  <c r="W793" i="8"/>
  <c r="T791" i="8"/>
  <c r="W789" i="8"/>
  <c r="T787" i="8"/>
  <c r="W785" i="8"/>
  <c r="T783" i="8"/>
  <c r="W781" i="8"/>
  <c r="T779" i="8"/>
  <c r="W777" i="8"/>
  <c r="T775" i="8"/>
  <c r="W773" i="8"/>
  <c r="T771" i="8"/>
  <c r="W769" i="8"/>
  <c r="T767" i="8"/>
  <c r="W765" i="8"/>
  <c r="T763" i="8"/>
  <c r="W761" i="8"/>
  <c r="T759" i="8"/>
  <c r="W757" i="8"/>
  <c r="T755" i="8"/>
  <c r="W753" i="8"/>
  <c r="T751" i="8"/>
  <c r="W749" i="8"/>
  <c r="T747" i="8"/>
  <c r="W745" i="8"/>
  <c r="T743" i="8"/>
  <c r="W741" i="8"/>
  <c r="T739" i="8"/>
  <c r="W737" i="8"/>
  <c r="T735" i="8"/>
  <c r="W733" i="8"/>
  <c r="T731" i="8"/>
  <c r="W729" i="8"/>
  <c r="T727" i="8"/>
  <c r="W725" i="8"/>
  <c r="T723" i="8"/>
  <c r="W721" i="8"/>
  <c r="T719" i="8"/>
  <c r="W717" i="8"/>
  <c r="T715" i="8"/>
  <c r="W713" i="8"/>
  <c r="T711" i="8"/>
  <c r="W709" i="8"/>
  <c r="T707" i="8"/>
  <c r="W705" i="8"/>
  <c r="T703" i="8"/>
  <c r="W701" i="8"/>
  <c r="T699" i="8"/>
  <c r="W697" i="8"/>
  <c r="T695" i="8"/>
  <c r="W693" i="8"/>
  <c r="T691" i="8"/>
  <c r="W689" i="8"/>
  <c r="T687" i="8"/>
  <c r="W685" i="8"/>
  <c r="T683" i="8"/>
  <c r="W681" i="8"/>
  <c r="T679" i="8"/>
  <c r="W677" i="8"/>
  <c r="T675" i="8"/>
  <c r="W673" i="8"/>
  <c r="T671" i="8"/>
  <c r="W669" i="8"/>
  <c r="T667" i="8"/>
  <c r="W665" i="8"/>
  <c r="T663" i="8"/>
  <c r="W661" i="8"/>
  <c r="T659" i="8"/>
  <c r="W657" i="8"/>
  <c r="T655" i="8"/>
  <c r="W653" i="8"/>
  <c r="T651" i="8"/>
  <c r="W649" i="8"/>
  <c r="T647" i="8"/>
  <c r="W645" i="8"/>
  <c r="T643" i="8"/>
  <c r="W641" i="8"/>
  <c r="T639" i="8"/>
  <c r="W637" i="8"/>
  <c r="W802" i="8"/>
  <c r="T800" i="8"/>
  <c r="W798" i="8"/>
  <c r="T796" i="8"/>
  <c r="W794" i="8"/>
  <c r="T792" i="8"/>
  <c r="W790" i="8"/>
  <c r="T788" i="8"/>
  <c r="W786" i="8"/>
  <c r="T784" i="8"/>
  <c r="W782" i="8"/>
  <c r="T780" i="8"/>
  <c r="W778" i="8"/>
  <c r="T776" i="8"/>
  <c r="W774" i="8"/>
  <c r="T772" i="8"/>
  <c r="W770" i="8"/>
  <c r="T768" i="8"/>
  <c r="W766" i="8"/>
  <c r="T764" i="8"/>
  <c r="W762" i="8"/>
  <c r="T760" i="8"/>
  <c r="W758" i="8"/>
  <c r="T756" i="8"/>
  <c r="W754" i="8"/>
  <c r="T752" i="8"/>
  <c r="W750" i="8"/>
  <c r="T748" i="8"/>
  <c r="W746" i="8"/>
  <c r="T744" i="8"/>
  <c r="W742" i="8"/>
  <c r="T740" i="8"/>
  <c r="W738" i="8"/>
  <c r="T736" i="8"/>
  <c r="W734" i="8"/>
  <c r="T732" i="8"/>
  <c r="W730" i="8"/>
  <c r="T728" i="8"/>
  <c r="W726" i="8"/>
  <c r="T724" i="8"/>
  <c r="W722" i="8"/>
  <c r="T720" i="8"/>
  <c r="W718" i="8"/>
  <c r="T716" i="8"/>
  <c r="W714" i="8"/>
  <c r="T712" i="8"/>
  <c r="W710" i="8"/>
  <c r="T708" i="8"/>
  <c r="W706" i="8"/>
  <c r="T704" i="8"/>
  <c r="W702" i="8"/>
  <c r="T700" i="8"/>
  <c r="W698" i="8"/>
  <c r="T696" i="8"/>
  <c r="W694" i="8"/>
  <c r="T692" i="8"/>
  <c r="W690" i="8"/>
  <c r="T688" i="8"/>
  <c r="W686" i="8"/>
  <c r="T684" i="8"/>
  <c r="W682" i="8"/>
  <c r="T680" i="8"/>
  <c r="W678" i="8"/>
  <c r="T676" i="8"/>
  <c r="W674" i="8"/>
  <c r="T672" i="8"/>
  <c r="W670" i="8"/>
  <c r="T668" i="8"/>
  <c r="W666" i="8"/>
  <c r="T664" i="8"/>
  <c r="W662" i="8"/>
  <c r="T660" i="8"/>
  <c r="W658" i="8"/>
  <c r="T656" i="8"/>
  <c r="W654" i="8"/>
  <c r="T652" i="8"/>
  <c r="W650" i="8"/>
  <c r="T648" i="8"/>
  <c r="W646" i="8"/>
  <c r="T644" i="8"/>
  <c r="W642" i="8"/>
  <c r="T640" i="8"/>
  <c r="W638" i="8"/>
  <c r="T636" i="8"/>
  <c r="W800" i="8"/>
  <c r="T798" i="8"/>
  <c r="W792" i="8"/>
  <c r="T790" i="8"/>
  <c r="W784" i="8"/>
  <c r="T782" i="8"/>
  <c r="W776" i="8"/>
  <c r="T774" i="8"/>
  <c r="W768" i="8"/>
  <c r="T766" i="8"/>
  <c r="W760" i="8"/>
  <c r="T758" i="8"/>
  <c r="W752" i="8"/>
  <c r="T750" i="8"/>
  <c r="W744" i="8"/>
  <c r="T742" i="8"/>
  <c r="W736" i="8"/>
  <c r="T734" i="8"/>
  <c r="W728" i="8"/>
  <c r="T726" i="8"/>
  <c r="W720" i="8"/>
  <c r="T718" i="8"/>
  <c r="W712" i="8"/>
  <c r="T710" i="8"/>
  <c r="W704" i="8"/>
  <c r="T702" i="8"/>
  <c r="W696" i="8"/>
  <c r="T694" i="8"/>
  <c r="W688" i="8"/>
  <c r="T686" i="8"/>
  <c r="W680" i="8"/>
  <c r="T678" i="8"/>
  <c r="W672" i="8"/>
  <c r="T670" i="8"/>
  <c r="W664" i="8"/>
  <c r="T662" i="8"/>
  <c r="W656" i="8"/>
  <c r="T654" i="8"/>
  <c r="W648" i="8"/>
  <c r="T646" i="8"/>
  <c r="W640" i="8"/>
  <c r="T638" i="8"/>
  <c r="T634" i="8"/>
  <c r="W632" i="8"/>
  <c r="T630" i="8"/>
  <c r="W628" i="8"/>
  <c r="T626" i="8"/>
  <c r="W624" i="8"/>
  <c r="T622" i="8"/>
  <c r="W620" i="8"/>
  <c r="T618" i="8"/>
  <c r="W616" i="8"/>
  <c r="T614" i="8"/>
  <c r="W612" i="8"/>
  <c r="T610" i="8"/>
  <c r="W608" i="8"/>
  <c r="T606" i="8"/>
  <c r="W604" i="8"/>
  <c r="T602" i="8"/>
  <c r="W600" i="8"/>
  <c r="T598" i="8"/>
  <c r="W596" i="8"/>
  <c r="T594" i="8"/>
  <c r="W592" i="8"/>
  <c r="T590" i="8"/>
  <c r="W588" i="8"/>
  <c r="T586" i="8"/>
  <c r="W584" i="8"/>
  <c r="T582" i="8"/>
  <c r="W580" i="8"/>
  <c r="T578" i="8"/>
  <c r="W576" i="8"/>
  <c r="T574" i="8"/>
  <c r="W572" i="8"/>
  <c r="T570" i="8"/>
  <c r="W568" i="8"/>
  <c r="T566" i="8"/>
  <c r="W564" i="8"/>
  <c r="T562" i="8"/>
  <c r="W560" i="8"/>
  <c r="T558" i="8"/>
  <c r="T802" i="8"/>
  <c r="W796" i="8"/>
  <c r="T794" i="8"/>
  <c r="W788" i="8"/>
  <c r="T786" i="8"/>
  <c r="W780" i="8"/>
  <c r="T778" i="8"/>
  <c r="W772" i="8"/>
  <c r="T770" i="8"/>
  <c r="W764" i="8"/>
  <c r="T762" i="8"/>
  <c r="W756" i="8"/>
  <c r="T754" i="8"/>
  <c r="W748" i="8"/>
  <c r="T746" i="8"/>
  <c r="W740" i="8"/>
  <c r="T738" i="8"/>
  <c r="W732" i="8"/>
  <c r="T730" i="8"/>
  <c r="W724" i="8"/>
  <c r="T722" i="8"/>
  <c r="W716" i="8"/>
  <c r="T714" i="8"/>
  <c r="W708" i="8"/>
  <c r="T706" i="8"/>
  <c r="W700" i="8"/>
  <c r="T698" i="8"/>
  <c r="W692" i="8"/>
  <c r="T690" i="8"/>
  <c r="W684" i="8"/>
  <c r="T682" i="8"/>
  <c r="W676" i="8"/>
  <c r="T674" i="8"/>
  <c r="W668" i="8"/>
  <c r="T666" i="8"/>
  <c r="W660" i="8"/>
  <c r="T658" i="8"/>
  <c r="W652" i="8"/>
  <c r="T650" i="8"/>
  <c r="W644" i="8"/>
  <c r="T642" i="8"/>
  <c r="W636" i="8"/>
  <c r="W634" i="8"/>
  <c r="T632" i="8"/>
  <c r="W630" i="8"/>
  <c r="T628" i="8"/>
  <c r="W626" i="8"/>
  <c r="T624" i="8"/>
  <c r="W622" i="8"/>
  <c r="T620" i="8"/>
  <c r="W618" i="8"/>
  <c r="T616" i="8"/>
  <c r="W614" i="8"/>
  <c r="T612" i="8"/>
  <c r="W610" i="8"/>
  <c r="T608" i="8"/>
  <c r="W606" i="8"/>
  <c r="T604" i="8"/>
  <c r="W602" i="8"/>
  <c r="T600" i="8"/>
  <c r="W598" i="8"/>
  <c r="T596" i="8"/>
  <c r="W594" i="8"/>
  <c r="T592" i="8"/>
  <c r="W590" i="8"/>
  <c r="T588" i="8"/>
  <c r="W586" i="8"/>
  <c r="T584" i="8"/>
  <c r="W582" i="8"/>
  <c r="T580" i="8"/>
  <c r="W578" i="8"/>
  <c r="T576" i="8"/>
  <c r="W574" i="8"/>
  <c r="T572" i="8"/>
  <c r="W570" i="8"/>
  <c r="T568" i="8"/>
  <c r="W566" i="8"/>
  <c r="T564" i="8"/>
  <c r="W562" i="8"/>
  <c r="T560" i="8"/>
  <c r="W558" i="8"/>
  <c r="T556" i="8"/>
  <c r="W554" i="8"/>
  <c r="T552" i="8"/>
  <c r="W550" i="8"/>
  <c r="W555" i="8"/>
  <c r="T554" i="8"/>
  <c r="W552" i="8"/>
  <c r="T551" i="8"/>
  <c r="T548" i="8"/>
  <c r="W546" i="8"/>
  <c r="T544" i="8"/>
  <c r="W542" i="8"/>
  <c r="T540" i="8"/>
  <c r="W538" i="8"/>
  <c r="T536" i="8"/>
  <c r="W534" i="8"/>
  <c r="T532" i="8"/>
  <c r="W530" i="8"/>
  <c r="T528" i="8"/>
  <c r="W526" i="8"/>
  <c r="T524" i="8"/>
  <c r="W522" i="8"/>
  <c r="T520" i="8"/>
  <c r="W518" i="8"/>
  <c r="T516" i="8"/>
  <c r="W514" i="8"/>
  <c r="T512" i="8"/>
  <c r="W510" i="8"/>
  <c r="T508" i="8"/>
  <c r="W506" i="8"/>
  <c r="T504" i="8"/>
  <c r="W502" i="8"/>
  <c r="T500" i="8"/>
  <c r="W498" i="8"/>
  <c r="T496" i="8"/>
  <c r="W494" i="8"/>
  <c r="T492" i="8"/>
  <c r="W490" i="8"/>
  <c r="T488" i="8"/>
  <c r="W486" i="8"/>
  <c r="T484" i="8"/>
  <c r="W482" i="8"/>
  <c r="T480" i="8"/>
  <c r="W478" i="8"/>
  <c r="T476" i="8"/>
  <c r="W474" i="8"/>
  <c r="T472" i="8"/>
  <c r="W470" i="8"/>
  <c r="T468" i="8"/>
  <c r="W466" i="8"/>
  <c r="T464" i="8"/>
  <c r="W462" i="8"/>
  <c r="T460" i="8"/>
  <c r="W458" i="8"/>
  <c r="T456" i="8"/>
  <c r="W454" i="8"/>
  <c r="T452" i="8"/>
  <c r="W450" i="8"/>
  <c r="T448" i="8"/>
  <c r="W446" i="8"/>
  <c r="T444" i="8"/>
  <c r="W442" i="8"/>
  <c r="T440" i="8"/>
  <c r="W438" i="8"/>
  <c r="T436" i="8"/>
  <c r="W434" i="8"/>
  <c r="T432" i="8"/>
  <c r="W430" i="8"/>
  <c r="T428" i="8"/>
  <c r="W426" i="8"/>
  <c r="T424" i="8"/>
  <c r="W422" i="8"/>
  <c r="T420" i="8"/>
  <c r="W418" i="8"/>
  <c r="T416" i="8"/>
  <c r="W414" i="8"/>
  <c r="T412" i="8"/>
  <c r="W410" i="8"/>
  <c r="T408" i="8"/>
  <c r="W406" i="8"/>
  <c r="T404" i="8"/>
  <c r="W402" i="8"/>
  <c r="T400" i="8"/>
  <c r="W398" i="8"/>
  <c r="T396" i="8"/>
  <c r="W394" i="8"/>
  <c r="T392" i="8"/>
  <c r="W390" i="8"/>
  <c r="T388" i="8"/>
  <c r="W386" i="8"/>
  <c r="T384" i="8"/>
  <c r="W382" i="8"/>
  <c r="T380" i="8"/>
  <c r="W378" i="8"/>
  <c r="T376" i="8"/>
  <c r="W374" i="8"/>
  <c r="T372" i="8"/>
  <c r="W370" i="8"/>
  <c r="T368" i="8"/>
  <c r="W366" i="8"/>
  <c r="T364" i="8"/>
  <c r="W362" i="8"/>
  <c r="T360" i="8"/>
  <c r="W358" i="8"/>
  <c r="T356" i="8"/>
  <c r="W354" i="8"/>
  <c r="T352" i="8"/>
  <c r="W350" i="8"/>
  <c r="T348" i="8"/>
  <c r="W346" i="8"/>
  <c r="T344" i="8"/>
  <c r="W342" i="8"/>
  <c r="T340" i="8"/>
  <c r="W338" i="8"/>
  <c r="T336" i="8"/>
  <c r="W334" i="8"/>
  <c r="T332" i="8"/>
  <c r="W330" i="8"/>
  <c r="T328" i="8"/>
  <c r="W326" i="8"/>
  <c r="T324" i="8"/>
  <c r="W322" i="8"/>
  <c r="T320" i="8"/>
  <c r="W318" i="8"/>
  <c r="T316" i="8"/>
  <c r="W314" i="8"/>
  <c r="T312" i="8"/>
  <c r="W310" i="8"/>
  <c r="T308" i="8"/>
  <c r="W306" i="8"/>
  <c r="T304" i="8"/>
  <c r="W302" i="8"/>
  <c r="T300" i="8"/>
  <c r="W298" i="8"/>
  <c r="T296" i="8"/>
  <c r="W294" i="8"/>
  <c r="T292" i="8"/>
  <c r="W290" i="8"/>
  <c r="T288" i="8"/>
  <c r="W286" i="8"/>
  <c r="T284" i="8"/>
  <c r="W282" i="8"/>
  <c r="T280" i="8"/>
  <c r="W278" i="8"/>
  <c r="T276" i="8"/>
  <c r="W274" i="8"/>
  <c r="T272" i="8"/>
  <c r="W270" i="8"/>
  <c r="T268" i="8"/>
  <c r="W266" i="8"/>
  <c r="T264" i="8"/>
  <c r="W262" i="8"/>
  <c r="T260" i="8"/>
  <c r="W258" i="8"/>
  <c r="T256" i="8"/>
  <c r="W254" i="8"/>
  <c r="T252" i="8"/>
  <c r="W250" i="8"/>
  <c r="T248" i="8"/>
  <c r="W246" i="8"/>
  <c r="T244" i="8"/>
  <c r="W242" i="8"/>
  <c r="T240" i="8"/>
  <c r="W238" i="8"/>
  <c r="T236" i="8"/>
  <c r="W234" i="8"/>
  <c r="T232" i="8"/>
  <c r="W230" i="8"/>
  <c r="T228" i="8"/>
  <c r="W226" i="8"/>
  <c r="T224" i="8"/>
  <c r="W222" i="8"/>
  <c r="T220" i="8"/>
  <c r="W218" i="8"/>
  <c r="W556" i="8"/>
  <c r="T555" i="8"/>
  <c r="W551" i="8"/>
  <c r="T550" i="8"/>
  <c r="W548" i="8"/>
  <c r="T546" i="8"/>
  <c r="W544" i="8"/>
  <c r="T542" i="8"/>
  <c r="W540" i="8"/>
  <c r="T538" i="8"/>
  <c r="W536" i="8"/>
  <c r="T534" i="8"/>
  <c r="W532" i="8"/>
  <c r="T530" i="8"/>
  <c r="W528" i="8"/>
  <c r="T526" i="8"/>
  <c r="W524" i="8"/>
  <c r="T522" i="8"/>
  <c r="W520" i="8"/>
  <c r="T518" i="8"/>
  <c r="W516" i="8"/>
  <c r="T514" i="8"/>
  <c r="W512" i="8"/>
  <c r="T510" i="8"/>
  <c r="W508" i="8"/>
  <c r="T506" i="8"/>
  <c r="W504" i="8"/>
  <c r="T502" i="8"/>
  <c r="W500" i="8"/>
  <c r="T498" i="8"/>
  <c r="W496" i="8"/>
  <c r="T494" i="8"/>
  <c r="W492" i="8"/>
  <c r="T490" i="8"/>
  <c r="W488" i="8"/>
  <c r="T486" i="8"/>
  <c r="W484" i="8"/>
  <c r="T482" i="8"/>
  <c r="W480" i="8"/>
  <c r="T478" i="8"/>
  <c r="W476" i="8"/>
  <c r="T474" i="8"/>
  <c r="W472" i="8"/>
  <c r="T470" i="8"/>
  <c r="W468" i="8"/>
  <c r="T466" i="8"/>
  <c r="W464" i="8"/>
  <c r="T462" i="8"/>
  <c r="W460" i="8"/>
  <c r="T458" i="8"/>
  <c r="W456" i="8"/>
  <c r="T454" i="8"/>
  <c r="W452" i="8"/>
  <c r="T450" i="8"/>
  <c r="W448" i="8"/>
  <c r="T446" i="8"/>
  <c r="W444" i="8"/>
  <c r="T442" i="8"/>
  <c r="W440" i="8"/>
  <c r="T438" i="8"/>
  <c r="W436" i="8"/>
  <c r="T434" i="8"/>
  <c r="W432" i="8"/>
  <c r="T430" i="8"/>
  <c r="W428" i="8"/>
  <c r="T426" i="8"/>
  <c r="W424" i="8"/>
  <c r="T422" i="8"/>
  <c r="W420" i="8"/>
  <c r="T418" i="8"/>
  <c r="W416" i="8"/>
  <c r="T414" i="8"/>
  <c r="W412" i="8"/>
  <c r="T410" i="8"/>
  <c r="W408" i="8"/>
  <c r="T406" i="8"/>
  <c r="W404" i="8"/>
  <c r="T402" i="8"/>
  <c r="W400" i="8"/>
  <c r="T398" i="8"/>
  <c r="W396" i="8"/>
  <c r="T394" i="8"/>
  <c r="W392" i="8"/>
  <c r="T390" i="8"/>
  <c r="W388" i="8"/>
  <c r="T386" i="8"/>
  <c r="W384" i="8"/>
  <c r="T382" i="8"/>
  <c r="W380" i="8"/>
  <c r="T378" i="8"/>
  <c r="W376" i="8"/>
  <c r="T374" i="8"/>
  <c r="W372" i="8"/>
  <c r="T370" i="8"/>
  <c r="W368" i="8"/>
  <c r="T366" i="8"/>
  <c r="W364" i="8"/>
  <c r="T362" i="8"/>
  <c r="W360" i="8"/>
  <c r="T358" i="8"/>
  <c r="W356" i="8"/>
  <c r="T354" i="8"/>
  <c r="W352" i="8"/>
  <c r="T350" i="8"/>
  <c r="W348" i="8"/>
  <c r="T346" i="8"/>
  <c r="W344" i="8"/>
  <c r="T342" i="8"/>
  <c r="W340" i="8"/>
  <c r="T338" i="8"/>
  <c r="W336" i="8"/>
  <c r="T334" i="8"/>
  <c r="W332" i="8"/>
  <c r="T330" i="8"/>
  <c r="W328" i="8"/>
  <c r="T326" i="8"/>
  <c r="W324" i="8"/>
  <c r="T322" i="8"/>
  <c r="W320" i="8"/>
  <c r="T318" i="8"/>
  <c r="W316" i="8"/>
  <c r="T314" i="8"/>
  <c r="W312" i="8"/>
  <c r="T310" i="8"/>
  <c r="W308" i="8"/>
  <c r="T306" i="8"/>
  <c r="W304" i="8"/>
  <c r="T302" i="8"/>
  <c r="W300" i="8"/>
  <c r="T298" i="8"/>
  <c r="W296" i="8"/>
  <c r="T294" i="8"/>
  <c r="W292" i="8"/>
  <c r="T290" i="8"/>
  <c r="W288" i="8"/>
  <c r="T286" i="8"/>
  <c r="W284" i="8"/>
  <c r="T282" i="8"/>
  <c r="W280" i="8"/>
  <c r="T278" i="8"/>
  <c r="W276" i="8"/>
  <c r="T274" i="8"/>
  <c r="W272" i="8"/>
  <c r="T270" i="8"/>
  <c r="W268" i="8"/>
  <c r="T266" i="8"/>
  <c r="W264" i="8"/>
  <c r="T262" i="8"/>
  <c r="W260" i="8"/>
  <c r="T258" i="8"/>
  <c r="W256" i="8"/>
  <c r="T254" i="8"/>
  <c r="W252" i="8"/>
  <c r="T250" i="8"/>
  <c r="W248" i="8"/>
  <c r="T246" i="8"/>
  <c r="W244" i="8"/>
  <c r="T242" i="8"/>
  <c r="W239" i="8"/>
  <c r="T238" i="8"/>
  <c r="W236" i="8"/>
  <c r="T235" i="8"/>
  <c r="W231" i="8"/>
  <c r="T230" i="8"/>
  <c r="W228" i="8"/>
  <c r="T227" i="8"/>
  <c r="W223" i="8"/>
  <c r="T222" i="8"/>
  <c r="W220" i="8"/>
  <c r="T219" i="8"/>
  <c r="T216" i="8"/>
  <c r="W214" i="8"/>
  <c r="T212" i="8"/>
  <c r="W210" i="8"/>
  <c r="T208" i="8"/>
  <c r="W206" i="8"/>
  <c r="T204" i="8"/>
  <c r="W202" i="8"/>
  <c r="T200" i="8"/>
  <c r="W198" i="8"/>
  <c r="T196" i="8"/>
  <c r="W194" i="8"/>
  <c r="W633" i="8"/>
  <c r="W631" i="8"/>
  <c r="W629" i="8"/>
  <c r="W627" i="8"/>
  <c r="W625" i="8"/>
  <c r="W623" i="8"/>
  <c r="W621" i="8"/>
  <c r="W619" i="8"/>
  <c r="W617" i="8"/>
  <c r="W615" i="8"/>
  <c r="W613" i="8"/>
  <c r="W611" i="8"/>
  <c r="W609" i="8"/>
  <c r="W607" i="8"/>
  <c r="W605" i="8"/>
  <c r="W603" i="8"/>
  <c r="W601" i="8"/>
  <c r="W599" i="8"/>
  <c r="W597" i="8"/>
  <c r="W595" i="8"/>
  <c r="W593" i="8"/>
  <c r="W591" i="8"/>
  <c r="W589" i="8"/>
  <c r="W587" i="8"/>
  <c r="W585" i="8"/>
  <c r="W583" i="8"/>
  <c r="W581" i="8"/>
  <c r="W579" i="8"/>
  <c r="W577" i="8"/>
  <c r="W575" i="8"/>
  <c r="W573" i="8"/>
  <c r="W571" i="8"/>
  <c r="W569" i="8"/>
  <c r="W567" i="8"/>
  <c r="W565" i="8"/>
  <c r="W563" i="8"/>
  <c r="W561" i="8"/>
  <c r="W559" i="8"/>
  <c r="W557" i="8"/>
  <c r="T553" i="8"/>
  <c r="W549" i="8"/>
  <c r="W547" i="8"/>
  <c r="W545" i="8"/>
  <c r="W543" i="8"/>
  <c r="W541" i="8"/>
  <c r="W539" i="8"/>
  <c r="W537" i="8"/>
  <c r="W535" i="8"/>
  <c r="W533" i="8"/>
  <c r="W531" i="8"/>
  <c r="W529" i="8"/>
  <c r="W527" i="8"/>
  <c r="W525" i="8"/>
  <c r="W523" i="8"/>
  <c r="W521" i="8"/>
  <c r="W519" i="8"/>
  <c r="W517" i="8"/>
  <c r="W515" i="8"/>
  <c r="W513" i="8"/>
  <c r="W511" i="8"/>
  <c r="W509" i="8"/>
  <c r="W507" i="8"/>
  <c r="W505" i="8"/>
  <c r="W503" i="8"/>
  <c r="W501" i="8"/>
  <c r="W499" i="8"/>
  <c r="W497" i="8"/>
  <c r="W495" i="8"/>
  <c r="W493" i="8"/>
  <c r="W491" i="8"/>
  <c r="W489" i="8"/>
  <c r="W487" i="8"/>
  <c r="W485" i="8"/>
  <c r="W483" i="8"/>
  <c r="W481" i="8"/>
  <c r="W479" i="8"/>
  <c r="W477" i="8"/>
  <c r="W475" i="8"/>
  <c r="W473" i="8"/>
  <c r="W471" i="8"/>
  <c r="W469" i="8"/>
  <c r="W467" i="8"/>
  <c r="W465" i="8"/>
  <c r="W463" i="8"/>
  <c r="W461" i="8"/>
  <c r="T4" i="8"/>
  <c r="W6" i="8"/>
  <c r="T8" i="8"/>
  <c r="W10" i="8"/>
  <c r="T12" i="8"/>
  <c r="W14" i="8"/>
  <c r="T16" i="8"/>
  <c r="W18" i="8"/>
  <c r="W39" i="8"/>
  <c r="T41" i="8"/>
  <c r="W43" i="8"/>
  <c r="T45" i="8"/>
  <c r="T61" i="8"/>
  <c r="W63" i="8"/>
  <c r="W5" i="8"/>
  <c r="T7" i="8"/>
  <c r="W9" i="8"/>
  <c r="T11" i="8"/>
  <c r="W13" i="8"/>
  <c r="T15" i="8"/>
  <c r="W17" i="8"/>
  <c r="T19" i="8"/>
  <c r="T20" i="8"/>
  <c r="W22" i="8"/>
  <c r="T24" i="8"/>
  <c r="W26" i="8"/>
  <c r="T28" i="8"/>
  <c r="W30" i="8"/>
  <c r="T32" i="8"/>
  <c r="W34" i="8"/>
  <c r="T36" i="8"/>
  <c r="W38" i="8"/>
  <c r="T40" i="8"/>
  <c r="W42" i="8"/>
  <c r="T44" i="8"/>
  <c r="W46" i="8"/>
  <c r="T48" i="8"/>
  <c r="W50" i="8"/>
  <c r="T52" i="8"/>
  <c r="W54" i="8"/>
  <c r="T56" i="8"/>
  <c r="W58" i="8"/>
  <c r="T60" i="8"/>
  <c r="W62" i="8"/>
  <c r="T64" i="8"/>
  <c r="W66" i="8"/>
  <c r="T68" i="8"/>
  <c r="W70" i="8"/>
  <c r="T72" i="8"/>
  <c r="W74" i="8"/>
  <c r="T76" i="8"/>
  <c r="W78" i="8"/>
  <c r="T80" i="8"/>
  <c r="W82" i="8"/>
  <c r="T84" i="8"/>
  <c r="W86" i="8"/>
  <c r="T88" i="8"/>
  <c r="W90" i="8"/>
  <c r="T92" i="8"/>
  <c r="W94" i="8"/>
  <c r="T96" i="8"/>
  <c r="W98" i="8"/>
  <c r="T100" i="8"/>
  <c r="W102" i="8"/>
  <c r="T104" i="8"/>
  <c r="W106" i="8"/>
  <c r="T108" i="8"/>
  <c r="W110" i="8"/>
  <c r="T112" i="8"/>
  <c r="W114" i="8"/>
  <c r="T116" i="8"/>
  <c r="W118" i="8"/>
  <c r="T120" i="8"/>
  <c r="W122" i="8"/>
  <c r="T124" i="8"/>
  <c r="W126" i="8"/>
  <c r="T128" i="8"/>
  <c r="W130" i="8"/>
  <c r="T132" i="8"/>
  <c r="W134" i="8"/>
  <c r="T136" i="8"/>
  <c r="W138" i="8"/>
  <c r="T140" i="8"/>
  <c r="W142" i="8"/>
  <c r="T144" i="8"/>
  <c r="W146" i="8"/>
  <c r="T148" i="8"/>
  <c r="W150" i="8"/>
  <c r="T152" i="8"/>
  <c r="W154" i="8"/>
  <c r="T156" i="8"/>
  <c r="W158" i="8"/>
  <c r="T160" i="8"/>
  <c r="W162" i="8"/>
  <c r="T164" i="8"/>
  <c r="W166" i="8"/>
  <c r="T168" i="8"/>
  <c r="W170" i="8"/>
  <c r="T172" i="8"/>
  <c r="W174" i="8"/>
  <c r="T176" i="8"/>
  <c r="W178" i="8"/>
  <c r="T180" i="8"/>
  <c r="W182" i="8"/>
  <c r="T184" i="8"/>
  <c r="W186" i="8"/>
  <c r="T188" i="8"/>
  <c r="W190" i="8"/>
  <c r="T192" i="8"/>
  <c r="T195" i="8"/>
  <c r="W196" i="8"/>
  <c r="T198" i="8"/>
  <c r="W199" i="8"/>
  <c r="T203" i="8"/>
  <c r="W204" i="8"/>
  <c r="T206" i="8"/>
  <c r="W207" i="8"/>
  <c r="T211" i="8"/>
  <c r="W212" i="8"/>
  <c r="T214" i="8"/>
  <c r="W215" i="8"/>
  <c r="T467" i="8"/>
  <c r="T475" i="8"/>
  <c r="T483" i="8"/>
  <c r="T491" i="8"/>
  <c r="T499" i="8"/>
  <c r="T507" i="8"/>
  <c r="T515" i="8"/>
  <c r="T523" i="8"/>
  <c r="T531" i="8"/>
  <c r="T539" i="8"/>
  <c r="T547" i="8"/>
  <c r="T559" i="8"/>
  <c r="T567" i="8"/>
  <c r="T575" i="8"/>
  <c r="T583" i="8"/>
  <c r="T591" i="8"/>
  <c r="T599" i="8"/>
  <c r="T607" i="8"/>
  <c r="T615" i="8"/>
  <c r="T623" i="8"/>
  <c r="T631" i="8"/>
  <c r="T21" i="8"/>
  <c r="W23" i="8"/>
  <c r="T25" i="8"/>
  <c r="W27" i="8"/>
  <c r="T29" i="8"/>
  <c r="W31" i="8"/>
  <c r="T33" i="8"/>
  <c r="W35" i="8"/>
  <c r="T37" i="8"/>
  <c r="W47" i="8"/>
  <c r="T49" i="8"/>
  <c r="W51" i="8"/>
  <c r="T53" i="8"/>
  <c r="W55" i="8"/>
  <c r="T57" i="8"/>
  <c r="W59" i="8"/>
  <c r="T65" i="8"/>
  <c r="W67" i="8"/>
  <c r="T69" i="8"/>
  <c r="W71" i="8"/>
  <c r="T73" i="8"/>
  <c r="W75" i="8"/>
  <c r="T77" i="8"/>
  <c r="W79" i="8"/>
  <c r="T81" i="8"/>
  <c r="W83" i="8"/>
  <c r="T85" i="8"/>
  <c r="W87" i="8"/>
  <c r="T89" i="8"/>
  <c r="W91" i="8"/>
  <c r="T93" i="8"/>
  <c r="W95" i="8"/>
  <c r="T97" i="8"/>
  <c r="W99" i="8"/>
  <c r="T101" i="8"/>
  <c r="W103" i="8"/>
  <c r="T105" i="8"/>
  <c r="W107" i="8"/>
  <c r="T109" i="8"/>
  <c r="W111" i="8"/>
  <c r="T113" i="8"/>
  <c r="W115" i="8"/>
  <c r="T117" i="8"/>
  <c r="W119" i="8"/>
  <c r="T121" i="8"/>
  <c r="W123" i="8"/>
  <c r="T125" i="8"/>
  <c r="W127" i="8"/>
  <c r="T129" i="8"/>
  <c r="W131" i="8"/>
  <c r="T133" i="8"/>
  <c r="W135" i="8"/>
  <c r="T137" i="8"/>
  <c r="W139" i="8"/>
  <c r="T141" i="8"/>
  <c r="W143" i="8"/>
  <c r="T145" i="8"/>
  <c r="W147" i="8"/>
  <c r="T149" i="8"/>
  <c r="W151" i="8"/>
  <c r="T153" i="8"/>
  <c r="W155" i="8"/>
  <c r="T157" i="8"/>
  <c r="W159" i="8"/>
  <c r="T161" i="8"/>
  <c r="W163" i="8"/>
  <c r="T165" i="8"/>
  <c r="W167" i="8"/>
  <c r="T169" i="8"/>
  <c r="W171" i="8"/>
  <c r="T173" i="8"/>
  <c r="W175" i="8"/>
  <c r="T177" i="8"/>
  <c r="W179" i="8"/>
  <c r="T181" i="8"/>
  <c r="W183" i="8"/>
  <c r="T185" i="8"/>
  <c r="W187" i="8"/>
  <c r="T189" i="8"/>
  <c r="W191" i="8"/>
  <c r="T193" i="8"/>
  <c r="W197" i="8"/>
  <c r="T201" i="8"/>
  <c r="W205" i="8"/>
  <c r="T209" i="8"/>
  <c r="W213" i="8"/>
  <c r="T217" i="8"/>
  <c r="T221" i="8"/>
  <c r="T223" i="8"/>
  <c r="T225" i="8"/>
  <c r="T229" i="8"/>
  <c r="T231" i="8"/>
  <c r="T233" i="8"/>
  <c r="T237" i="8"/>
  <c r="T239" i="8"/>
  <c r="T241" i="8"/>
  <c r="T243" i="8"/>
  <c r="T245" i="8"/>
  <c r="T247" i="8"/>
  <c r="T249" i="8"/>
  <c r="T251" i="8"/>
  <c r="T253" i="8"/>
  <c r="T255" i="8"/>
  <c r="T257" i="8"/>
  <c r="T259" i="8"/>
  <c r="T261" i="8"/>
  <c r="T263" i="8"/>
  <c r="T265" i="8"/>
  <c r="T267" i="8"/>
  <c r="T269" i="8"/>
  <c r="T271" i="8"/>
  <c r="T273" i="8"/>
  <c r="T275" i="8"/>
  <c r="T277" i="8"/>
  <c r="T279" i="8"/>
  <c r="T281" i="8"/>
  <c r="T283" i="8"/>
  <c r="T285" i="8"/>
  <c r="T287" i="8"/>
  <c r="T289" i="8"/>
  <c r="T291" i="8"/>
  <c r="T293" i="8"/>
  <c r="T295" i="8"/>
  <c r="T297" i="8"/>
  <c r="T299" i="8"/>
  <c r="T301" i="8"/>
  <c r="T303" i="8"/>
  <c r="T305" i="8"/>
  <c r="T307" i="8"/>
  <c r="T309" i="8"/>
  <c r="T311" i="8"/>
  <c r="T313" i="8"/>
  <c r="T315" i="8"/>
  <c r="T317" i="8"/>
  <c r="T319" i="8"/>
  <c r="T321" i="8"/>
  <c r="T323" i="8"/>
  <c r="T325" i="8"/>
  <c r="T327" i="8"/>
  <c r="T329" i="8"/>
  <c r="T331" i="8"/>
  <c r="T333" i="8"/>
  <c r="T335" i="8"/>
  <c r="T337" i="8"/>
  <c r="T339" i="8"/>
  <c r="T341" i="8"/>
  <c r="T343" i="8"/>
  <c r="T345" i="8"/>
  <c r="T347" i="8"/>
  <c r="T349" i="8"/>
  <c r="T351" i="8"/>
  <c r="T353" i="8"/>
  <c r="T355" i="8"/>
  <c r="T357" i="8"/>
  <c r="T359" i="8"/>
  <c r="T361" i="8"/>
  <c r="T363" i="8"/>
  <c r="T365" i="8"/>
  <c r="T367" i="8"/>
  <c r="T369" i="8"/>
  <c r="T371" i="8"/>
  <c r="T373" i="8"/>
  <c r="T375" i="8"/>
  <c r="T377" i="8"/>
  <c r="T379" i="8"/>
  <c r="T381" i="8"/>
  <c r="T383" i="8"/>
  <c r="T385" i="8"/>
  <c r="T387" i="8"/>
  <c r="T389" i="8"/>
  <c r="T391" i="8"/>
  <c r="T393" i="8"/>
  <c r="T395" i="8"/>
  <c r="T397" i="8"/>
  <c r="T399" i="8"/>
  <c r="T401" i="8"/>
  <c r="T403" i="8"/>
  <c r="T405" i="8"/>
  <c r="T407" i="8"/>
  <c r="T409" i="8"/>
  <c r="T411" i="8"/>
  <c r="T413" i="8"/>
  <c r="T415" i="8"/>
  <c r="T417" i="8"/>
  <c r="T419" i="8"/>
  <c r="T421" i="8"/>
  <c r="T423" i="8"/>
  <c r="T425" i="8"/>
  <c r="T427" i="8"/>
  <c r="T429" i="8"/>
  <c r="T431" i="8"/>
  <c r="T433" i="8"/>
  <c r="T435" i="8"/>
  <c r="T437" i="8"/>
  <c r="T439" i="8"/>
  <c r="T441" i="8"/>
  <c r="T443" i="8"/>
  <c r="T445" i="8"/>
  <c r="T447" i="8"/>
  <c r="T449" i="8"/>
  <c r="T451" i="8"/>
  <c r="T453" i="8"/>
  <c r="T455" i="8"/>
  <c r="T457" i="8"/>
  <c r="T459" i="8"/>
  <c r="T461" i="8"/>
  <c r="T469" i="8"/>
  <c r="T477" i="8"/>
  <c r="T485" i="8"/>
  <c r="T493" i="8"/>
  <c r="T501" i="8"/>
  <c r="T509" i="8"/>
  <c r="T517" i="8"/>
  <c r="T525" i="8"/>
  <c r="T533" i="8"/>
  <c r="T541" i="8"/>
  <c r="T549" i="8"/>
  <c r="T561" i="8"/>
  <c r="T569" i="8"/>
  <c r="T577" i="8"/>
  <c r="T585" i="8"/>
  <c r="T593" i="8"/>
  <c r="T601" i="8"/>
  <c r="T609" i="8"/>
  <c r="T617" i="8"/>
  <c r="T625" i="8"/>
  <c r="T633" i="8"/>
  <c r="T803" i="6"/>
  <c r="P803" i="6"/>
  <c r="T802" i="6"/>
  <c r="P802" i="6"/>
  <c r="T801" i="6"/>
  <c r="P801" i="6"/>
  <c r="T800" i="6"/>
  <c r="P800" i="6"/>
  <c r="T799" i="6"/>
  <c r="P799" i="6"/>
  <c r="T798" i="6"/>
  <c r="P798" i="6"/>
  <c r="T797" i="6"/>
  <c r="P797" i="6"/>
  <c r="T796" i="6"/>
  <c r="P796" i="6"/>
  <c r="T795" i="6"/>
  <c r="P795" i="6"/>
  <c r="T794" i="6"/>
  <c r="P794" i="6"/>
  <c r="T793" i="6"/>
  <c r="P793" i="6"/>
  <c r="T792" i="6"/>
  <c r="P792" i="6"/>
  <c r="T791" i="6"/>
  <c r="P791" i="6"/>
  <c r="T790" i="6"/>
  <c r="P790" i="6"/>
  <c r="T789" i="6"/>
  <c r="P789" i="6"/>
  <c r="T788" i="6"/>
  <c r="P788" i="6"/>
  <c r="T787" i="6"/>
  <c r="P787" i="6"/>
  <c r="T786" i="6"/>
  <c r="P786" i="6"/>
  <c r="T785" i="6"/>
  <c r="P785" i="6"/>
  <c r="T784" i="6"/>
  <c r="P784" i="6"/>
  <c r="T783" i="6"/>
  <c r="P783" i="6"/>
  <c r="T782" i="6"/>
  <c r="P782" i="6"/>
  <c r="T781" i="6"/>
  <c r="P781" i="6"/>
  <c r="T780" i="6"/>
  <c r="P780" i="6"/>
  <c r="T779" i="6"/>
  <c r="P779" i="6"/>
  <c r="T778" i="6"/>
  <c r="P778" i="6"/>
  <c r="T777" i="6"/>
  <c r="P777" i="6"/>
  <c r="T776" i="6"/>
  <c r="P776" i="6"/>
  <c r="T775" i="6"/>
  <c r="P775" i="6"/>
  <c r="T774" i="6"/>
  <c r="P774" i="6"/>
  <c r="T773" i="6"/>
  <c r="P773" i="6"/>
  <c r="T772" i="6"/>
  <c r="P772" i="6"/>
  <c r="T771" i="6"/>
  <c r="P771" i="6"/>
  <c r="T770" i="6"/>
  <c r="P770" i="6"/>
  <c r="T769" i="6"/>
  <c r="P769" i="6"/>
  <c r="T768" i="6"/>
  <c r="P768" i="6"/>
  <c r="T767" i="6"/>
  <c r="P767" i="6"/>
  <c r="T766" i="6"/>
  <c r="P766" i="6"/>
  <c r="T765" i="6"/>
  <c r="P765" i="6"/>
  <c r="T764" i="6"/>
  <c r="P764" i="6"/>
  <c r="T763" i="6"/>
  <c r="P763" i="6"/>
  <c r="T762" i="6"/>
  <c r="P762" i="6"/>
  <c r="T761" i="6"/>
  <c r="P761" i="6"/>
  <c r="T760" i="6"/>
  <c r="P760" i="6"/>
  <c r="T759" i="6"/>
  <c r="P759" i="6"/>
  <c r="T758" i="6"/>
  <c r="P758" i="6"/>
  <c r="T757" i="6"/>
  <c r="P757" i="6"/>
  <c r="T756" i="6"/>
  <c r="P756" i="6"/>
  <c r="T755" i="6"/>
  <c r="P755" i="6"/>
  <c r="T754" i="6"/>
  <c r="P754" i="6"/>
  <c r="T753" i="6"/>
  <c r="P753" i="6"/>
  <c r="T752" i="6"/>
  <c r="P752" i="6"/>
  <c r="T751" i="6"/>
  <c r="P751" i="6"/>
  <c r="T750" i="6"/>
  <c r="P750" i="6"/>
  <c r="T749" i="6"/>
  <c r="P749" i="6"/>
  <c r="T748" i="6"/>
  <c r="P748" i="6"/>
  <c r="T747" i="6"/>
  <c r="P747" i="6"/>
  <c r="T746" i="6"/>
  <c r="P746" i="6"/>
  <c r="T745" i="6"/>
  <c r="P745" i="6"/>
  <c r="T744" i="6"/>
  <c r="P744" i="6"/>
  <c r="T743" i="6"/>
  <c r="P743" i="6"/>
  <c r="T742" i="6"/>
  <c r="P742" i="6"/>
  <c r="T741" i="6"/>
  <c r="P741" i="6"/>
  <c r="T740" i="6"/>
  <c r="P740" i="6"/>
  <c r="T739" i="6"/>
  <c r="P739" i="6"/>
  <c r="T738" i="6"/>
  <c r="P738" i="6"/>
  <c r="T737" i="6"/>
  <c r="P737" i="6"/>
  <c r="T736" i="6"/>
  <c r="P736" i="6"/>
  <c r="T735" i="6"/>
  <c r="P735" i="6"/>
  <c r="T734" i="6"/>
  <c r="P734" i="6"/>
  <c r="T733" i="6"/>
  <c r="P733" i="6"/>
  <c r="T732" i="6"/>
  <c r="P732" i="6"/>
  <c r="T731" i="6"/>
  <c r="P731" i="6"/>
  <c r="T730" i="6"/>
  <c r="P730" i="6"/>
  <c r="T729" i="6"/>
  <c r="P729" i="6"/>
  <c r="T728" i="6"/>
  <c r="P728" i="6"/>
  <c r="T727" i="6"/>
  <c r="P727" i="6"/>
  <c r="T726" i="6"/>
  <c r="P726" i="6"/>
  <c r="T725" i="6"/>
  <c r="P725" i="6"/>
  <c r="T724" i="6"/>
  <c r="P724" i="6"/>
  <c r="T723" i="6"/>
  <c r="P723" i="6"/>
  <c r="T722" i="6"/>
  <c r="P722" i="6"/>
  <c r="T721" i="6"/>
  <c r="P721" i="6"/>
  <c r="T720" i="6"/>
  <c r="P720" i="6"/>
  <c r="T719" i="6"/>
  <c r="P719" i="6"/>
  <c r="T718" i="6"/>
  <c r="P718" i="6"/>
  <c r="T717" i="6"/>
  <c r="P717" i="6"/>
  <c r="T716" i="6"/>
  <c r="P716" i="6"/>
  <c r="T715" i="6"/>
  <c r="P715" i="6"/>
  <c r="T714" i="6"/>
  <c r="P714" i="6"/>
  <c r="T713" i="6"/>
  <c r="P713" i="6"/>
  <c r="T712" i="6"/>
  <c r="P712" i="6"/>
  <c r="T711" i="6"/>
  <c r="P711" i="6"/>
  <c r="T710" i="6"/>
  <c r="P710" i="6"/>
  <c r="T709" i="6"/>
  <c r="P709" i="6"/>
  <c r="T708" i="6"/>
  <c r="P708" i="6"/>
  <c r="T707" i="6"/>
  <c r="P707" i="6"/>
  <c r="T706" i="6"/>
  <c r="P706" i="6"/>
  <c r="T705" i="6"/>
  <c r="P705" i="6"/>
  <c r="T704" i="6"/>
  <c r="P704" i="6"/>
  <c r="T703" i="6"/>
  <c r="P703" i="6"/>
  <c r="T702" i="6"/>
  <c r="P702" i="6"/>
  <c r="T701" i="6"/>
  <c r="P701" i="6"/>
  <c r="T700" i="6"/>
  <c r="P700" i="6"/>
  <c r="T699" i="6"/>
  <c r="P699" i="6"/>
  <c r="T698" i="6"/>
  <c r="P698" i="6"/>
  <c r="T697" i="6"/>
  <c r="P697" i="6"/>
  <c r="T696" i="6"/>
  <c r="P696" i="6"/>
  <c r="T695" i="6"/>
  <c r="P695" i="6"/>
  <c r="T694" i="6"/>
  <c r="P694" i="6"/>
  <c r="T693" i="6"/>
  <c r="P693" i="6"/>
  <c r="T692" i="6"/>
  <c r="P692" i="6"/>
  <c r="T691" i="6"/>
  <c r="P691" i="6"/>
  <c r="T690" i="6"/>
  <c r="P690" i="6"/>
  <c r="T689" i="6"/>
  <c r="P689" i="6"/>
  <c r="T688" i="6"/>
  <c r="P688" i="6"/>
  <c r="T687" i="6"/>
  <c r="P687" i="6"/>
  <c r="T686" i="6"/>
  <c r="P686" i="6"/>
  <c r="T685" i="6"/>
  <c r="P685" i="6"/>
  <c r="T684" i="6"/>
  <c r="P684" i="6"/>
  <c r="T683" i="6"/>
  <c r="P683" i="6"/>
  <c r="T682" i="6"/>
  <c r="P682" i="6"/>
  <c r="T681" i="6"/>
  <c r="P681" i="6"/>
  <c r="T680" i="6"/>
  <c r="P680" i="6"/>
  <c r="T679" i="6"/>
  <c r="P679" i="6"/>
  <c r="T678" i="6"/>
  <c r="P678" i="6"/>
  <c r="T677" i="6"/>
  <c r="P677" i="6"/>
  <c r="T676" i="6"/>
  <c r="P676" i="6"/>
  <c r="T675" i="6"/>
  <c r="P675" i="6"/>
  <c r="T674" i="6"/>
  <c r="P674" i="6"/>
  <c r="T673" i="6"/>
  <c r="P673" i="6"/>
  <c r="T672" i="6"/>
  <c r="P672" i="6"/>
  <c r="T671" i="6"/>
  <c r="P671" i="6"/>
  <c r="T670" i="6"/>
  <c r="P670" i="6"/>
  <c r="T669" i="6"/>
  <c r="P669" i="6"/>
  <c r="T668" i="6"/>
  <c r="P668" i="6"/>
  <c r="T667" i="6"/>
  <c r="P667" i="6"/>
  <c r="T666" i="6"/>
  <c r="P666" i="6"/>
  <c r="T665" i="6"/>
  <c r="P665" i="6"/>
  <c r="T664" i="6"/>
  <c r="P664" i="6"/>
  <c r="T663" i="6"/>
  <c r="P663" i="6"/>
  <c r="T662" i="6"/>
  <c r="P662" i="6"/>
  <c r="T661" i="6"/>
  <c r="P661" i="6"/>
  <c r="T660" i="6"/>
  <c r="P660" i="6"/>
  <c r="T659" i="6"/>
  <c r="P659" i="6"/>
  <c r="T658" i="6"/>
  <c r="P658" i="6"/>
  <c r="T657" i="6"/>
  <c r="P657" i="6"/>
  <c r="T656" i="6"/>
  <c r="P656" i="6"/>
  <c r="T655" i="6"/>
  <c r="P655" i="6"/>
  <c r="T654" i="6"/>
  <c r="P654" i="6"/>
  <c r="T653" i="6"/>
  <c r="P653" i="6"/>
  <c r="T652" i="6"/>
  <c r="P652" i="6"/>
  <c r="T651" i="6"/>
  <c r="P651" i="6"/>
  <c r="T650" i="6"/>
  <c r="P650" i="6"/>
  <c r="T649" i="6"/>
  <c r="P649" i="6"/>
  <c r="T648" i="6"/>
  <c r="P648" i="6"/>
  <c r="T647" i="6"/>
  <c r="P647" i="6"/>
  <c r="T646" i="6"/>
  <c r="P646" i="6"/>
  <c r="T645" i="6"/>
  <c r="P645" i="6"/>
  <c r="T644" i="6"/>
  <c r="P644" i="6"/>
  <c r="T643" i="6"/>
  <c r="P643" i="6"/>
  <c r="T642" i="6"/>
  <c r="P642" i="6"/>
  <c r="T641" i="6"/>
  <c r="P641" i="6"/>
  <c r="T640" i="6"/>
  <c r="P640" i="6"/>
  <c r="T639" i="6"/>
  <c r="P639" i="6"/>
  <c r="T638" i="6"/>
  <c r="P638" i="6"/>
  <c r="T637" i="6"/>
  <c r="P637" i="6"/>
  <c r="T636" i="6"/>
  <c r="P636" i="6"/>
  <c r="T635" i="6"/>
  <c r="P635" i="6"/>
  <c r="T634" i="6"/>
  <c r="P634" i="6"/>
  <c r="T633" i="6"/>
  <c r="P633" i="6"/>
  <c r="T632" i="6"/>
  <c r="P632" i="6"/>
  <c r="T631" i="6"/>
  <c r="P631" i="6"/>
  <c r="T630" i="6"/>
  <c r="P630" i="6"/>
  <c r="T629" i="6"/>
  <c r="P629" i="6"/>
  <c r="T628" i="6"/>
  <c r="P628" i="6"/>
  <c r="T627" i="6"/>
  <c r="P627" i="6"/>
  <c r="T626" i="6"/>
  <c r="P626" i="6"/>
  <c r="T625" i="6"/>
  <c r="P625" i="6"/>
  <c r="T624" i="6"/>
  <c r="P624" i="6"/>
  <c r="T623" i="6"/>
  <c r="P623" i="6"/>
  <c r="T622" i="6"/>
  <c r="P622" i="6"/>
  <c r="T621" i="6"/>
  <c r="P621" i="6"/>
  <c r="T620" i="6"/>
  <c r="P620" i="6"/>
  <c r="T619" i="6"/>
  <c r="P619" i="6"/>
  <c r="T618" i="6"/>
  <c r="P618" i="6"/>
  <c r="T617" i="6"/>
  <c r="P617" i="6"/>
  <c r="T616" i="6"/>
  <c r="P616" i="6"/>
  <c r="T615" i="6"/>
  <c r="P615" i="6"/>
  <c r="T614" i="6"/>
  <c r="P614" i="6"/>
  <c r="T613" i="6"/>
  <c r="P613" i="6"/>
  <c r="T612" i="6"/>
  <c r="P612" i="6"/>
  <c r="T611" i="6"/>
  <c r="P611" i="6"/>
  <c r="T610" i="6"/>
  <c r="P610" i="6"/>
  <c r="T609" i="6"/>
  <c r="P609" i="6"/>
  <c r="T608" i="6"/>
  <c r="P608" i="6"/>
  <c r="T607" i="6"/>
  <c r="P607" i="6"/>
  <c r="T606" i="6"/>
  <c r="P606" i="6"/>
  <c r="T605" i="6"/>
  <c r="P605" i="6"/>
  <c r="T604" i="6"/>
  <c r="P604" i="6"/>
  <c r="T603" i="6"/>
  <c r="P603" i="6"/>
  <c r="T602" i="6"/>
  <c r="P602" i="6"/>
  <c r="T601" i="6"/>
  <c r="P601" i="6"/>
  <c r="T600" i="6"/>
  <c r="P600" i="6"/>
  <c r="T599" i="6"/>
  <c r="P599" i="6"/>
  <c r="T598" i="6"/>
  <c r="P598" i="6"/>
  <c r="T597" i="6"/>
  <c r="P597" i="6"/>
  <c r="T596" i="6"/>
  <c r="P596" i="6"/>
  <c r="T595" i="6"/>
  <c r="P595" i="6"/>
  <c r="T594" i="6"/>
  <c r="P594" i="6"/>
  <c r="T593" i="6"/>
  <c r="P593" i="6"/>
  <c r="T592" i="6"/>
  <c r="P592" i="6"/>
  <c r="T591" i="6"/>
  <c r="P591" i="6"/>
  <c r="T590" i="6"/>
  <c r="P590" i="6"/>
  <c r="T589" i="6"/>
  <c r="P589" i="6"/>
  <c r="T588" i="6"/>
  <c r="P588" i="6"/>
  <c r="T587" i="6"/>
  <c r="P587" i="6"/>
  <c r="T586" i="6"/>
  <c r="P586" i="6"/>
  <c r="T585" i="6"/>
  <c r="P585" i="6"/>
  <c r="T584" i="6"/>
  <c r="P584" i="6"/>
  <c r="T583" i="6"/>
  <c r="P583" i="6"/>
  <c r="T582" i="6"/>
  <c r="P582" i="6"/>
  <c r="T581" i="6"/>
  <c r="P581" i="6"/>
  <c r="T580" i="6"/>
  <c r="P580" i="6"/>
  <c r="T579" i="6"/>
  <c r="P579" i="6"/>
  <c r="T578" i="6"/>
  <c r="P578" i="6"/>
  <c r="T577" i="6"/>
  <c r="P577" i="6"/>
  <c r="T576" i="6"/>
  <c r="P576" i="6"/>
  <c r="T575" i="6"/>
  <c r="P575" i="6"/>
  <c r="T574" i="6"/>
  <c r="P574" i="6"/>
  <c r="T573" i="6"/>
  <c r="P573" i="6"/>
  <c r="T572" i="6"/>
  <c r="P572" i="6"/>
  <c r="T571" i="6"/>
  <c r="P571" i="6"/>
  <c r="T570" i="6"/>
  <c r="P570" i="6"/>
  <c r="T569" i="6"/>
  <c r="P569" i="6"/>
  <c r="T568" i="6"/>
  <c r="P568" i="6"/>
  <c r="T567" i="6"/>
  <c r="P567" i="6"/>
  <c r="T566" i="6"/>
  <c r="P566" i="6"/>
  <c r="T565" i="6"/>
  <c r="P565" i="6"/>
  <c r="T564" i="6"/>
  <c r="P564" i="6"/>
  <c r="T563" i="6"/>
  <c r="P563" i="6"/>
  <c r="T562" i="6"/>
  <c r="P562" i="6"/>
  <c r="T561" i="6"/>
  <c r="P561" i="6"/>
  <c r="T560" i="6"/>
  <c r="P560" i="6"/>
  <c r="T559" i="6"/>
  <c r="P559" i="6"/>
  <c r="T558" i="6"/>
  <c r="P558" i="6"/>
  <c r="T557" i="6"/>
  <c r="P557" i="6"/>
  <c r="T556" i="6"/>
  <c r="P556" i="6"/>
  <c r="T555" i="6"/>
  <c r="P555" i="6"/>
  <c r="T554" i="6"/>
  <c r="P554" i="6"/>
  <c r="T553" i="6"/>
  <c r="P553" i="6"/>
  <c r="T552" i="6"/>
  <c r="P552" i="6"/>
  <c r="T551" i="6"/>
  <c r="P551" i="6"/>
  <c r="T550" i="6"/>
  <c r="P550" i="6"/>
  <c r="T549" i="6"/>
  <c r="P549" i="6"/>
  <c r="T548" i="6"/>
  <c r="P548" i="6"/>
  <c r="T547" i="6"/>
  <c r="P547" i="6"/>
  <c r="T546" i="6"/>
  <c r="P546" i="6"/>
  <c r="T545" i="6"/>
  <c r="P545" i="6"/>
  <c r="T544" i="6"/>
  <c r="P544" i="6"/>
  <c r="T543" i="6"/>
  <c r="P543" i="6"/>
  <c r="T542" i="6"/>
  <c r="P542" i="6"/>
  <c r="T541" i="6"/>
  <c r="P541" i="6"/>
  <c r="T540" i="6"/>
  <c r="P540" i="6"/>
  <c r="T539" i="6"/>
  <c r="P539" i="6"/>
  <c r="T538" i="6"/>
  <c r="P538" i="6"/>
  <c r="T537" i="6"/>
  <c r="P537" i="6"/>
  <c r="T536" i="6"/>
  <c r="P536" i="6"/>
  <c r="T535" i="6"/>
  <c r="P535" i="6"/>
  <c r="T534" i="6"/>
  <c r="P534" i="6"/>
  <c r="T533" i="6"/>
  <c r="P533" i="6"/>
  <c r="T532" i="6"/>
  <c r="P532" i="6"/>
  <c r="T531" i="6"/>
  <c r="P531" i="6"/>
  <c r="T530" i="6"/>
  <c r="P530" i="6"/>
  <c r="T529" i="6"/>
  <c r="P529" i="6"/>
  <c r="T528" i="6"/>
  <c r="P528" i="6"/>
  <c r="T527" i="6"/>
  <c r="P527" i="6"/>
  <c r="T526" i="6"/>
  <c r="P526" i="6"/>
  <c r="T525" i="6"/>
  <c r="P525" i="6"/>
  <c r="T524" i="6"/>
  <c r="P524" i="6"/>
  <c r="T523" i="6"/>
  <c r="P523" i="6"/>
  <c r="T522" i="6"/>
  <c r="P522" i="6"/>
  <c r="T521" i="6"/>
  <c r="P521" i="6"/>
  <c r="T520" i="6"/>
  <c r="P520" i="6"/>
  <c r="T519" i="6"/>
  <c r="P519" i="6"/>
  <c r="T518" i="6"/>
  <c r="P518" i="6"/>
  <c r="T517" i="6"/>
  <c r="P517" i="6"/>
  <c r="T516" i="6"/>
  <c r="P516" i="6"/>
  <c r="T515" i="6"/>
  <c r="P515" i="6"/>
  <c r="T514" i="6"/>
  <c r="P514" i="6"/>
  <c r="T513" i="6"/>
  <c r="P513" i="6"/>
  <c r="T512" i="6"/>
  <c r="P512" i="6"/>
  <c r="T511" i="6"/>
  <c r="P511" i="6"/>
  <c r="T510" i="6"/>
  <c r="P510" i="6"/>
  <c r="T509" i="6"/>
  <c r="P509" i="6"/>
  <c r="T508" i="6"/>
  <c r="P508" i="6"/>
  <c r="T507" i="6"/>
  <c r="P507" i="6"/>
  <c r="T506" i="6"/>
  <c r="P506" i="6"/>
  <c r="T505" i="6"/>
  <c r="P505" i="6"/>
  <c r="T504" i="6"/>
  <c r="P504" i="6"/>
  <c r="T503" i="6"/>
  <c r="P503" i="6"/>
  <c r="T502" i="6"/>
  <c r="P502" i="6"/>
  <c r="T501" i="6"/>
  <c r="P501" i="6"/>
  <c r="T500" i="6"/>
  <c r="P500" i="6"/>
  <c r="T499" i="6"/>
  <c r="P499" i="6"/>
  <c r="T498" i="6"/>
  <c r="P498" i="6"/>
  <c r="T497" i="6"/>
  <c r="P497" i="6"/>
  <c r="T496" i="6"/>
  <c r="P496" i="6"/>
  <c r="T495" i="6"/>
  <c r="P495" i="6"/>
  <c r="T494" i="6"/>
  <c r="P494" i="6"/>
  <c r="T493" i="6"/>
  <c r="P493" i="6"/>
  <c r="T492" i="6"/>
  <c r="P492" i="6"/>
  <c r="T491" i="6"/>
  <c r="P491" i="6"/>
  <c r="T490" i="6"/>
  <c r="P490" i="6"/>
  <c r="T489" i="6"/>
  <c r="P489" i="6"/>
  <c r="T488" i="6"/>
  <c r="P488" i="6"/>
  <c r="T487" i="6"/>
  <c r="P487" i="6"/>
  <c r="T486" i="6"/>
  <c r="P486" i="6"/>
  <c r="T485" i="6"/>
  <c r="P485" i="6"/>
  <c r="T484" i="6"/>
  <c r="P484" i="6"/>
  <c r="T483" i="6"/>
  <c r="P483" i="6"/>
  <c r="T482" i="6"/>
  <c r="P482" i="6"/>
  <c r="T481" i="6"/>
  <c r="P481" i="6"/>
  <c r="T480" i="6"/>
  <c r="P480" i="6"/>
  <c r="T479" i="6"/>
  <c r="P479" i="6"/>
  <c r="T478" i="6"/>
  <c r="P478" i="6"/>
  <c r="T477" i="6"/>
  <c r="P477" i="6"/>
  <c r="T476" i="6"/>
  <c r="P476" i="6"/>
  <c r="T475" i="6"/>
  <c r="P475" i="6"/>
  <c r="T474" i="6"/>
  <c r="P474" i="6"/>
  <c r="T473" i="6"/>
  <c r="P473" i="6"/>
  <c r="T472" i="6"/>
  <c r="P472" i="6"/>
  <c r="T471" i="6"/>
  <c r="P471" i="6"/>
  <c r="T470" i="6"/>
  <c r="P470" i="6"/>
  <c r="T469" i="6"/>
  <c r="P469" i="6"/>
  <c r="T468" i="6"/>
  <c r="P468" i="6"/>
  <c r="T467" i="6"/>
  <c r="P467" i="6"/>
  <c r="T466" i="6"/>
  <c r="P466" i="6"/>
  <c r="T465" i="6"/>
  <c r="P465" i="6"/>
  <c r="T464" i="6"/>
  <c r="P464" i="6"/>
  <c r="T463" i="6"/>
  <c r="P463" i="6"/>
  <c r="T462" i="6"/>
  <c r="P462" i="6"/>
  <c r="T461" i="6"/>
  <c r="P461" i="6"/>
  <c r="T460" i="6"/>
  <c r="P460" i="6"/>
  <c r="T459" i="6"/>
  <c r="P459" i="6"/>
  <c r="T458" i="6"/>
  <c r="P458" i="6"/>
  <c r="T457" i="6"/>
  <c r="P457" i="6"/>
  <c r="T456" i="6"/>
  <c r="P456" i="6"/>
  <c r="T455" i="6"/>
  <c r="P455" i="6"/>
  <c r="T454" i="6"/>
  <c r="P454" i="6"/>
  <c r="T453" i="6"/>
  <c r="P453" i="6"/>
  <c r="T452" i="6"/>
  <c r="P452" i="6"/>
  <c r="T451" i="6"/>
  <c r="P451" i="6"/>
  <c r="T450" i="6"/>
  <c r="P450" i="6"/>
  <c r="T449" i="6"/>
  <c r="P449" i="6"/>
  <c r="T448" i="6"/>
  <c r="P448" i="6"/>
  <c r="T447" i="6"/>
  <c r="P447" i="6"/>
  <c r="T446" i="6"/>
  <c r="P446" i="6"/>
  <c r="T445" i="6"/>
  <c r="P445" i="6"/>
  <c r="T444" i="6"/>
  <c r="P444" i="6"/>
  <c r="T443" i="6"/>
  <c r="P443" i="6"/>
  <c r="T442" i="6"/>
  <c r="P442" i="6"/>
  <c r="T441" i="6"/>
  <c r="P441" i="6"/>
  <c r="T440" i="6"/>
  <c r="P440" i="6"/>
  <c r="T439" i="6"/>
  <c r="P439" i="6"/>
  <c r="T438" i="6"/>
  <c r="P438" i="6"/>
  <c r="T437" i="6"/>
  <c r="P437" i="6"/>
  <c r="T436" i="6"/>
  <c r="P436" i="6"/>
  <c r="T435" i="6"/>
  <c r="P435" i="6"/>
  <c r="T434" i="6"/>
  <c r="P434" i="6"/>
  <c r="T433" i="6"/>
  <c r="P433" i="6"/>
  <c r="T432" i="6"/>
  <c r="P432" i="6"/>
  <c r="T431" i="6"/>
  <c r="P431" i="6"/>
  <c r="T430" i="6"/>
  <c r="P430" i="6"/>
  <c r="T429" i="6"/>
  <c r="P429" i="6"/>
  <c r="T428" i="6"/>
  <c r="P428" i="6"/>
  <c r="T427" i="6"/>
  <c r="P427" i="6"/>
  <c r="T426" i="6"/>
  <c r="P426" i="6"/>
  <c r="T425" i="6"/>
  <c r="P425" i="6"/>
  <c r="T424" i="6"/>
  <c r="P424" i="6"/>
  <c r="T423" i="6"/>
  <c r="P423" i="6"/>
  <c r="T422" i="6"/>
  <c r="P422" i="6"/>
  <c r="T421" i="6"/>
  <c r="P421" i="6"/>
  <c r="T420" i="6"/>
  <c r="P420" i="6"/>
  <c r="T419" i="6"/>
  <c r="P419" i="6"/>
  <c r="T418" i="6"/>
  <c r="P418" i="6"/>
  <c r="T417" i="6"/>
  <c r="P417" i="6"/>
  <c r="T416" i="6"/>
  <c r="P416" i="6"/>
  <c r="T415" i="6"/>
  <c r="P415" i="6"/>
  <c r="T414" i="6"/>
  <c r="P414" i="6"/>
  <c r="T413" i="6"/>
  <c r="P413" i="6"/>
  <c r="T412" i="6"/>
  <c r="P412" i="6"/>
  <c r="T411" i="6"/>
  <c r="P411" i="6"/>
  <c r="T410" i="6"/>
  <c r="P410" i="6"/>
  <c r="T409" i="6"/>
  <c r="P409" i="6"/>
  <c r="T408" i="6"/>
  <c r="P408" i="6"/>
  <c r="T407" i="6"/>
  <c r="P407" i="6"/>
  <c r="T406" i="6"/>
  <c r="P406" i="6"/>
  <c r="T405" i="6"/>
  <c r="P405" i="6"/>
  <c r="T404" i="6"/>
  <c r="P404" i="6"/>
  <c r="T403" i="6"/>
  <c r="P403" i="6"/>
  <c r="T402" i="6"/>
  <c r="P402" i="6"/>
  <c r="T401" i="6"/>
  <c r="P401" i="6"/>
  <c r="T400" i="6"/>
  <c r="P400" i="6"/>
  <c r="T399" i="6"/>
  <c r="P399" i="6"/>
  <c r="T398" i="6"/>
  <c r="P398" i="6"/>
  <c r="T397" i="6"/>
  <c r="P397" i="6"/>
  <c r="T396" i="6"/>
  <c r="P396" i="6"/>
  <c r="T395" i="6"/>
  <c r="P395" i="6"/>
  <c r="T394" i="6"/>
  <c r="P394" i="6"/>
  <c r="T393" i="6"/>
  <c r="P393" i="6"/>
  <c r="T392" i="6"/>
  <c r="P392" i="6"/>
  <c r="T391" i="6"/>
  <c r="P391" i="6"/>
  <c r="T390" i="6"/>
  <c r="P390" i="6"/>
  <c r="T389" i="6"/>
  <c r="P389" i="6"/>
  <c r="T388" i="6"/>
  <c r="P388" i="6"/>
  <c r="T387" i="6"/>
  <c r="P387" i="6"/>
  <c r="T386" i="6"/>
  <c r="P386" i="6"/>
  <c r="T385" i="6"/>
  <c r="P385" i="6"/>
  <c r="T384" i="6"/>
  <c r="P384" i="6"/>
  <c r="T383" i="6"/>
  <c r="P383" i="6"/>
  <c r="T382" i="6"/>
  <c r="P382" i="6"/>
  <c r="T381" i="6"/>
  <c r="P381" i="6"/>
  <c r="T380" i="6"/>
  <c r="P380" i="6"/>
  <c r="T379" i="6"/>
  <c r="P379" i="6"/>
  <c r="T378" i="6"/>
  <c r="P378" i="6"/>
  <c r="T377" i="6"/>
  <c r="P377" i="6"/>
  <c r="T376" i="6"/>
  <c r="P376" i="6"/>
  <c r="T375" i="6"/>
  <c r="P375" i="6"/>
  <c r="T374" i="6"/>
  <c r="P374" i="6"/>
  <c r="T373" i="6"/>
  <c r="P373" i="6"/>
  <c r="T372" i="6"/>
  <c r="P372" i="6"/>
  <c r="T371" i="6"/>
  <c r="P371" i="6"/>
  <c r="T370" i="6"/>
  <c r="P370" i="6"/>
  <c r="T369" i="6"/>
  <c r="P369" i="6"/>
  <c r="T368" i="6"/>
  <c r="P368" i="6"/>
  <c r="T367" i="6"/>
  <c r="P367" i="6"/>
  <c r="T366" i="6"/>
  <c r="P366" i="6"/>
  <c r="T365" i="6"/>
  <c r="P365" i="6"/>
  <c r="T364" i="6"/>
  <c r="P364" i="6"/>
  <c r="T363" i="6"/>
  <c r="P363" i="6"/>
  <c r="T362" i="6"/>
  <c r="P362" i="6"/>
  <c r="T361" i="6"/>
  <c r="P361" i="6"/>
  <c r="T360" i="6"/>
  <c r="P360" i="6"/>
  <c r="T359" i="6"/>
  <c r="P359" i="6"/>
  <c r="T358" i="6"/>
  <c r="P358" i="6"/>
  <c r="T357" i="6"/>
  <c r="P357" i="6"/>
  <c r="T356" i="6"/>
  <c r="P356" i="6"/>
  <c r="T355" i="6"/>
  <c r="P355" i="6"/>
  <c r="T354" i="6"/>
  <c r="P354" i="6"/>
  <c r="T353" i="6"/>
  <c r="P353" i="6"/>
  <c r="T352" i="6"/>
  <c r="P352" i="6"/>
  <c r="T351" i="6"/>
  <c r="P351" i="6"/>
  <c r="T350" i="6"/>
  <c r="P350" i="6"/>
  <c r="T349" i="6"/>
  <c r="P349" i="6"/>
  <c r="T348" i="6"/>
  <c r="P348" i="6"/>
  <c r="T347" i="6"/>
  <c r="P347" i="6"/>
  <c r="T346" i="6"/>
  <c r="P346" i="6"/>
  <c r="T345" i="6"/>
  <c r="P345" i="6"/>
  <c r="T344" i="6"/>
  <c r="P344" i="6"/>
  <c r="T343" i="6"/>
  <c r="P343" i="6"/>
  <c r="T342" i="6"/>
  <c r="P342" i="6"/>
  <c r="T341" i="6"/>
  <c r="P341" i="6"/>
  <c r="T340" i="6"/>
  <c r="P340" i="6"/>
  <c r="T339" i="6"/>
  <c r="P339" i="6"/>
  <c r="T338" i="6"/>
  <c r="P338" i="6"/>
  <c r="T337" i="6"/>
  <c r="P337" i="6"/>
  <c r="T336" i="6"/>
  <c r="P336" i="6"/>
  <c r="T335" i="6"/>
  <c r="P335" i="6"/>
  <c r="T334" i="6"/>
  <c r="P334" i="6"/>
  <c r="T333" i="6"/>
  <c r="P333" i="6"/>
  <c r="T332" i="6"/>
  <c r="P332" i="6"/>
  <c r="T331" i="6"/>
  <c r="P331" i="6"/>
  <c r="T330" i="6"/>
  <c r="P330" i="6"/>
  <c r="T329" i="6"/>
  <c r="P329" i="6"/>
  <c r="T328" i="6"/>
  <c r="P328" i="6"/>
  <c r="T327" i="6"/>
  <c r="P327" i="6"/>
  <c r="T326" i="6"/>
  <c r="P326" i="6"/>
  <c r="T325" i="6"/>
  <c r="P325" i="6"/>
  <c r="T324" i="6"/>
  <c r="P324" i="6"/>
  <c r="T323" i="6"/>
  <c r="P323" i="6"/>
  <c r="T322" i="6"/>
  <c r="P322" i="6"/>
  <c r="T321" i="6"/>
  <c r="P321" i="6"/>
  <c r="T320" i="6"/>
  <c r="P320" i="6"/>
  <c r="T319" i="6"/>
  <c r="P319" i="6"/>
  <c r="T318" i="6"/>
  <c r="P318" i="6"/>
  <c r="T317" i="6"/>
  <c r="P317" i="6"/>
  <c r="T316" i="6"/>
  <c r="P316" i="6"/>
  <c r="T315" i="6"/>
  <c r="P315" i="6"/>
  <c r="T314" i="6"/>
  <c r="P314" i="6"/>
  <c r="T313" i="6"/>
  <c r="P313" i="6"/>
  <c r="T312" i="6"/>
  <c r="P312" i="6"/>
  <c r="T311" i="6"/>
  <c r="P311" i="6"/>
  <c r="T310" i="6"/>
  <c r="P310" i="6"/>
  <c r="T309" i="6"/>
  <c r="P309" i="6"/>
  <c r="T308" i="6"/>
  <c r="P308" i="6"/>
  <c r="T307" i="6"/>
  <c r="P307" i="6"/>
  <c r="T306" i="6"/>
  <c r="P306" i="6"/>
  <c r="T305" i="6"/>
  <c r="P305" i="6"/>
  <c r="T304" i="6"/>
  <c r="P304" i="6"/>
  <c r="T303" i="6"/>
  <c r="P303" i="6"/>
  <c r="T302" i="6"/>
  <c r="P302" i="6"/>
  <c r="T301" i="6"/>
  <c r="P301" i="6"/>
  <c r="T300" i="6"/>
  <c r="P300" i="6"/>
  <c r="T299" i="6"/>
  <c r="P299" i="6"/>
  <c r="T298" i="6"/>
  <c r="P298" i="6"/>
  <c r="T297" i="6"/>
  <c r="P297" i="6"/>
  <c r="T296" i="6"/>
  <c r="P296" i="6"/>
  <c r="T295" i="6"/>
  <c r="P295" i="6"/>
  <c r="T294" i="6"/>
  <c r="P294" i="6"/>
  <c r="T293" i="6"/>
  <c r="P293" i="6"/>
  <c r="T292" i="6"/>
  <c r="P292" i="6"/>
  <c r="T291" i="6"/>
  <c r="P291" i="6"/>
  <c r="T290" i="6"/>
  <c r="P290" i="6"/>
  <c r="T289" i="6"/>
  <c r="P289" i="6"/>
  <c r="T288" i="6"/>
  <c r="P288" i="6"/>
  <c r="T287" i="6"/>
  <c r="P287" i="6"/>
  <c r="T286" i="6"/>
  <c r="P286" i="6"/>
  <c r="T285" i="6"/>
  <c r="P285" i="6"/>
  <c r="T284" i="6"/>
  <c r="P284" i="6"/>
  <c r="T283" i="6"/>
  <c r="P283" i="6"/>
  <c r="T282" i="6"/>
  <c r="P282" i="6"/>
  <c r="T281" i="6"/>
  <c r="P281" i="6"/>
  <c r="T280" i="6"/>
  <c r="P280" i="6"/>
  <c r="T279" i="6"/>
  <c r="P279" i="6"/>
  <c r="T278" i="6"/>
  <c r="P278" i="6"/>
  <c r="T277" i="6"/>
  <c r="P277" i="6"/>
  <c r="T276" i="6"/>
  <c r="P276" i="6"/>
  <c r="T275" i="6"/>
  <c r="P275" i="6"/>
  <c r="T274" i="6"/>
  <c r="P274" i="6"/>
  <c r="T273" i="6"/>
  <c r="P273" i="6"/>
  <c r="T272" i="6"/>
  <c r="P272" i="6"/>
  <c r="T271" i="6"/>
  <c r="P271" i="6"/>
  <c r="T270" i="6"/>
  <c r="P270" i="6"/>
  <c r="T269" i="6"/>
  <c r="P269" i="6"/>
  <c r="T268" i="6"/>
  <c r="P268" i="6"/>
  <c r="T267" i="6"/>
  <c r="P267" i="6"/>
  <c r="T266" i="6"/>
  <c r="P266" i="6"/>
  <c r="T265" i="6"/>
  <c r="P265" i="6"/>
  <c r="T264" i="6"/>
  <c r="P264" i="6"/>
  <c r="T263" i="6"/>
  <c r="P263" i="6"/>
  <c r="T262" i="6"/>
  <c r="P262" i="6"/>
  <c r="T261" i="6"/>
  <c r="P261" i="6"/>
  <c r="T260" i="6"/>
  <c r="P260" i="6"/>
  <c r="T259" i="6"/>
  <c r="P259" i="6"/>
  <c r="T258" i="6"/>
  <c r="P258" i="6"/>
  <c r="T257" i="6"/>
  <c r="P257" i="6"/>
  <c r="T256" i="6"/>
  <c r="P256" i="6"/>
  <c r="T255" i="6"/>
  <c r="P255" i="6"/>
  <c r="T254" i="6"/>
  <c r="P254" i="6"/>
  <c r="T253" i="6"/>
  <c r="P253" i="6"/>
  <c r="T252" i="6"/>
  <c r="P252" i="6"/>
  <c r="T251" i="6"/>
  <c r="P251" i="6"/>
  <c r="T250" i="6"/>
  <c r="P250" i="6"/>
  <c r="T249" i="6"/>
  <c r="P249" i="6"/>
  <c r="T248" i="6"/>
  <c r="P248" i="6"/>
  <c r="T247" i="6"/>
  <c r="P247" i="6"/>
  <c r="T246" i="6"/>
  <c r="P246" i="6"/>
  <c r="T245" i="6"/>
  <c r="P245" i="6"/>
  <c r="T244" i="6"/>
  <c r="P244" i="6"/>
  <c r="T243" i="6"/>
  <c r="P243" i="6"/>
  <c r="T242" i="6"/>
  <c r="P242" i="6"/>
  <c r="T241" i="6"/>
  <c r="P241" i="6"/>
  <c r="T240" i="6"/>
  <c r="P240" i="6"/>
  <c r="T239" i="6"/>
  <c r="P239" i="6"/>
  <c r="T238" i="6"/>
  <c r="P238" i="6"/>
  <c r="T237" i="6"/>
  <c r="P237" i="6"/>
  <c r="T236" i="6"/>
  <c r="P236" i="6"/>
  <c r="T235" i="6"/>
  <c r="P235" i="6"/>
  <c r="T234" i="6"/>
  <c r="P234" i="6"/>
  <c r="T233" i="6"/>
  <c r="P233" i="6"/>
  <c r="T232" i="6"/>
  <c r="P232" i="6"/>
  <c r="T231" i="6"/>
  <c r="P231" i="6"/>
  <c r="T230" i="6"/>
  <c r="P230" i="6"/>
  <c r="T229" i="6"/>
  <c r="P229" i="6"/>
  <c r="T228" i="6"/>
  <c r="P228" i="6"/>
  <c r="T227" i="6"/>
  <c r="P227" i="6"/>
  <c r="T226" i="6"/>
  <c r="P226" i="6"/>
  <c r="T225" i="6"/>
  <c r="P225" i="6"/>
  <c r="T224" i="6"/>
  <c r="P224" i="6"/>
  <c r="T223" i="6"/>
  <c r="P223" i="6"/>
  <c r="T222" i="6"/>
  <c r="P222" i="6"/>
  <c r="T221" i="6"/>
  <c r="P221" i="6"/>
  <c r="T220" i="6"/>
  <c r="P220" i="6"/>
  <c r="T219" i="6"/>
  <c r="P219" i="6"/>
  <c r="T218" i="6"/>
  <c r="P218" i="6"/>
  <c r="T217" i="6"/>
  <c r="P217" i="6"/>
  <c r="T216" i="6"/>
  <c r="P216" i="6"/>
  <c r="T215" i="6"/>
  <c r="P215" i="6"/>
  <c r="T214" i="6"/>
  <c r="P214" i="6"/>
  <c r="T213" i="6"/>
  <c r="P213" i="6"/>
  <c r="T212" i="6"/>
  <c r="P212" i="6"/>
  <c r="T211" i="6"/>
  <c r="P211" i="6"/>
  <c r="T210" i="6"/>
  <c r="P210" i="6"/>
  <c r="T209" i="6"/>
  <c r="P209" i="6"/>
  <c r="T208" i="6"/>
  <c r="P208" i="6"/>
  <c r="T207" i="6"/>
  <c r="P207" i="6"/>
  <c r="T206" i="6"/>
  <c r="P206" i="6"/>
  <c r="T205" i="6"/>
  <c r="P205" i="6"/>
  <c r="T204" i="6"/>
  <c r="P204" i="6"/>
  <c r="T203" i="6"/>
  <c r="P203" i="6"/>
  <c r="T202" i="6"/>
  <c r="P202" i="6"/>
  <c r="T201" i="6"/>
  <c r="P201" i="6"/>
  <c r="T200" i="6"/>
  <c r="P200" i="6"/>
  <c r="T199" i="6"/>
  <c r="P199" i="6"/>
  <c r="T198" i="6"/>
  <c r="P198" i="6"/>
  <c r="T197" i="6"/>
  <c r="P197" i="6"/>
  <c r="T196" i="6"/>
  <c r="P196" i="6"/>
  <c r="T195" i="6"/>
  <c r="P195" i="6"/>
  <c r="T194" i="6"/>
  <c r="P194" i="6"/>
  <c r="T193" i="6"/>
  <c r="P193" i="6"/>
  <c r="T192" i="6"/>
  <c r="P192" i="6"/>
  <c r="T191" i="6"/>
  <c r="P191" i="6"/>
  <c r="T190" i="6"/>
  <c r="P190" i="6"/>
  <c r="T189" i="6"/>
  <c r="P189" i="6"/>
  <c r="T188" i="6"/>
  <c r="P188" i="6"/>
  <c r="T187" i="6"/>
  <c r="P187" i="6"/>
  <c r="T186" i="6"/>
  <c r="P186" i="6"/>
  <c r="T185" i="6"/>
  <c r="P185" i="6"/>
  <c r="T184" i="6"/>
  <c r="P184" i="6"/>
  <c r="T183" i="6"/>
  <c r="P183" i="6"/>
  <c r="T182" i="6"/>
  <c r="P182" i="6"/>
  <c r="T181" i="6"/>
  <c r="P181" i="6"/>
  <c r="T180" i="6"/>
  <c r="P180" i="6"/>
  <c r="T179" i="6"/>
  <c r="P179" i="6"/>
  <c r="T178" i="6"/>
  <c r="P178" i="6"/>
  <c r="T177" i="6"/>
  <c r="P177" i="6"/>
  <c r="T176" i="6"/>
  <c r="P176" i="6"/>
  <c r="T175" i="6"/>
  <c r="P175" i="6"/>
  <c r="T174" i="6"/>
  <c r="P174" i="6"/>
  <c r="T173" i="6"/>
  <c r="P173" i="6"/>
  <c r="T172" i="6"/>
  <c r="P172" i="6"/>
  <c r="T171" i="6"/>
  <c r="P171" i="6"/>
  <c r="T170" i="6"/>
  <c r="P170" i="6"/>
  <c r="T169" i="6"/>
  <c r="P169" i="6"/>
  <c r="T168" i="6"/>
  <c r="P168" i="6"/>
  <c r="T167" i="6"/>
  <c r="P167" i="6"/>
  <c r="T166" i="6"/>
  <c r="P166" i="6"/>
  <c r="T165" i="6"/>
  <c r="P165" i="6"/>
  <c r="T164" i="6"/>
  <c r="P164" i="6"/>
  <c r="T163" i="6"/>
  <c r="P163" i="6"/>
  <c r="T162" i="6"/>
  <c r="P162" i="6"/>
  <c r="T161" i="6"/>
  <c r="P161" i="6"/>
  <c r="T160" i="6"/>
  <c r="P160" i="6"/>
  <c r="T159" i="6"/>
  <c r="P159" i="6"/>
  <c r="T158" i="6"/>
  <c r="P158" i="6"/>
  <c r="T157" i="6"/>
  <c r="P157" i="6"/>
  <c r="T156" i="6"/>
  <c r="P156" i="6"/>
  <c r="T155" i="6"/>
  <c r="P155" i="6"/>
  <c r="T154" i="6"/>
  <c r="P154" i="6"/>
  <c r="T153" i="6"/>
  <c r="P153" i="6"/>
  <c r="T152" i="6"/>
  <c r="P152" i="6"/>
  <c r="T151" i="6"/>
  <c r="P151" i="6"/>
  <c r="T150" i="6"/>
  <c r="P150" i="6"/>
  <c r="T149" i="6"/>
  <c r="P149" i="6"/>
  <c r="T148" i="6"/>
  <c r="P148" i="6"/>
  <c r="T147" i="6"/>
  <c r="P147" i="6"/>
  <c r="T146" i="6"/>
  <c r="P146" i="6"/>
  <c r="T145" i="6"/>
  <c r="P145" i="6"/>
  <c r="T144" i="6"/>
  <c r="P144" i="6"/>
  <c r="T143" i="6"/>
  <c r="P143" i="6"/>
  <c r="T142" i="6"/>
  <c r="P142" i="6"/>
  <c r="T141" i="6"/>
  <c r="P141" i="6"/>
  <c r="T140" i="6"/>
  <c r="P140" i="6"/>
  <c r="T139" i="6"/>
  <c r="P139" i="6"/>
  <c r="T138" i="6"/>
  <c r="P138" i="6"/>
  <c r="T137" i="6"/>
  <c r="P137" i="6"/>
  <c r="T136" i="6"/>
  <c r="P136" i="6"/>
  <c r="T135" i="6"/>
  <c r="P135" i="6"/>
  <c r="T134" i="6"/>
  <c r="P134" i="6"/>
  <c r="T133" i="6"/>
  <c r="P133" i="6"/>
  <c r="T132" i="6"/>
  <c r="P132" i="6"/>
  <c r="T131" i="6"/>
  <c r="P131" i="6"/>
  <c r="T130" i="6"/>
  <c r="P130" i="6"/>
  <c r="T129" i="6"/>
  <c r="P129" i="6"/>
  <c r="T128" i="6"/>
  <c r="P128" i="6"/>
  <c r="T127" i="6"/>
  <c r="P127" i="6"/>
  <c r="T126" i="6"/>
  <c r="P126" i="6"/>
  <c r="T125" i="6"/>
  <c r="P125" i="6"/>
  <c r="T124" i="6"/>
  <c r="P124" i="6"/>
  <c r="T123" i="6"/>
  <c r="P123" i="6"/>
  <c r="T122" i="6"/>
  <c r="P122" i="6"/>
  <c r="T121" i="6"/>
  <c r="P121" i="6"/>
  <c r="T120" i="6"/>
  <c r="P120" i="6"/>
  <c r="T119" i="6"/>
  <c r="P119" i="6"/>
  <c r="T118" i="6"/>
  <c r="P118" i="6"/>
  <c r="T117" i="6"/>
  <c r="P117" i="6"/>
  <c r="T116" i="6"/>
  <c r="P116" i="6"/>
  <c r="T115" i="6"/>
  <c r="P115" i="6"/>
  <c r="T114" i="6"/>
  <c r="P114" i="6"/>
  <c r="T113" i="6"/>
  <c r="P113" i="6"/>
  <c r="T112" i="6"/>
  <c r="P112" i="6"/>
  <c r="T111" i="6"/>
  <c r="P111" i="6"/>
  <c r="T110" i="6"/>
  <c r="P110" i="6"/>
  <c r="T109" i="6"/>
  <c r="P109" i="6"/>
  <c r="T108" i="6"/>
  <c r="P108" i="6"/>
  <c r="T107" i="6"/>
  <c r="P107" i="6"/>
  <c r="T106" i="6"/>
  <c r="P106" i="6"/>
  <c r="T105" i="6"/>
  <c r="P105" i="6"/>
  <c r="T104" i="6"/>
  <c r="P104" i="6"/>
  <c r="T103" i="6"/>
  <c r="P103" i="6"/>
  <c r="T102" i="6"/>
  <c r="P102" i="6"/>
  <c r="T101" i="6"/>
  <c r="P101" i="6"/>
  <c r="T100" i="6"/>
  <c r="P100" i="6"/>
  <c r="T99" i="6"/>
  <c r="P99" i="6"/>
  <c r="T98" i="6"/>
  <c r="P98" i="6"/>
  <c r="T97" i="6"/>
  <c r="P97" i="6"/>
  <c r="T96" i="6"/>
  <c r="P96" i="6"/>
  <c r="T95" i="6"/>
  <c r="P95" i="6"/>
  <c r="T94" i="6"/>
  <c r="P94" i="6"/>
  <c r="T93" i="6"/>
  <c r="P93" i="6"/>
  <c r="T92" i="6"/>
  <c r="P92" i="6"/>
  <c r="T91" i="6"/>
  <c r="P91" i="6"/>
  <c r="T90" i="6"/>
  <c r="P90" i="6"/>
  <c r="T89" i="6"/>
  <c r="P89" i="6"/>
  <c r="T88" i="6"/>
  <c r="P88" i="6"/>
  <c r="T87" i="6"/>
  <c r="P87" i="6"/>
  <c r="T86" i="6"/>
  <c r="P86" i="6"/>
  <c r="T85" i="6"/>
  <c r="P85" i="6"/>
  <c r="T84" i="6"/>
  <c r="P84" i="6"/>
  <c r="T83" i="6"/>
  <c r="P83" i="6"/>
  <c r="T82" i="6"/>
  <c r="P82" i="6"/>
  <c r="T81" i="6"/>
  <c r="P81" i="6"/>
  <c r="T80" i="6"/>
  <c r="P80" i="6"/>
  <c r="T79" i="6"/>
  <c r="P79" i="6"/>
  <c r="T78" i="6"/>
  <c r="P78" i="6"/>
  <c r="T77" i="6"/>
  <c r="P77" i="6"/>
  <c r="T76" i="6"/>
  <c r="P76" i="6"/>
  <c r="T75" i="6"/>
  <c r="P75" i="6"/>
  <c r="T74" i="6"/>
  <c r="P74" i="6"/>
  <c r="T73" i="6"/>
  <c r="P73" i="6"/>
  <c r="T72" i="6"/>
  <c r="P72" i="6"/>
  <c r="T71" i="6"/>
  <c r="P71" i="6"/>
  <c r="T70" i="6"/>
  <c r="P70" i="6"/>
  <c r="T69" i="6"/>
  <c r="P69" i="6"/>
  <c r="T68" i="6"/>
  <c r="P68" i="6"/>
  <c r="T67" i="6"/>
  <c r="P67" i="6"/>
  <c r="T66" i="6"/>
  <c r="P66" i="6"/>
  <c r="T65" i="6"/>
  <c r="P65" i="6"/>
  <c r="T64" i="6"/>
  <c r="P64" i="6"/>
  <c r="T63" i="6"/>
  <c r="P63" i="6"/>
  <c r="T62" i="6"/>
  <c r="P62" i="6"/>
  <c r="T61" i="6"/>
  <c r="P61" i="6"/>
  <c r="T60" i="6"/>
  <c r="P60" i="6"/>
  <c r="T59" i="6"/>
  <c r="P59" i="6"/>
  <c r="T58" i="6"/>
  <c r="P58" i="6"/>
  <c r="T57" i="6"/>
  <c r="P57" i="6"/>
  <c r="T56" i="6"/>
  <c r="P56" i="6"/>
  <c r="T55" i="6"/>
  <c r="P55" i="6"/>
  <c r="T54" i="6"/>
  <c r="P54" i="6"/>
  <c r="T53" i="6"/>
  <c r="P53" i="6"/>
  <c r="T52" i="6"/>
  <c r="P52" i="6"/>
  <c r="T51" i="6"/>
  <c r="P51" i="6"/>
  <c r="T50" i="6"/>
  <c r="P50" i="6"/>
  <c r="T49" i="6"/>
  <c r="P49" i="6"/>
  <c r="T48" i="6"/>
  <c r="P48" i="6"/>
  <c r="T47" i="6"/>
  <c r="P47" i="6"/>
  <c r="T46" i="6"/>
  <c r="P46" i="6"/>
  <c r="T45" i="6"/>
  <c r="P45" i="6"/>
  <c r="T44" i="6"/>
  <c r="P44" i="6"/>
  <c r="T43" i="6"/>
  <c r="P43" i="6"/>
  <c r="T42" i="6"/>
  <c r="P42" i="6"/>
  <c r="T41" i="6"/>
  <c r="P41" i="6"/>
  <c r="T40" i="6"/>
  <c r="P40" i="6"/>
  <c r="T39" i="6"/>
  <c r="P39" i="6"/>
  <c r="T38" i="6"/>
  <c r="P38" i="6"/>
  <c r="T37" i="6"/>
  <c r="P37" i="6"/>
  <c r="T36" i="6"/>
  <c r="P36" i="6"/>
  <c r="T35" i="6"/>
  <c r="P35" i="6"/>
  <c r="T34" i="6"/>
  <c r="P34" i="6"/>
  <c r="T33" i="6"/>
  <c r="P33" i="6"/>
  <c r="T32" i="6"/>
  <c r="P32" i="6"/>
  <c r="T31" i="6"/>
  <c r="P31" i="6"/>
  <c r="T30" i="6"/>
  <c r="P30" i="6"/>
  <c r="T29" i="6"/>
  <c r="P29" i="6"/>
  <c r="T28" i="6"/>
  <c r="P28" i="6"/>
  <c r="T27" i="6"/>
  <c r="P27" i="6"/>
  <c r="T26" i="6"/>
  <c r="P26" i="6"/>
  <c r="T25" i="6"/>
  <c r="P25" i="6"/>
  <c r="T24" i="6"/>
  <c r="P24" i="6"/>
  <c r="T23" i="6"/>
  <c r="P23" i="6"/>
  <c r="T22" i="6"/>
  <c r="P22" i="6"/>
  <c r="T21" i="6"/>
  <c r="P21" i="6"/>
  <c r="T20" i="6"/>
  <c r="P20" i="6"/>
  <c r="T19" i="6"/>
  <c r="P19" i="6"/>
  <c r="T18" i="6"/>
  <c r="P18" i="6"/>
  <c r="T17" i="6"/>
  <c r="P17" i="6"/>
  <c r="T16" i="6"/>
  <c r="P16" i="6"/>
  <c r="T15" i="6"/>
  <c r="P15" i="6"/>
  <c r="T14" i="6"/>
  <c r="P14" i="6"/>
  <c r="T13" i="6"/>
  <c r="P13" i="6"/>
  <c r="T12" i="6"/>
  <c r="P12" i="6"/>
  <c r="T11" i="6"/>
  <c r="P11" i="6"/>
  <c r="T10" i="6"/>
  <c r="P10" i="6"/>
  <c r="T9" i="6"/>
  <c r="P9" i="6"/>
  <c r="T8" i="6"/>
  <c r="P8" i="6"/>
  <c r="T7" i="6"/>
  <c r="P7" i="6"/>
  <c r="T6" i="6"/>
  <c r="P6" i="6"/>
  <c r="T5" i="6"/>
  <c r="P5" i="6"/>
  <c r="V4" i="6"/>
  <c r="V5" i="6" s="1"/>
  <c r="V6" i="6" s="1"/>
  <c r="T4" i="6"/>
  <c r="P4" i="6"/>
  <c r="T3" i="6"/>
  <c r="P3" i="6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W531" i="2" s="1"/>
  <c r="V530" i="2"/>
  <c r="W530" i="2" s="1"/>
  <c r="V529" i="2"/>
  <c r="W529" i="2" s="1"/>
  <c r="V528" i="2"/>
  <c r="W528" i="2" s="1"/>
  <c r="V527" i="2"/>
  <c r="W527" i="2" s="1"/>
  <c r="V526" i="2"/>
  <c r="W526" i="2" s="1"/>
  <c r="V525" i="2"/>
  <c r="W525" i="2" s="1"/>
  <c r="V524" i="2"/>
  <c r="W524" i="2" s="1"/>
  <c r="V523" i="2"/>
  <c r="W523" i="2" s="1"/>
  <c r="V522" i="2"/>
  <c r="W522" i="2" s="1"/>
  <c r="V521" i="2"/>
  <c r="W521" i="2" s="1"/>
  <c r="V520" i="2"/>
  <c r="W520" i="2" s="1"/>
  <c r="V519" i="2"/>
  <c r="W519" i="2" s="1"/>
  <c r="V518" i="2"/>
  <c r="W518" i="2" s="1"/>
  <c r="V517" i="2"/>
  <c r="W517" i="2" s="1"/>
  <c r="V516" i="2"/>
  <c r="W516" i="2" s="1"/>
  <c r="V515" i="2"/>
  <c r="W515" i="2" s="1"/>
  <c r="V514" i="2"/>
  <c r="W514" i="2" s="1"/>
  <c r="V513" i="2"/>
  <c r="W513" i="2" s="1"/>
  <c r="V512" i="2"/>
  <c r="W512" i="2" s="1"/>
  <c r="V511" i="2"/>
  <c r="W511" i="2" s="1"/>
  <c r="V510" i="2"/>
  <c r="W510" i="2" s="1"/>
  <c r="V509" i="2"/>
  <c r="W509" i="2" s="1"/>
  <c r="V508" i="2"/>
  <c r="W508" i="2" s="1"/>
  <c r="V507" i="2"/>
  <c r="W507" i="2" s="1"/>
  <c r="V506" i="2"/>
  <c r="W506" i="2" s="1"/>
  <c r="V505" i="2"/>
  <c r="W505" i="2" s="1"/>
  <c r="V504" i="2"/>
  <c r="W504" i="2" s="1"/>
  <c r="V503" i="2"/>
  <c r="W503" i="2" s="1"/>
  <c r="V502" i="2"/>
  <c r="W502" i="2" s="1"/>
  <c r="V501" i="2"/>
  <c r="W501" i="2" s="1"/>
  <c r="V500" i="2"/>
  <c r="W500" i="2" s="1"/>
  <c r="V499" i="2"/>
  <c r="W499" i="2" s="1"/>
  <c r="V498" i="2"/>
  <c r="W498" i="2" s="1"/>
  <c r="V497" i="2"/>
  <c r="W497" i="2" s="1"/>
  <c r="V496" i="2"/>
  <c r="W496" i="2" s="1"/>
  <c r="V495" i="2"/>
  <c r="W495" i="2" s="1"/>
  <c r="V494" i="2"/>
  <c r="W494" i="2" s="1"/>
  <c r="V493" i="2"/>
  <c r="W493" i="2" s="1"/>
  <c r="V492" i="2"/>
  <c r="W492" i="2" s="1"/>
  <c r="V491" i="2"/>
  <c r="W491" i="2" s="1"/>
  <c r="V490" i="2"/>
  <c r="W490" i="2" s="1"/>
  <c r="V489" i="2"/>
  <c r="W489" i="2" s="1"/>
  <c r="V488" i="2"/>
  <c r="W488" i="2" s="1"/>
  <c r="V487" i="2"/>
  <c r="W487" i="2" s="1"/>
  <c r="V486" i="2"/>
  <c r="W486" i="2" s="1"/>
  <c r="V485" i="2"/>
  <c r="W485" i="2" s="1"/>
  <c r="V484" i="2"/>
  <c r="W484" i="2" s="1"/>
  <c r="V483" i="2"/>
  <c r="W483" i="2" s="1"/>
  <c r="V482" i="2"/>
  <c r="W482" i="2" s="1"/>
  <c r="V481" i="2"/>
  <c r="W481" i="2" s="1"/>
  <c r="V480" i="2"/>
  <c r="W480" i="2" s="1"/>
  <c r="V479" i="2"/>
  <c r="W479" i="2" s="1"/>
  <c r="V478" i="2"/>
  <c r="W478" i="2" s="1"/>
  <c r="V477" i="2"/>
  <c r="W477" i="2" s="1"/>
  <c r="V476" i="2"/>
  <c r="W476" i="2" s="1"/>
  <c r="V475" i="2"/>
  <c r="W475" i="2" s="1"/>
  <c r="V474" i="2"/>
  <c r="W474" i="2" s="1"/>
  <c r="V473" i="2"/>
  <c r="W473" i="2" s="1"/>
  <c r="V472" i="2"/>
  <c r="W472" i="2" s="1"/>
  <c r="V471" i="2"/>
  <c r="W471" i="2" s="1"/>
  <c r="V470" i="2"/>
  <c r="W470" i="2" s="1"/>
  <c r="V469" i="2"/>
  <c r="W469" i="2" s="1"/>
  <c r="V468" i="2"/>
  <c r="W468" i="2" s="1"/>
  <c r="V467" i="2"/>
  <c r="W467" i="2" s="1"/>
  <c r="V466" i="2"/>
  <c r="W466" i="2" s="1"/>
  <c r="V465" i="2"/>
  <c r="W465" i="2" s="1"/>
  <c r="V464" i="2"/>
  <c r="W464" i="2" s="1"/>
  <c r="V463" i="2"/>
  <c r="W463" i="2" s="1"/>
  <c r="V462" i="2"/>
  <c r="W462" i="2" s="1"/>
  <c r="V461" i="2"/>
  <c r="W461" i="2" s="1"/>
  <c r="V460" i="2"/>
  <c r="W460" i="2" s="1"/>
  <c r="V459" i="2"/>
  <c r="W459" i="2" s="1"/>
  <c r="V458" i="2"/>
  <c r="W458" i="2" s="1"/>
  <c r="V457" i="2"/>
  <c r="W457" i="2" s="1"/>
  <c r="V456" i="2"/>
  <c r="W456" i="2" s="1"/>
  <c r="V455" i="2"/>
  <c r="W455" i="2" s="1"/>
  <c r="V454" i="2"/>
  <c r="W454" i="2" s="1"/>
  <c r="V453" i="2"/>
  <c r="W453" i="2" s="1"/>
  <c r="V452" i="2"/>
  <c r="W452" i="2" s="1"/>
  <c r="V451" i="2"/>
  <c r="W451" i="2" s="1"/>
  <c r="V450" i="2"/>
  <c r="W450" i="2" s="1"/>
  <c r="V449" i="2"/>
  <c r="W449" i="2" s="1"/>
  <c r="V448" i="2"/>
  <c r="W448" i="2" s="1"/>
  <c r="V447" i="2"/>
  <c r="W447" i="2" s="1"/>
  <c r="V446" i="2"/>
  <c r="W446" i="2" s="1"/>
  <c r="V445" i="2"/>
  <c r="W445" i="2" s="1"/>
  <c r="V444" i="2"/>
  <c r="W444" i="2" s="1"/>
  <c r="V443" i="2"/>
  <c r="W443" i="2" s="1"/>
  <c r="V442" i="2"/>
  <c r="W442" i="2" s="1"/>
  <c r="V441" i="2"/>
  <c r="W441" i="2" s="1"/>
  <c r="V440" i="2"/>
  <c r="W440" i="2" s="1"/>
  <c r="V439" i="2"/>
  <c r="W439" i="2" s="1"/>
  <c r="V438" i="2"/>
  <c r="W438" i="2" s="1"/>
  <c r="V437" i="2"/>
  <c r="W437" i="2" s="1"/>
  <c r="V436" i="2"/>
  <c r="W436" i="2" s="1"/>
  <c r="V435" i="2"/>
  <c r="W435" i="2" s="1"/>
  <c r="V434" i="2"/>
  <c r="W434" i="2" s="1"/>
  <c r="V433" i="2"/>
  <c r="W433" i="2" s="1"/>
  <c r="V432" i="2"/>
  <c r="W432" i="2" s="1"/>
  <c r="V431" i="2"/>
  <c r="W431" i="2" s="1"/>
  <c r="V430" i="2"/>
  <c r="W430" i="2" s="1"/>
  <c r="V429" i="2"/>
  <c r="W429" i="2" s="1"/>
  <c r="V428" i="2"/>
  <c r="W428" i="2" s="1"/>
  <c r="V427" i="2"/>
  <c r="W427" i="2" s="1"/>
  <c r="V426" i="2"/>
  <c r="W426" i="2" s="1"/>
  <c r="V425" i="2"/>
  <c r="W425" i="2" s="1"/>
  <c r="V424" i="2"/>
  <c r="W424" i="2" s="1"/>
  <c r="V423" i="2"/>
  <c r="W423" i="2" s="1"/>
  <c r="V422" i="2"/>
  <c r="W422" i="2" s="1"/>
  <c r="V421" i="2"/>
  <c r="W421" i="2" s="1"/>
  <c r="V420" i="2"/>
  <c r="W420" i="2" s="1"/>
  <c r="V419" i="2"/>
  <c r="W419" i="2" s="1"/>
  <c r="V418" i="2"/>
  <c r="W418" i="2" s="1"/>
  <c r="V417" i="2"/>
  <c r="W417" i="2" s="1"/>
  <c r="V416" i="2"/>
  <c r="W416" i="2" s="1"/>
  <c r="V415" i="2"/>
  <c r="W415" i="2" s="1"/>
  <c r="V414" i="2"/>
  <c r="W414" i="2" s="1"/>
  <c r="V413" i="2"/>
  <c r="W413" i="2" s="1"/>
  <c r="V412" i="2"/>
  <c r="W412" i="2" s="1"/>
  <c r="V411" i="2"/>
  <c r="W411" i="2" s="1"/>
  <c r="V410" i="2"/>
  <c r="W410" i="2" s="1"/>
  <c r="V409" i="2"/>
  <c r="W409" i="2" s="1"/>
  <c r="V408" i="2"/>
  <c r="W408" i="2" s="1"/>
  <c r="V407" i="2"/>
  <c r="W407" i="2" s="1"/>
  <c r="V406" i="2"/>
  <c r="W406" i="2" s="1"/>
  <c r="V405" i="2"/>
  <c r="W405" i="2" s="1"/>
  <c r="V404" i="2"/>
  <c r="W404" i="2" s="1"/>
  <c r="V403" i="2"/>
  <c r="Y403" i="2" s="1"/>
  <c r="V402" i="2"/>
  <c r="W402" i="2" s="1"/>
  <c r="V401" i="2"/>
  <c r="W401" i="2" s="1"/>
  <c r="V400" i="2"/>
  <c r="W400" i="2" s="1"/>
  <c r="V399" i="2"/>
  <c r="W399" i="2" s="1"/>
  <c r="V398" i="2"/>
  <c r="W398" i="2" s="1"/>
  <c r="V397" i="2"/>
  <c r="W397" i="2" s="1"/>
  <c r="V396" i="2"/>
  <c r="W396" i="2" s="1"/>
  <c r="V395" i="2"/>
  <c r="W395" i="2" s="1"/>
  <c r="V394" i="2"/>
  <c r="W394" i="2" s="1"/>
  <c r="V393" i="2"/>
  <c r="W393" i="2" s="1"/>
  <c r="V392" i="2"/>
  <c r="W392" i="2" s="1"/>
  <c r="V391" i="2"/>
  <c r="W391" i="2" s="1"/>
  <c r="V390" i="2"/>
  <c r="W390" i="2" s="1"/>
  <c r="V389" i="2"/>
  <c r="W389" i="2" s="1"/>
  <c r="V388" i="2"/>
  <c r="W388" i="2" s="1"/>
  <c r="V387" i="2"/>
  <c r="W387" i="2" s="1"/>
  <c r="V386" i="2"/>
  <c r="W386" i="2" s="1"/>
  <c r="V385" i="2"/>
  <c r="W385" i="2" s="1"/>
  <c r="V384" i="2"/>
  <c r="W384" i="2" s="1"/>
  <c r="V383" i="2"/>
  <c r="W383" i="2" s="1"/>
  <c r="V382" i="2"/>
  <c r="W382" i="2" s="1"/>
  <c r="V381" i="2"/>
  <c r="W381" i="2" s="1"/>
  <c r="V380" i="2"/>
  <c r="W380" i="2" s="1"/>
  <c r="V379" i="2"/>
  <c r="W379" i="2" s="1"/>
  <c r="V378" i="2"/>
  <c r="W378" i="2" s="1"/>
  <c r="V377" i="2"/>
  <c r="W377" i="2" s="1"/>
  <c r="V376" i="2"/>
  <c r="W376" i="2" s="1"/>
  <c r="V375" i="2"/>
  <c r="W375" i="2" s="1"/>
  <c r="V374" i="2"/>
  <c r="W374" i="2" s="1"/>
  <c r="V373" i="2"/>
  <c r="W373" i="2" s="1"/>
  <c r="V372" i="2"/>
  <c r="W372" i="2" s="1"/>
  <c r="V371" i="2"/>
  <c r="W371" i="2" s="1"/>
  <c r="V370" i="2"/>
  <c r="W370" i="2" s="1"/>
  <c r="V369" i="2"/>
  <c r="W369" i="2" s="1"/>
  <c r="V368" i="2"/>
  <c r="W368" i="2" s="1"/>
  <c r="V367" i="2"/>
  <c r="W367" i="2" s="1"/>
  <c r="V366" i="2"/>
  <c r="W366" i="2" s="1"/>
  <c r="V365" i="2"/>
  <c r="W365" i="2" s="1"/>
  <c r="V364" i="2"/>
  <c r="W364" i="2" s="1"/>
  <c r="V363" i="2"/>
  <c r="W363" i="2" s="1"/>
  <c r="V362" i="2"/>
  <c r="W362" i="2" s="1"/>
  <c r="V361" i="2"/>
  <c r="W361" i="2" s="1"/>
  <c r="V360" i="2"/>
  <c r="W360" i="2" s="1"/>
  <c r="V359" i="2"/>
  <c r="W359" i="2" s="1"/>
  <c r="V358" i="2"/>
  <c r="W358" i="2" s="1"/>
  <c r="V357" i="2"/>
  <c r="W357" i="2" s="1"/>
  <c r="V356" i="2"/>
  <c r="W356" i="2" s="1"/>
  <c r="V355" i="2"/>
  <c r="W355" i="2" s="1"/>
  <c r="V354" i="2"/>
  <c r="W354" i="2" s="1"/>
  <c r="V353" i="2"/>
  <c r="W353" i="2" s="1"/>
  <c r="V352" i="2"/>
  <c r="W352" i="2" s="1"/>
  <c r="V351" i="2"/>
  <c r="W351" i="2" s="1"/>
  <c r="V350" i="2"/>
  <c r="W350" i="2" s="1"/>
  <c r="V349" i="2"/>
  <c r="W349" i="2" s="1"/>
  <c r="V348" i="2"/>
  <c r="W348" i="2" s="1"/>
  <c r="V347" i="2"/>
  <c r="W347" i="2" s="1"/>
  <c r="V346" i="2"/>
  <c r="W346" i="2" s="1"/>
  <c r="V345" i="2"/>
  <c r="W345" i="2" s="1"/>
  <c r="V344" i="2"/>
  <c r="W344" i="2" s="1"/>
  <c r="V343" i="2"/>
  <c r="W343" i="2" s="1"/>
  <c r="V342" i="2"/>
  <c r="W342" i="2" s="1"/>
  <c r="V341" i="2"/>
  <c r="W341" i="2" s="1"/>
  <c r="V340" i="2"/>
  <c r="W340" i="2" s="1"/>
  <c r="V339" i="2"/>
  <c r="W339" i="2" s="1"/>
  <c r="V338" i="2"/>
  <c r="W338" i="2" s="1"/>
  <c r="V337" i="2"/>
  <c r="W337" i="2" s="1"/>
  <c r="V336" i="2"/>
  <c r="W336" i="2" s="1"/>
  <c r="V335" i="2"/>
  <c r="W335" i="2" s="1"/>
  <c r="V334" i="2"/>
  <c r="W334" i="2" s="1"/>
  <c r="V333" i="2"/>
  <c r="W333" i="2" s="1"/>
  <c r="V332" i="2"/>
  <c r="W332" i="2" s="1"/>
  <c r="V331" i="2"/>
  <c r="W331" i="2" s="1"/>
  <c r="V330" i="2"/>
  <c r="W330" i="2" s="1"/>
  <c r="V329" i="2"/>
  <c r="W329" i="2" s="1"/>
  <c r="V328" i="2"/>
  <c r="W328" i="2" s="1"/>
  <c r="V327" i="2"/>
  <c r="W327" i="2" s="1"/>
  <c r="V326" i="2"/>
  <c r="W326" i="2" s="1"/>
  <c r="V325" i="2"/>
  <c r="W325" i="2" s="1"/>
  <c r="V324" i="2"/>
  <c r="W324" i="2" s="1"/>
  <c r="V323" i="2"/>
  <c r="W323" i="2" s="1"/>
  <c r="V322" i="2"/>
  <c r="W322" i="2" s="1"/>
  <c r="V321" i="2"/>
  <c r="W321" i="2" s="1"/>
  <c r="V320" i="2"/>
  <c r="W320" i="2" s="1"/>
  <c r="V319" i="2"/>
  <c r="W319" i="2" s="1"/>
  <c r="V318" i="2"/>
  <c r="W318" i="2" s="1"/>
  <c r="V317" i="2"/>
  <c r="W317" i="2" s="1"/>
  <c r="V316" i="2"/>
  <c r="W316" i="2" s="1"/>
  <c r="V315" i="2"/>
  <c r="W315" i="2" s="1"/>
  <c r="V314" i="2"/>
  <c r="W314" i="2" s="1"/>
  <c r="V313" i="2"/>
  <c r="W313" i="2" s="1"/>
  <c r="V312" i="2"/>
  <c r="W312" i="2" s="1"/>
  <c r="V311" i="2"/>
  <c r="W311" i="2" s="1"/>
  <c r="V310" i="2"/>
  <c r="W310" i="2" s="1"/>
  <c r="V309" i="2"/>
  <c r="W309" i="2" s="1"/>
  <c r="V308" i="2"/>
  <c r="W308" i="2" s="1"/>
  <c r="V307" i="2"/>
  <c r="W307" i="2" s="1"/>
  <c r="V306" i="2"/>
  <c r="W306" i="2" s="1"/>
  <c r="V305" i="2"/>
  <c r="W305" i="2" s="1"/>
  <c r="V304" i="2"/>
  <c r="W304" i="2" s="1"/>
  <c r="V303" i="2"/>
  <c r="W303" i="2" s="1"/>
  <c r="V302" i="2"/>
  <c r="W302" i="2" s="1"/>
  <c r="V301" i="2"/>
  <c r="W301" i="2" s="1"/>
  <c r="V300" i="2"/>
  <c r="W300" i="2" s="1"/>
  <c r="V299" i="2"/>
  <c r="W299" i="2" s="1"/>
  <c r="V298" i="2"/>
  <c r="W298" i="2" s="1"/>
  <c r="V297" i="2"/>
  <c r="W297" i="2" s="1"/>
  <c r="V296" i="2"/>
  <c r="W296" i="2" s="1"/>
  <c r="V295" i="2"/>
  <c r="W295" i="2" s="1"/>
  <c r="V294" i="2"/>
  <c r="W294" i="2" s="1"/>
  <c r="V293" i="2"/>
  <c r="W293" i="2" s="1"/>
  <c r="V292" i="2"/>
  <c r="W292" i="2" s="1"/>
  <c r="V291" i="2"/>
  <c r="W291" i="2" s="1"/>
  <c r="V290" i="2"/>
  <c r="W290" i="2" s="1"/>
  <c r="V289" i="2"/>
  <c r="W289" i="2" s="1"/>
  <c r="V288" i="2"/>
  <c r="W288" i="2" s="1"/>
  <c r="V287" i="2"/>
  <c r="W287" i="2" s="1"/>
  <c r="V286" i="2"/>
  <c r="W286" i="2" s="1"/>
  <c r="V285" i="2"/>
  <c r="W285" i="2" s="1"/>
  <c r="V284" i="2"/>
  <c r="W284" i="2" s="1"/>
  <c r="V283" i="2"/>
  <c r="W283" i="2" s="1"/>
  <c r="V282" i="2"/>
  <c r="W282" i="2" s="1"/>
  <c r="V281" i="2"/>
  <c r="W281" i="2" s="1"/>
  <c r="V280" i="2"/>
  <c r="W280" i="2" s="1"/>
  <c r="V279" i="2"/>
  <c r="W279" i="2" s="1"/>
  <c r="V278" i="2"/>
  <c r="W278" i="2" s="1"/>
  <c r="V277" i="2"/>
  <c r="W277" i="2" s="1"/>
  <c r="V276" i="2"/>
  <c r="W276" i="2" s="1"/>
  <c r="V275" i="2"/>
  <c r="W275" i="2" s="1"/>
  <c r="V274" i="2"/>
  <c r="W274" i="2" s="1"/>
  <c r="V273" i="2"/>
  <c r="W273" i="2" s="1"/>
  <c r="V272" i="2"/>
  <c r="W272" i="2" s="1"/>
  <c r="V271" i="2"/>
  <c r="W271" i="2" s="1"/>
  <c r="V270" i="2"/>
  <c r="W270" i="2" s="1"/>
  <c r="V269" i="2"/>
  <c r="W269" i="2" s="1"/>
  <c r="V268" i="2"/>
  <c r="W268" i="2" s="1"/>
  <c r="V267" i="2"/>
  <c r="W267" i="2" s="1"/>
  <c r="V266" i="2"/>
  <c r="W266" i="2" s="1"/>
  <c r="V265" i="2"/>
  <c r="W265" i="2" s="1"/>
  <c r="V264" i="2"/>
  <c r="W264" i="2" s="1"/>
  <c r="V263" i="2"/>
  <c r="W263" i="2" s="1"/>
  <c r="V262" i="2"/>
  <c r="W262" i="2" s="1"/>
  <c r="V261" i="2"/>
  <c r="W261" i="2" s="1"/>
  <c r="V260" i="2"/>
  <c r="W260" i="2" s="1"/>
  <c r="V259" i="2"/>
  <c r="W259" i="2" s="1"/>
  <c r="V258" i="2"/>
  <c r="W258" i="2" s="1"/>
  <c r="V257" i="2"/>
  <c r="W257" i="2" s="1"/>
  <c r="V256" i="2"/>
  <c r="W256" i="2" s="1"/>
  <c r="V255" i="2"/>
  <c r="W255" i="2" s="1"/>
  <c r="V254" i="2"/>
  <c r="W254" i="2" s="1"/>
  <c r="V253" i="2"/>
  <c r="W253" i="2" s="1"/>
  <c r="V252" i="2"/>
  <c r="W252" i="2" s="1"/>
  <c r="V251" i="2"/>
  <c r="W251" i="2" s="1"/>
  <c r="V250" i="2"/>
  <c r="W250" i="2" s="1"/>
  <c r="V249" i="2"/>
  <c r="W249" i="2" s="1"/>
  <c r="V248" i="2"/>
  <c r="W248" i="2" s="1"/>
  <c r="V247" i="2"/>
  <c r="W247" i="2" s="1"/>
  <c r="V246" i="2"/>
  <c r="W246" i="2" s="1"/>
  <c r="V245" i="2"/>
  <c r="W245" i="2" s="1"/>
  <c r="V244" i="2"/>
  <c r="W244" i="2" s="1"/>
  <c r="V243" i="2"/>
  <c r="W243" i="2" s="1"/>
  <c r="V242" i="2"/>
  <c r="W242" i="2" s="1"/>
  <c r="V241" i="2"/>
  <c r="W241" i="2" s="1"/>
  <c r="V240" i="2"/>
  <c r="W240" i="2" s="1"/>
  <c r="V239" i="2"/>
  <c r="W239" i="2" s="1"/>
  <c r="V238" i="2"/>
  <c r="W238" i="2" s="1"/>
  <c r="V237" i="2"/>
  <c r="W237" i="2" s="1"/>
  <c r="V236" i="2"/>
  <c r="W236" i="2" s="1"/>
  <c r="V235" i="2"/>
  <c r="W235" i="2" s="1"/>
  <c r="V234" i="2"/>
  <c r="W234" i="2" s="1"/>
  <c r="V233" i="2"/>
  <c r="W233" i="2" s="1"/>
  <c r="V232" i="2"/>
  <c r="W232" i="2" s="1"/>
  <c r="V231" i="2"/>
  <c r="W231" i="2" s="1"/>
  <c r="V230" i="2"/>
  <c r="W230" i="2" s="1"/>
  <c r="V229" i="2"/>
  <c r="W229" i="2" s="1"/>
  <c r="V228" i="2"/>
  <c r="W228" i="2" s="1"/>
  <c r="V227" i="2"/>
  <c r="W227" i="2" s="1"/>
  <c r="V226" i="2"/>
  <c r="W226" i="2" s="1"/>
  <c r="V225" i="2"/>
  <c r="W225" i="2" s="1"/>
  <c r="V224" i="2"/>
  <c r="W224" i="2" s="1"/>
  <c r="V223" i="2"/>
  <c r="W223" i="2" s="1"/>
  <c r="V222" i="2"/>
  <c r="W222" i="2" s="1"/>
  <c r="V221" i="2"/>
  <c r="W221" i="2" s="1"/>
  <c r="V220" i="2"/>
  <c r="W220" i="2" s="1"/>
  <c r="V219" i="2"/>
  <c r="W219" i="2" s="1"/>
  <c r="V218" i="2"/>
  <c r="W218" i="2" s="1"/>
  <c r="V217" i="2"/>
  <c r="W217" i="2" s="1"/>
  <c r="V216" i="2"/>
  <c r="W216" i="2" s="1"/>
  <c r="V215" i="2"/>
  <c r="W215" i="2" s="1"/>
  <c r="V214" i="2"/>
  <c r="W214" i="2" s="1"/>
  <c r="V213" i="2"/>
  <c r="W213" i="2" s="1"/>
  <c r="V212" i="2"/>
  <c r="W212" i="2" s="1"/>
  <c r="V211" i="2"/>
  <c r="W211" i="2" s="1"/>
  <c r="V210" i="2"/>
  <c r="W210" i="2" s="1"/>
  <c r="V209" i="2"/>
  <c r="W209" i="2" s="1"/>
  <c r="V208" i="2"/>
  <c r="W208" i="2" s="1"/>
  <c r="V207" i="2"/>
  <c r="W207" i="2" s="1"/>
  <c r="V206" i="2"/>
  <c r="W206" i="2" s="1"/>
  <c r="V205" i="2"/>
  <c r="W205" i="2" s="1"/>
  <c r="V204" i="2"/>
  <c r="W204" i="2" s="1"/>
  <c r="V203" i="2"/>
  <c r="W203" i="2" s="1"/>
  <c r="V202" i="2"/>
  <c r="W202" i="2" s="1"/>
  <c r="V201" i="2"/>
  <c r="W201" i="2" s="1"/>
  <c r="V200" i="2"/>
  <c r="W200" i="2" s="1"/>
  <c r="V199" i="2"/>
  <c r="W199" i="2" s="1"/>
  <c r="V198" i="2"/>
  <c r="W198" i="2" s="1"/>
  <c r="V197" i="2"/>
  <c r="W197" i="2" s="1"/>
  <c r="V196" i="2"/>
  <c r="W196" i="2" s="1"/>
  <c r="V195" i="2"/>
  <c r="W195" i="2" s="1"/>
  <c r="V194" i="2"/>
  <c r="W194" i="2" s="1"/>
  <c r="V193" i="2"/>
  <c r="W193" i="2" s="1"/>
  <c r="V192" i="2"/>
  <c r="W192" i="2" s="1"/>
  <c r="V191" i="2"/>
  <c r="W191" i="2" s="1"/>
  <c r="V190" i="2"/>
  <c r="W190" i="2" s="1"/>
  <c r="V189" i="2"/>
  <c r="W189" i="2" s="1"/>
  <c r="V188" i="2"/>
  <c r="W188" i="2" s="1"/>
  <c r="V187" i="2"/>
  <c r="W187" i="2" s="1"/>
  <c r="V186" i="2"/>
  <c r="W186" i="2" s="1"/>
  <c r="V185" i="2"/>
  <c r="W185" i="2" s="1"/>
  <c r="V184" i="2"/>
  <c r="W184" i="2" s="1"/>
  <c r="V183" i="2"/>
  <c r="W183" i="2" s="1"/>
  <c r="V182" i="2"/>
  <c r="W182" i="2" s="1"/>
  <c r="V181" i="2"/>
  <c r="W181" i="2" s="1"/>
  <c r="V180" i="2"/>
  <c r="W180" i="2" s="1"/>
  <c r="V179" i="2"/>
  <c r="W179" i="2" s="1"/>
  <c r="V178" i="2"/>
  <c r="W178" i="2" s="1"/>
  <c r="V177" i="2"/>
  <c r="W177" i="2" s="1"/>
  <c r="V176" i="2"/>
  <c r="W176" i="2" s="1"/>
  <c r="V175" i="2"/>
  <c r="W175" i="2" s="1"/>
  <c r="V174" i="2"/>
  <c r="W174" i="2" s="1"/>
  <c r="V173" i="2"/>
  <c r="W173" i="2" s="1"/>
  <c r="V172" i="2"/>
  <c r="W172" i="2" s="1"/>
  <c r="V171" i="2"/>
  <c r="W171" i="2" s="1"/>
  <c r="V170" i="2"/>
  <c r="W170" i="2" s="1"/>
  <c r="V169" i="2"/>
  <c r="W169" i="2" s="1"/>
  <c r="V168" i="2"/>
  <c r="W168" i="2" s="1"/>
  <c r="V167" i="2"/>
  <c r="W167" i="2" s="1"/>
  <c r="V166" i="2"/>
  <c r="W166" i="2" s="1"/>
  <c r="V165" i="2"/>
  <c r="W165" i="2" s="1"/>
  <c r="V164" i="2"/>
  <c r="W164" i="2" s="1"/>
  <c r="V163" i="2"/>
  <c r="W163" i="2" s="1"/>
  <c r="V162" i="2"/>
  <c r="W162" i="2" s="1"/>
  <c r="V161" i="2"/>
  <c r="W161" i="2" s="1"/>
  <c r="V160" i="2"/>
  <c r="W160" i="2" s="1"/>
  <c r="V159" i="2"/>
  <c r="W159" i="2" s="1"/>
  <c r="V158" i="2"/>
  <c r="W158" i="2" s="1"/>
  <c r="V157" i="2"/>
  <c r="W157" i="2" s="1"/>
  <c r="V156" i="2"/>
  <c r="W156" i="2" s="1"/>
  <c r="V155" i="2"/>
  <c r="W155" i="2" s="1"/>
  <c r="V154" i="2"/>
  <c r="W154" i="2" s="1"/>
  <c r="V153" i="2"/>
  <c r="W153" i="2" s="1"/>
  <c r="V152" i="2"/>
  <c r="W152" i="2" s="1"/>
  <c r="V151" i="2"/>
  <c r="W151" i="2" s="1"/>
  <c r="V150" i="2"/>
  <c r="W150" i="2" s="1"/>
  <c r="V149" i="2"/>
  <c r="W149" i="2" s="1"/>
  <c r="V148" i="2"/>
  <c r="W148" i="2" s="1"/>
  <c r="V147" i="2"/>
  <c r="W147" i="2" s="1"/>
  <c r="V146" i="2"/>
  <c r="W146" i="2" s="1"/>
  <c r="V145" i="2"/>
  <c r="W145" i="2" s="1"/>
  <c r="V144" i="2"/>
  <c r="W144" i="2" s="1"/>
  <c r="V143" i="2"/>
  <c r="W143" i="2" s="1"/>
  <c r="V142" i="2"/>
  <c r="W142" i="2" s="1"/>
  <c r="V141" i="2"/>
  <c r="W141" i="2" s="1"/>
  <c r="V140" i="2"/>
  <c r="W140" i="2" s="1"/>
  <c r="V139" i="2"/>
  <c r="W139" i="2" s="1"/>
  <c r="V138" i="2"/>
  <c r="W138" i="2" s="1"/>
  <c r="V137" i="2"/>
  <c r="W137" i="2" s="1"/>
  <c r="V136" i="2"/>
  <c r="W136" i="2" s="1"/>
  <c r="V135" i="2"/>
  <c r="W135" i="2" s="1"/>
  <c r="V134" i="2"/>
  <c r="W134" i="2" s="1"/>
  <c r="V133" i="2"/>
  <c r="W133" i="2" s="1"/>
  <c r="V132" i="2"/>
  <c r="W132" i="2" s="1"/>
  <c r="V131" i="2"/>
  <c r="W131" i="2" s="1"/>
  <c r="V130" i="2"/>
  <c r="W130" i="2" s="1"/>
  <c r="V129" i="2"/>
  <c r="W129" i="2" s="1"/>
  <c r="V128" i="2"/>
  <c r="W128" i="2" s="1"/>
  <c r="V127" i="2"/>
  <c r="W127" i="2" s="1"/>
  <c r="V126" i="2"/>
  <c r="W126" i="2" s="1"/>
  <c r="V125" i="2"/>
  <c r="W125" i="2" s="1"/>
  <c r="V124" i="2"/>
  <c r="W124" i="2" s="1"/>
  <c r="V123" i="2"/>
  <c r="W123" i="2" s="1"/>
  <c r="V122" i="2"/>
  <c r="W122" i="2" s="1"/>
  <c r="V121" i="2"/>
  <c r="W121" i="2" s="1"/>
  <c r="V120" i="2"/>
  <c r="W120" i="2" s="1"/>
  <c r="V119" i="2"/>
  <c r="W119" i="2" s="1"/>
  <c r="V118" i="2"/>
  <c r="W118" i="2" s="1"/>
  <c r="V117" i="2"/>
  <c r="W117" i="2" s="1"/>
  <c r="V116" i="2"/>
  <c r="W116" i="2" s="1"/>
  <c r="V115" i="2"/>
  <c r="W115" i="2" s="1"/>
  <c r="V114" i="2"/>
  <c r="W114" i="2" s="1"/>
  <c r="V113" i="2"/>
  <c r="W113" i="2" s="1"/>
  <c r="V112" i="2"/>
  <c r="W112" i="2" s="1"/>
  <c r="V111" i="2"/>
  <c r="W111" i="2" s="1"/>
  <c r="V110" i="2"/>
  <c r="W110" i="2" s="1"/>
  <c r="V109" i="2"/>
  <c r="W109" i="2" s="1"/>
  <c r="V108" i="2"/>
  <c r="W108" i="2" s="1"/>
  <c r="V107" i="2"/>
  <c r="W107" i="2" s="1"/>
  <c r="V106" i="2"/>
  <c r="W106" i="2" s="1"/>
  <c r="V105" i="2"/>
  <c r="W105" i="2" s="1"/>
  <c r="V104" i="2"/>
  <c r="W104" i="2" s="1"/>
  <c r="V103" i="2"/>
  <c r="W103" i="2" s="1"/>
  <c r="V102" i="2"/>
  <c r="W102" i="2" s="1"/>
  <c r="V101" i="2"/>
  <c r="W101" i="2" s="1"/>
  <c r="V100" i="2"/>
  <c r="W100" i="2" s="1"/>
  <c r="V99" i="2"/>
  <c r="W99" i="2" s="1"/>
  <c r="V98" i="2"/>
  <c r="W98" i="2" s="1"/>
  <c r="V97" i="2"/>
  <c r="W97" i="2" s="1"/>
  <c r="V96" i="2"/>
  <c r="W96" i="2" s="1"/>
  <c r="V95" i="2"/>
  <c r="W95" i="2" s="1"/>
  <c r="V94" i="2"/>
  <c r="W94" i="2" s="1"/>
  <c r="V93" i="2"/>
  <c r="W93" i="2" s="1"/>
  <c r="V92" i="2"/>
  <c r="W92" i="2" s="1"/>
  <c r="V91" i="2"/>
  <c r="W91" i="2" s="1"/>
  <c r="V90" i="2"/>
  <c r="W90" i="2" s="1"/>
  <c r="V89" i="2"/>
  <c r="W89" i="2" s="1"/>
  <c r="V88" i="2"/>
  <c r="W88" i="2" s="1"/>
  <c r="V87" i="2"/>
  <c r="W87" i="2" s="1"/>
  <c r="V86" i="2"/>
  <c r="W86" i="2" s="1"/>
  <c r="V85" i="2"/>
  <c r="W85" i="2" s="1"/>
  <c r="V84" i="2"/>
  <c r="W84" i="2" s="1"/>
  <c r="V83" i="2"/>
  <c r="W83" i="2" s="1"/>
  <c r="V82" i="2"/>
  <c r="W82" i="2" s="1"/>
  <c r="V81" i="2"/>
  <c r="W81" i="2" s="1"/>
  <c r="V80" i="2"/>
  <c r="W80" i="2" s="1"/>
  <c r="V79" i="2"/>
  <c r="W79" i="2" s="1"/>
  <c r="V78" i="2"/>
  <c r="W78" i="2" s="1"/>
  <c r="V77" i="2"/>
  <c r="W77" i="2" s="1"/>
  <c r="V76" i="2"/>
  <c r="W76" i="2" s="1"/>
  <c r="V75" i="2"/>
  <c r="W75" i="2" s="1"/>
  <c r="V74" i="2"/>
  <c r="W74" i="2" s="1"/>
  <c r="V73" i="2"/>
  <c r="W73" i="2" s="1"/>
  <c r="V72" i="2"/>
  <c r="W72" i="2" s="1"/>
  <c r="V71" i="2"/>
  <c r="W71" i="2" s="1"/>
  <c r="V70" i="2"/>
  <c r="W70" i="2" s="1"/>
  <c r="V69" i="2"/>
  <c r="W69" i="2" s="1"/>
  <c r="V68" i="2"/>
  <c r="W68" i="2" s="1"/>
  <c r="V67" i="2"/>
  <c r="W67" i="2" s="1"/>
  <c r="V66" i="2"/>
  <c r="W66" i="2" s="1"/>
  <c r="V65" i="2"/>
  <c r="W65" i="2" s="1"/>
  <c r="V64" i="2"/>
  <c r="W64" i="2" s="1"/>
  <c r="V63" i="2"/>
  <c r="W63" i="2" s="1"/>
  <c r="V62" i="2"/>
  <c r="W62" i="2" s="1"/>
  <c r="V61" i="2"/>
  <c r="W61" i="2" s="1"/>
  <c r="V60" i="2"/>
  <c r="W60" i="2" s="1"/>
  <c r="V59" i="2"/>
  <c r="W59" i="2" s="1"/>
  <c r="V58" i="2"/>
  <c r="W58" i="2" s="1"/>
  <c r="V57" i="2"/>
  <c r="W57" i="2" s="1"/>
  <c r="V56" i="2"/>
  <c r="W56" i="2" s="1"/>
  <c r="V55" i="2"/>
  <c r="W55" i="2" s="1"/>
  <c r="V54" i="2"/>
  <c r="W54" i="2" s="1"/>
  <c r="V53" i="2"/>
  <c r="W53" i="2" s="1"/>
  <c r="V52" i="2"/>
  <c r="W52" i="2" s="1"/>
  <c r="V51" i="2"/>
  <c r="W51" i="2" s="1"/>
  <c r="V50" i="2"/>
  <c r="W50" i="2" s="1"/>
  <c r="V49" i="2"/>
  <c r="W49" i="2" s="1"/>
  <c r="V48" i="2"/>
  <c r="W48" i="2" s="1"/>
  <c r="V47" i="2"/>
  <c r="W47" i="2" s="1"/>
  <c r="V46" i="2"/>
  <c r="W46" i="2" s="1"/>
  <c r="V45" i="2"/>
  <c r="W45" i="2" s="1"/>
  <c r="V44" i="2"/>
  <c r="W44" i="2" s="1"/>
  <c r="V43" i="2"/>
  <c r="W43" i="2" s="1"/>
  <c r="V42" i="2"/>
  <c r="W42" i="2" s="1"/>
  <c r="V41" i="2"/>
  <c r="W41" i="2" s="1"/>
  <c r="V40" i="2"/>
  <c r="W40" i="2" s="1"/>
  <c r="V39" i="2"/>
  <c r="W39" i="2" s="1"/>
  <c r="V38" i="2"/>
  <c r="W38" i="2" s="1"/>
  <c r="V37" i="2"/>
  <c r="W37" i="2" s="1"/>
  <c r="V36" i="2"/>
  <c r="W36" i="2" s="1"/>
  <c r="V35" i="2"/>
  <c r="W35" i="2" s="1"/>
  <c r="V34" i="2"/>
  <c r="W34" i="2" s="1"/>
  <c r="V33" i="2"/>
  <c r="W33" i="2" s="1"/>
  <c r="V32" i="2"/>
  <c r="W32" i="2" s="1"/>
  <c r="V31" i="2"/>
  <c r="W31" i="2" s="1"/>
  <c r="V30" i="2"/>
  <c r="W30" i="2" s="1"/>
  <c r="V29" i="2"/>
  <c r="W29" i="2" s="1"/>
  <c r="V28" i="2"/>
  <c r="W28" i="2" s="1"/>
  <c r="V27" i="2"/>
  <c r="W27" i="2" s="1"/>
  <c r="V26" i="2"/>
  <c r="W26" i="2" s="1"/>
  <c r="V25" i="2"/>
  <c r="W25" i="2" s="1"/>
  <c r="V24" i="2"/>
  <c r="W24" i="2" s="1"/>
  <c r="V23" i="2"/>
  <c r="W23" i="2" s="1"/>
  <c r="V22" i="2"/>
  <c r="W22" i="2" s="1"/>
  <c r="V21" i="2"/>
  <c r="W21" i="2" s="1"/>
  <c r="V20" i="2"/>
  <c r="W20" i="2" s="1"/>
  <c r="V19" i="2"/>
  <c r="W19" i="2" s="1"/>
  <c r="V18" i="2"/>
  <c r="W18" i="2" s="1"/>
  <c r="V17" i="2"/>
  <c r="W17" i="2" s="1"/>
  <c r="V16" i="2"/>
  <c r="W16" i="2" s="1"/>
  <c r="V15" i="2"/>
  <c r="W15" i="2" s="1"/>
  <c r="V14" i="2"/>
  <c r="W14" i="2" s="1"/>
  <c r="V13" i="2"/>
  <c r="W13" i="2" s="1"/>
  <c r="V12" i="2"/>
  <c r="W12" i="2" s="1"/>
  <c r="V11" i="2"/>
  <c r="W11" i="2" s="1"/>
  <c r="V10" i="2"/>
  <c r="W10" i="2" s="1"/>
  <c r="V9" i="2"/>
  <c r="W9" i="2" s="1"/>
  <c r="V8" i="2"/>
  <c r="W8" i="2" s="1"/>
  <c r="V7" i="2"/>
  <c r="W7" i="2" s="1"/>
  <c r="V6" i="2"/>
  <c r="W6" i="2" s="1"/>
  <c r="V5" i="2"/>
  <c r="W5" i="2" s="1"/>
  <c r="V4" i="2"/>
  <c r="W4" i="2" s="1"/>
  <c r="V3" i="2"/>
  <c r="W3" i="2" s="1"/>
  <c r="Z803" i="7"/>
  <c r="Y803" i="7"/>
  <c r="W803" i="7"/>
  <c r="Z802" i="7"/>
  <c r="Y802" i="7"/>
  <c r="W802" i="7"/>
  <c r="Z801" i="7"/>
  <c r="Y801" i="7"/>
  <c r="W801" i="7"/>
  <c r="Z800" i="7"/>
  <c r="Y800" i="7"/>
  <c r="W800" i="7"/>
  <c r="Z799" i="7"/>
  <c r="Y799" i="7"/>
  <c r="W799" i="7"/>
  <c r="Z798" i="7"/>
  <c r="Y798" i="7"/>
  <c r="W798" i="7"/>
  <c r="Z797" i="7"/>
  <c r="Y797" i="7"/>
  <c r="W797" i="7"/>
  <c r="Z796" i="7"/>
  <c r="Y796" i="7"/>
  <c r="W796" i="7"/>
  <c r="Z795" i="7"/>
  <c r="Y795" i="7"/>
  <c r="W795" i="7"/>
  <c r="Z794" i="7"/>
  <c r="Y794" i="7"/>
  <c r="W794" i="7"/>
  <c r="Z793" i="7"/>
  <c r="Y793" i="7"/>
  <c r="W793" i="7"/>
  <c r="Z792" i="7"/>
  <c r="Y792" i="7"/>
  <c r="W792" i="7"/>
  <c r="Z791" i="7"/>
  <c r="Y791" i="7"/>
  <c r="W791" i="7"/>
  <c r="Z790" i="7"/>
  <c r="Y790" i="7"/>
  <c r="W790" i="7"/>
  <c r="Z789" i="7"/>
  <c r="Y789" i="7"/>
  <c r="W789" i="7"/>
  <c r="Z788" i="7"/>
  <c r="Y788" i="7"/>
  <c r="W788" i="7"/>
  <c r="Z787" i="7"/>
  <c r="Y787" i="7"/>
  <c r="W787" i="7"/>
  <c r="Z786" i="7"/>
  <c r="Y786" i="7"/>
  <c r="W786" i="7"/>
  <c r="Z785" i="7"/>
  <c r="Y785" i="7"/>
  <c r="W785" i="7"/>
  <c r="Z784" i="7"/>
  <c r="Y784" i="7"/>
  <c r="W784" i="7"/>
  <c r="Z783" i="7"/>
  <c r="Y783" i="7"/>
  <c r="W783" i="7"/>
  <c r="Z782" i="7"/>
  <c r="Y782" i="7"/>
  <c r="W782" i="7"/>
  <c r="Z781" i="7"/>
  <c r="Y781" i="7"/>
  <c r="W781" i="7"/>
  <c r="Z780" i="7"/>
  <c r="Y780" i="7"/>
  <c r="W780" i="7"/>
  <c r="Z779" i="7"/>
  <c r="Y779" i="7"/>
  <c r="W779" i="7"/>
  <c r="Z778" i="7"/>
  <c r="Y778" i="7"/>
  <c r="W778" i="7"/>
  <c r="Z777" i="7"/>
  <c r="Y777" i="7"/>
  <c r="W777" i="7"/>
  <c r="Z776" i="7"/>
  <c r="Y776" i="7"/>
  <c r="W776" i="7"/>
  <c r="Z775" i="7"/>
  <c r="Y775" i="7"/>
  <c r="W775" i="7"/>
  <c r="Z774" i="7"/>
  <c r="Y774" i="7"/>
  <c r="W774" i="7"/>
  <c r="Z773" i="7"/>
  <c r="Y773" i="7"/>
  <c r="W773" i="7"/>
  <c r="Z772" i="7"/>
  <c r="Y772" i="7"/>
  <c r="W772" i="7"/>
  <c r="Z771" i="7"/>
  <c r="Y771" i="7"/>
  <c r="W771" i="7"/>
  <c r="Z770" i="7"/>
  <c r="Y770" i="7"/>
  <c r="W770" i="7"/>
  <c r="Z769" i="7"/>
  <c r="Y769" i="7"/>
  <c r="W769" i="7"/>
  <c r="Z768" i="7"/>
  <c r="Y768" i="7"/>
  <c r="W768" i="7"/>
  <c r="Z767" i="7"/>
  <c r="Y767" i="7"/>
  <c r="W767" i="7"/>
  <c r="Z766" i="7"/>
  <c r="Y766" i="7"/>
  <c r="W766" i="7"/>
  <c r="Z765" i="7"/>
  <c r="Y765" i="7"/>
  <c r="W765" i="7"/>
  <c r="Z764" i="7"/>
  <c r="Y764" i="7"/>
  <c r="W764" i="7"/>
  <c r="Z763" i="7"/>
  <c r="Y763" i="7"/>
  <c r="W763" i="7"/>
  <c r="Z762" i="7"/>
  <c r="Y762" i="7"/>
  <c r="W762" i="7"/>
  <c r="Z761" i="7"/>
  <c r="Y761" i="7"/>
  <c r="W761" i="7"/>
  <c r="Z760" i="7"/>
  <c r="Y760" i="7"/>
  <c r="W760" i="7"/>
  <c r="Z759" i="7"/>
  <c r="Y759" i="7"/>
  <c r="W759" i="7"/>
  <c r="Z758" i="7"/>
  <c r="Y758" i="7"/>
  <c r="W758" i="7"/>
  <c r="Z757" i="7"/>
  <c r="Y757" i="7"/>
  <c r="W757" i="7"/>
  <c r="Z756" i="7"/>
  <c r="Y756" i="7"/>
  <c r="W756" i="7"/>
  <c r="Z755" i="7"/>
  <c r="Y755" i="7"/>
  <c r="W755" i="7"/>
  <c r="Z754" i="7"/>
  <c r="Y754" i="7"/>
  <c r="W754" i="7"/>
  <c r="Z753" i="7"/>
  <c r="Y753" i="7"/>
  <c r="W753" i="7"/>
  <c r="Z752" i="7"/>
  <c r="Y752" i="7"/>
  <c r="W752" i="7"/>
  <c r="Z751" i="7"/>
  <c r="Y751" i="7"/>
  <c r="W751" i="7"/>
  <c r="Z750" i="7"/>
  <c r="Y750" i="7"/>
  <c r="W750" i="7"/>
  <c r="Z749" i="7"/>
  <c r="Y749" i="7"/>
  <c r="W749" i="7"/>
  <c r="Z748" i="7"/>
  <c r="Y748" i="7"/>
  <c r="W748" i="7"/>
  <c r="Z747" i="7"/>
  <c r="Y747" i="7"/>
  <c r="W747" i="7"/>
  <c r="Z746" i="7"/>
  <c r="Y746" i="7"/>
  <c r="W746" i="7"/>
  <c r="Z745" i="7"/>
  <c r="Y745" i="7"/>
  <c r="W745" i="7"/>
  <c r="Z744" i="7"/>
  <c r="Y744" i="7"/>
  <c r="W744" i="7"/>
  <c r="Z743" i="7"/>
  <c r="Y743" i="7"/>
  <c r="W743" i="7"/>
  <c r="Z742" i="7"/>
  <c r="Y742" i="7"/>
  <c r="W742" i="7"/>
  <c r="Z741" i="7"/>
  <c r="Y741" i="7"/>
  <c r="W741" i="7"/>
  <c r="Z740" i="7"/>
  <c r="Y740" i="7"/>
  <c r="W740" i="7"/>
  <c r="Z739" i="7"/>
  <c r="Y739" i="7"/>
  <c r="W739" i="7"/>
  <c r="Z738" i="7"/>
  <c r="Y738" i="7"/>
  <c r="W738" i="7"/>
  <c r="Z737" i="7"/>
  <c r="Y737" i="7"/>
  <c r="W737" i="7"/>
  <c r="Z736" i="7"/>
  <c r="Y736" i="7"/>
  <c r="W736" i="7"/>
  <c r="Z735" i="7"/>
  <c r="Y735" i="7"/>
  <c r="W735" i="7"/>
  <c r="Z734" i="7"/>
  <c r="Y734" i="7"/>
  <c r="W734" i="7"/>
  <c r="Z733" i="7"/>
  <c r="Y733" i="7"/>
  <c r="W733" i="7"/>
  <c r="Z732" i="7"/>
  <c r="Y732" i="7"/>
  <c r="W732" i="7"/>
  <c r="Z731" i="7"/>
  <c r="Y731" i="7"/>
  <c r="W731" i="7"/>
  <c r="Z730" i="7"/>
  <c r="Y730" i="7"/>
  <c r="W730" i="7"/>
  <c r="Z729" i="7"/>
  <c r="Y729" i="7"/>
  <c r="W729" i="7"/>
  <c r="Z728" i="7"/>
  <c r="Y728" i="7"/>
  <c r="W728" i="7"/>
  <c r="Z727" i="7"/>
  <c r="Y727" i="7"/>
  <c r="W727" i="7"/>
  <c r="Z726" i="7"/>
  <c r="Y726" i="7"/>
  <c r="W726" i="7"/>
  <c r="Z725" i="7"/>
  <c r="Y725" i="7"/>
  <c r="W725" i="7"/>
  <c r="Z724" i="7"/>
  <c r="Y724" i="7"/>
  <c r="W724" i="7"/>
  <c r="Z723" i="7"/>
  <c r="Y723" i="7"/>
  <c r="W723" i="7"/>
  <c r="Z722" i="7"/>
  <c r="Y722" i="7"/>
  <c r="W722" i="7"/>
  <c r="Z721" i="7"/>
  <c r="Y721" i="7"/>
  <c r="W721" i="7"/>
  <c r="Z720" i="7"/>
  <c r="Y720" i="7"/>
  <c r="W720" i="7"/>
  <c r="Z719" i="7"/>
  <c r="Y719" i="7"/>
  <c r="W719" i="7"/>
  <c r="Z718" i="7"/>
  <c r="Y718" i="7"/>
  <c r="W718" i="7"/>
  <c r="Z717" i="7"/>
  <c r="Y717" i="7"/>
  <c r="W717" i="7"/>
  <c r="Z716" i="7"/>
  <c r="Y716" i="7"/>
  <c r="W716" i="7"/>
  <c r="Z715" i="7"/>
  <c r="Y715" i="7"/>
  <c r="W715" i="7"/>
  <c r="Z714" i="7"/>
  <c r="Y714" i="7"/>
  <c r="W714" i="7"/>
  <c r="Z713" i="7"/>
  <c r="Y713" i="7"/>
  <c r="W713" i="7"/>
  <c r="Z712" i="7"/>
  <c r="Y712" i="7"/>
  <c r="W712" i="7"/>
  <c r="Z711" i="7"/>
  <c r="Y711" i="7"/>
  <c r="W711" i="7"/>
  <c r="Z710" i="7"/>
  <c r="Y710" i="7"/>
  <c r="W710" i="7"/>
  <c r="Z709" i="7"/>
  <c r="Y709" i="7"/>
  <c r="W709" i="7"/>
  <c r="Z708" i="7"/>
  <c r="Y708" i="7"/>
  <c r="W708" i="7"/>
  <c r="Z707" i="7"/>
  <c r="Y707" i="7"/>
  <c r="W707" i="7"/>
  <c r="Z706" i="7"/>
  <c r="Y706" i="7"/>
  <c r="W706" i="7"/>
  <c r="Z705" i="7"/>
  <c r="Y705" i="7"/>
  <c r="W705" i="7"/>
  <c r="Z704" i="7"/>
  <c r="Y704" i="7"/>
  <c r="W704" i="7"/>
  <c r="Z703" i="7"/>
  <c r="Y703" i="7"/>
  <c r="W703" i="7"/>
  <c r="Z702" i="7"/>
  <c r="Y702" i="7"/>
  <c r="W702" i="7"/>
  <c r="Z701" i="7"/>
  <c r="Y701" i="7"/>
  <c r="W701" i="7"/>
  <c r="Z700" i="7"/>
  <c r="Y700" i="7"/>
  <c r="W700" i="7"/>
  <c r="Z699" i="7"/>
  <c r="Y699" i="7"/>
  <c r="W699" i="7"/>
  <c r="Z698" i="7"/>
  <c r="Y698" i="7"/>
  <c r="W698" i="7"/>
  <c r="Z697" i="7"/>
  <c r="Y697" i="7"/>
  <c r="W697" i="7"/>
  <c r="Z696" i="7"/>
  <c r="Y696" i="7"/>
  <c r="W696" i="7"/>
  <c r="Z695" i="7"/>
  <c r="Y695" i="7"/>
  <c r="W695" i="7"/>
  <c r="Z694" i="7"/>
  <c r="Y694" i="7"/>
  <c r="W694" i="7"/>
  <c r="Z693" i="7"/>
  <c r="Y693" i="7"/>
  <c r="W693" i="7"/>
  <c r="Z692" i="7"/>
  <c r="Y692" i="7"/>
  <c r="W692" i="7"/>
  <c r="Z691" i="7"/>
  <c r="Y691" i="7"/>
  <c r="W691" i="7"/>
  <c r="Z690" i="7"/>
  <c r="Y690" i="7"/>
  <c r="W690" i="7"/>
  <c r="Z689" i="7"/>
  <c r="Y689" i="7"/>
  <c r="W689" i="7"/>
  <c r="Z688" i="7"/>
  <c r="Y688" i="7"/>
  <c r="W688" i="7"/>
  <c r="Z687" i="7"/>
  <c r="Y687" i="7"/>
  <c r="W687" i="7"/>
  <c r="Z686" i="7"/>
  <c r="Y686" i="7"/>
  <c r="W686" i="7"/>
  <c r="Z685" i="7"/>
  <c r="Y685" i="7"/>
  <c r="W685" i="7"/>
  <c r="Z684" i="7"/>
  <c r="Y684" i="7"/>
  <c r="W684" i="7"/>
  <c r="Z683" i="7"/>
  <c r="Y683" i="7"/>
  <c r="W683" i="7"/>
  <c r="Z682" i="7"/>
  <c r="Y682" i="7"/>
  <c r="W682" i="7"/>
  <c r="Z681" i="7"/>
  <c r="Y681" i="7"/>
  <c r="W681" i="7"/>
  <c r="Z680" i="7"/>
  <c r="Y680" i="7"/>
  <c r="W680" i="7"/>
  <c r="Z679" i="7"/>
  <c r="Y679" i="7"/>
  <c r="W679" i="7"/>
  <c r="Z678" i="7"/>
  <c r="Y678" i="7"/>
  <c r="W678" i="7"/>
  <c r="Z677" i="7"/>
  <c r="Y677" i="7"/>
  <c r="W677" i="7"/>
  <c r="Z676" i="7"/>
  <c r="Y676" i="7"/>
  <c r="W676" i="7"/>
  <c r="Z675" i="7"/>
  <c r="Y675" i="7"/>
  <c r="W675" i="7"/>
  <c r="Z674" i="7"/>
  <c r="Y674" i="7"/>
  <c r="W674" i="7"/>
  <c r="Z673" i="7"/>
  <c r="Y673" i="7"/>
  <c r="W673" i="7"/>
  <c r="Z672" i="7"/>
  <c r="Y672" i="7"/>
  <c r="W672" i="7"/>
  <c r="Z671" i="7"/>
  <c r="Y671" i="7"/>
  <c r="W671" i="7"/>
  <c r="Z670" i="7"/>
  <c r="Y670" i="7"/>
  <c r="W670" i="7"/>
  <c r="Z669" i="7"/>
  <c r="Y669" i="7"/>
  <c r="W669" i="7"/>
  <c r="Z668" i="7"/>
  <c r="Y668" i="7"/>
  <c r="W668" i="7"/>
  <c r="Z667" i="7"/>
  <c r="Y667" i="7"/>
  <c r="W667" i="7"/>
  <c r="Z666" i="7"/>
  <c r="Y666" i="7"/>
  <c r="W666" i="7"/>
  <c r="Z665" i="7"/>
  <c r="Y665" i="7"/>
  <c r="W665" i="7"/>
  <c r="Z664" i="7"/>
  <c r="Y664" i="7"/>
  <c r="W664" i="7"/>
  <c r="Z663" i="7"/>
  <c r="Y663" i="7"/>
  <c r="W663" i="7"/>
  <c r="Z662" i="7"/>
  <c r="Y662" i="7"/>
  <c r="W662" i="7"/>
  <c r="Z661" i="7"/>
  <c r="Y661" i="7"/>
  <c r="W661" i="7"/>
  <c r="Z660" i="7"/>
  <c r="Y660" i="7"/>
  <c r="W660" i="7"/>
  <c r="Z659" i="7"/>
  <c r="Y659" i="7"/>
  <c r="W659" i="7"/>
  <c r="Z658" i="7"/>
  <c r="Y658" i="7"/>
  <c r="W658" i="7"/>
  <c r="Z657" i="7"/>
  <c r="Y657" i="7"/>
  <c r="W657" i="7"/>
  <c r="Z656" i="7"/>
  <c r="Y656" i="7"/>
  <c r="W656" i="7"/>
  <c r="Z655" i="7"/>
  <c r="Y655" i="7"/>
  <c r="W655" i="7"/>
  <c r="Z654" i="7"/>
  <c r="Y654" i="7"/>
  <c r="W654" i="7"/>
  <c r="Z653" i="7"/>
  <c r="Y653" i="7"/>
  <c r="W653" i="7"/>
  <c r="Z652" i="7"/>
  <c r="Y652" i="7"/>
  <c r="W652" i="7"/>
  <c r="Z651" i="7"/>
  <c r="Y651" i="7"/>
  <c r="W651" i="7"/>
  <c r="Z650" i="7"/>
  <c r="Y650" i="7"/>
  <c r="W650" i="7"/>
  <c r="Z649" i="7"/>
  <c r="Y649" i="7"/>
  <c r="W649" i="7"/>
  <c r="Z648" i="7"/>
  <c r="Y648" i="7"/>
  <c r="W648" i="7"/>
  <c r="Z647" i="7"/>
  <c r="Y647" i="7"/>
  <c r="W647" i="7"/>
  <c r="Z646" i="7"/>
  <c r="Y646" i="7"/>
  <c r="W646" i="7"/>
  <c r="Z645" i="7"/>
  <c r="Y645" i="7"/>
  <c r="W645" i="7"/>
  <c r="Z644" i="7"/>
  <c r="Y644" i="7"/>
  <c r="W644" i="7"/>
  <c r="Z643" i="7"/>
  <c r="Y643" i="7"/>
  <c r="W643" i="7"/>
  <c r="Z642" i="7"/>
  <c r="Y642" i="7"/>
  <c r="W642" i="7"/>
  <c r="Z641" i="7"/>
  <c r="Y641" i="7"/>
  <c r="W641" i="7"/>
  <c r="Z640" i="7"/>
  <c r="Y640" i="7"/>
  <c r="W640" i="7"/>
  <c r="Z639" i="7"/>
  <c r="Y639" i="7"/>
  <c r="W639" i="7"/>
  <c r="Z638" i="7"/>
  <c r="Y638" i="7"/>
  <c r="W638" i="7"/>
  <c r="Z637" i="7"/>
  <c r="Y637" i="7"/>
  <c r="W637" i="7"/>
  <c r="Z636" i="7"/>
  <c r="Y636" i="7"/>
  <c r="W636" i="7"/>
  <c r="Z635" i="7"/>
  <c r="Y635" i="7"/>
  <c r="W635" i="7"/>
  <c r="Z634" i="7"/>
  <c r="Y634" i="7"/>
  <c r="W634" i="7"/>
  <c r="Z633" i="7"/>
  <c r="Y633" i="7"/>
  <c r="W633" i="7"/>
  <c r="Z632" i="7"/>
  <c r="Y632" i="7"/>
  <c r="W632" i="7"/>
  <c r="Z631" i="7"/>
  <c r="Y631" i="7"/>
  <c r="W631" i="7"/>
  <c r="Z630" i="7"/>
  <c r="Y630" i="7"/>
  <c r="W630" i="7"/>
  <c r="Z629" i="7"/>
  <c r="Y629" i="7"/>
  <c r="W629" i="7"/>
  <c r="Z628" i="7"/>
  <c r="Y628" i="7"/>
  <c r="W628" i="7"/>
  <c r="Z627" i="7"/>
  <c r="Y627" i="7"/>
  <c r="W627" i="7"/>
  <c r="Z626" i="7"/>
  <c r="Y626" i="7"/>
  <c r="W626" i="7"/>
  <c r="Z625" i="7"/>
  <c r="Y625" i="7"/>
  <c r="W625" i="7"/>
  <c r="Z624" i="7"/>
  <c r="Y624" i="7"/>
  <c r="W624" i="7"/>
  <c r="Z623" i="7"/>
  <c r="Y623" i="7"/>
  <c r="W623" i="7"/>
  <c r="Z622" i="7"/>
  <c r="Y622" i="7"/>
  <c r="W622" i="7"/>
  <c r="Z621" i="7"/>
  <c r="Y621" i="7"/>
  <c r="W621" i="7"/>
  <c r="Z620" i="7"/>
  <c r="Y620" i="7"/>
  <c r="W620" i="7"/>
  <c r="Z619" i="7"/>
  <c r="Y619" i="7"/>
  <c r="W619" i="7"/>
  <c r="Z618" i="7"/>
  <c r="Y618" i="7"/>
  <c r="W618" i="7"/>
  <c r="Z617" i="7"/>
  <c r="Y617" i="7"/>
  <c r="W617" i="7"/>
  <c r="Z616" i="7"/>
  <c r="Y616" i="7"/>
  <c r="W616" i="7"/>
  <c r="Z615" i="7"/>
  <c r="Y615" i="7"/>
  <c r="W615" i="7"/>
  <c r="Z614" i="7"/>
  <c r="Y614" i="7"/>
  <c r="W614" i="7"/>
  <c r="Z613" i="7"/>
  <c r="Y613" i="7"/>
  <c r="W613" i="7"/>
  <c r="Z612" i="7"/>
  <c r="Y612" i="7"/>
  <c r="W612" i="7"/>
  <c r="Z611" i="7"/>
  <c r="Y611" i="7"/>
  <c r="W611" i="7"/>
  <c r="Z610" i="7"/>
  <c r="Y610" i="7"/>
  <c r="W610" i="7"/>
  <c r="Z609" i="7"/>
  <c r="Y609" i="7"/>
  <c r="W609" i="7"/>
  <c r="Z608" i="7"/>
  <c r="Y608" i="7"/>
  <c r="W608" i="7"/>
  <c r="Z607" i="7"/>
  <c r="Y607" i="7"/>
  <c r="W607" i="7"/>
  <c r="Z606" i="7"/>
  <c r="Y606" i="7"/>
  <c r="W606" i="7"/>
  <c r="Z605" i="7"/>
  <c r="Y605" i="7"/>
  <c r="W605" i="7"/>
  <c r="Z604" i="7"/>
  <c r="Y604" i="7"/>
  <c r="W604" i="7"/>
  <c r="W603" i="7"/>
  <c r="X603" i="7" s="1"/>
  <c r="W602" i="7"/>
  <c r="Z602" i="7" s="1"/>
  <c r="Z601" i="7"/>
  <c r="W601" i="7"/>
  <c r="Y601" i="7" s="1"/>
  <c r="Z600" i="7"/>
  <c r="Y600" i="7"/>
  <c r="W600" i="7"/>
  <c r="W599" i="7"/>
  <c r="W598" i="7"/>
  <c r="Z598" i="7" s="1"/>
  <c r="Z597" i="7"/>
  <c r="W597" i="7"/>
  <c r="Y597" i="7" s="1"/>
  <c r="Z596" i="7"/>
  <c r="Y596" i="7"/>
  <c r="W596" i="7"/>
  <c r="W595" i="7"/>
  <c r="W594" i="7"/>
  <c r="Z594" i="7" s="1"/>
  <c r="Z593" i="7"/>
  <c r="W593" i="7"/>
  <c r="Y593" i="7" s="1"/>
  <c r="Z592" i="7"/>
  <c r="Y592" i="7"/>
  <c r="W592" i="7"/>
  <c r="W591" i="7"/>
  <c r="W590" i="7"/>
  <c r="Z590" i="7" s="1"/>
  <c r="Z589" i="7"/>
  <c r="W589" i="7"/>
  <c r="Y589" i="7" s="1"/>
  <c r="Z588" i="7"/>
  <c r="Y588" i="7"/>
  <c r="W588" i="7"/>
  <c r="W587" i="7"/>
  <c r="W586" i="7"/>
  <c r="Z586" i="7" s="1"/>
  <c r="Z585" i="7"/>
  <c r="W585" i="7"/>
  <c r="Y585" i="7" s="1"/>
  <c r="Z584" i="7"/>
  <c r="Y584" i="7"/>
  <c r="W584" i="7"/>
  <c r="W583" i="7"/>
  <c r="W582" i="7"/>
  <c r="Z582" i="7" s="1"/>
  <c r="Z581" i="7"/>
  <c r="W581" i="7"/>
  <c r="Y581" i="7" s="1"/>
  <c r="Z580" i="7"/>
  <c r="Y580" i="7"/>
  <c r="W580" i="7"/>
  <c r="W579" i="7"/>
  <c r="W578" i="7"/>
  <c r="Z578" i="7" s="1"/>
  <c r="Z577" i="7"/>
  <c r="W577" i="7"/>
  <c r="Y577" i="7" s="1"/>
  <c r="Z576" i="7"/>
  <c r="Y576" i="7"/>
  <c r="W576" i="7"/>
  <c r="W575" i="7"/>
  <c r="W574" i="7"/>
  <c r="Z574" i="7" s="1"/>
  <c r="Z573" i="7"/>
  <c r="W573" i="7"/>
  <c r="Y573" i="7" s="1"/>
  <c r="Z572" i="7"/>
  <c r="Y572" i="7"/>
  <c r="W572" i="7"/>
  <c r="W571" i="7"/>
  <c r="W570" i="7"/>
  <c r="Z570" i="7" s="1"/>
  <c r="Z569" i="7"/>
  <c r="W569" i="7"/>
  <c r="Y569" i="7" s="1"/>
  <c r="Z568" i="7"/>
  <c r="Y568" i="7"/>
  <c r="W568" i="7"/>
  <c r="W567" i="7"/>
  <c r="W566" i="7"/>
  <c r="Z566" i="7" s="1"/>
  <c r="Z565" i="7"/>
  <c r="W565" i="7"/>
  <c r="Y565" i="7" s="1"/>
  <c r="Z564" i="7"/>
  <c r="Y564" i="7"/>
  <c r="W564" i="7"/>
  <c r="W563" i="7"/>
  <c r="W562" i="7"/>
  <c r="Z562" i="7" s="1"/>
  <c r="Z561" i="7"/>
  <c r="W561" i="7"/>
  <c r="Y561" i="7" s="1"/>
  <c r="Z560" i="7"/>
  <c r="Y560" i="7"/>
  <c r="W560" i="7"/>
  <c r="W559" i="7"/>
  <c r="W558" i="7"/>
  <c r="Z558" i="7" s="1"/>
  <c r="Z557" i="7"/>
  <c r="W557" i="7"/>
  <c r="Y557" i="7" s="1"/>
  <c r="Z556" i="7"/>
  <c r="Y556" i="7"/>
  <c r="W556" i="7"/>
  <c r="W555" i="7"/>
  <c r="W554" i="7"/>
  <c r="Z553" i="7"/>
  <c r="W553" i="7"/>
  <c r="Y553" i="7" s="1"/>
  <c r="Z552" i="7"/>
  <c r="Y552" i="7"/>
  <c r="W552" i="7"/>
  <c r="W551" i="7"/>
  <c r="Z551" i="7" s="1"/>
  <c r="W550" i="7"/>
  <c r="Z549" i="7"/>
  <c r="W549" i="7"/>
  <c r="Y549" i="7" s="1"/>
  <c r="Z548" i="7"/>
  <c r="Y548" i="7"/>
  <c r="W548" i="7"/>
  <c r="W547" i="7"/>
  <c r="Z547" i="7" s="1"/>
  <c r="W546" i="7"/>
  <c r="Z545" i="7"/>
  <c r="W545" i="7"/>
  <c r="Y545" i="7" s="1"/>
  <c r="Z544" i="7"/>
  <c r="Y544" i="7"/>
  <c r="W544" i="7"/>
  <c r="W543" i="7"/>
  <c r="Z543" i="7" s="1"/>
  <c r="W542" i="7"/>
  <c r="Z541" i="7"/>
  <c r="W541" i="7"/>
  <c r="Y541" i="7" s="1"/>
  <c r="Z540" i="7"/>
  <c r="Y540" i="7"/>
  <c r="W540" i="7"/>
  <c r="W539" i="7"/>
  <c r="Z539" i="7" s="1"/>
  <c r="W538" i="7"/>
  <c r="Z537" i="7"/>
  <c r="W537" i="7"/>
  <c r="Y537" i="7" s="1"/>
  <c r="Z536" i="7"/>
  <c r="Y536" i="7"/>
  <c r="W536" i="7"/>
  <c r="W535" i="7"/>
  <c r="Z535" i="7" s="1"/>
  <c r="W534" i="7"/>
  <c r="Z533" i="7"/>
  <c r="W533" i="7"/>
  <c r="Y533" i="7" s="1"/>
  <c r="Z532" i="7"/>
  <c r="Y532" i="7"/>
  <c r="W532" i="7"/>
  <c r="W531" i="7"/>
  <c r="Z531" i="7" s="1"/>
  <c r="Y530" i="7"/>
  <c r="W530" i="7"/>
  <c r="Z530" i="7" s="1"/>
  <c r="W529" i="7"/>
  <c r="Y529" i="7" s="1"/>
  <c r="Z528" i="7"/>
  <c r="Y528" i="7"/>
  <c r="W528" i="7"/>
  <c r="Z527" i="7"/>
  <c r="Y527" i="7"/>
  <c r="W527" i="7"/>
  <c r="W526" i="7"/>
  <c r="Z526" i="7" s="1"/>
  <c r="Z525" i="7"/>
  <c r="W525" i="7"/>
  <c r="Y525" i="7" s="1"/>
  <c r="Z524" i="7"/>
  <c r="Y524" i="7"/>
  <c r="W524" i="7"/>
  <c r="W523" i="7"/>
  <c r="Z523" i="7" s="1"/>
  <c r="Y522" i="7"/>
  <c r="W522" i="7"/>
  <c r="Z522" i="7" s="1"/>
  <c r="W521" i="7"/>
  <c r="Y521" i="7" s="1"/>
  <c r="Z520" i="7"/>
  <c r="Y520" i="7"/>
  <c r="W520" i="7"/>
  <c r="Z519" i="7"/>
  <c r="Y519" i="7"/>
  <c r="W519" i="7"/>
  <c r="W518" i="7"/>
  <c r="Z518" i="7" s="1"/>
  <c r="Z517" i="7"/>
  <c r="W517" i="7"/>
  <c r="Y517" i="7" s="1"/>
  <c r="Z516" i="7"/>
  <c r="Y516" i="7"/>
  <c r="W516" i="7"/>
  <c r="W515" i="7"/>
  <c r="Z515" i="7" s="1"/>
  <c r="Y514" i="7"/>
  <c r="W514" i="7"/>
  <c r="Z514" i="7" s="1"/>
  <c r="W513" i="7"/>
  <c r="Y513" i="7" s="1"/>
  <c r="Z512" i="7"/>
  <c r="Y512" i="7"/>
  <c r="W512" i="7"/>
  <c r="Z511" i="7"/>
  <c r="Y511" i="7"/>
  <c r="W511" i="7"/>
  <c r="W510" i="7"/>
  <c r="Z510" i="7" s="1"/>
  <c r="Z509" i="7"/>
  <c r="W509" i="7"/>
  <c r="Y509" i="7" s="1"/>
  <c r="Z508" i="7"/>
  <c r="Y508" i="7"/>
  <c r="W508" i="7"/>
  <c r="W507" i="7"/>
  <c r="Z507" i="7" s="1"/>
  <c r="Y506" i="7"/>
  <c r="W506" i="7"/>
  <c r="Z506" i="7" s="1"/>
  <c r="W505" i="7"/>
  <c r="Y505" i="7" s="1"/>
  <c r="Z504" i="7"/>
  <c r="Y504" i="7"/>
  <c r="W504" i="7"/>
  <c r="Z503" i="7"/>
  <c r="Y503" i="7"/>
  <c r="W503" i="7"/>
  <c r="W502" i="7"/>
  <c r="Z502" i="7" s="1"/>
  <c r="Z501" i="7"/>
  <c r="W501" i="7"/>
  <c r="Y501" i="7" s="1"/>
  <c r="Z500" i="7"/>
  <c r="Y500" i="7"/>
  <c r="W500" i="7"/>
  <c r="W499" i="7"/>
  <c r="Z499" i="7" s="1"/>
  <c r="Y498" i="7"/>
  <c r="W498" i="7"/>
  <c r="Z498" i="7" s="1"/>
  <c r="W497" i="7"/>
  <c r="Y497" i="7" s="1"/>
  <c r="Z496" i="7"/>
  <c r="Y496" i="7"/>
  <c r="W496" i="7"/>
  <c r="Z495" i="7"/>
  <c r="Y495" i="7"/>
  <c r="W495" i="7"/>
  <c r="W494" i="7"/>
  <c r="Z494" i="7" s="1"/>
  <c r="Z493" i="7"/>
  <c r="W493" i="7"/>
  <c r="Y493" i="7" s="1"/>
  <c r="Z492" i="7"/>
  <c r="Y492" i="7"/>
  <c r="W492" i="7"/>
  <c r="W491" i="7"/>
  <c r="Z491" i="7" s="1"/>
  <c r="Y490" i="7"/>
  <c r="W490" i="7"/>
  <c r="Z490" i="7" s="1"/>
  <c r="W489" i="7"/>
  <c r="Y489" i="7" s="1"/>
  <c r="Z488" i="7"/>
  <c r="Y488" i="7"/>
  <c r="W488" i="7"/>
  <c r="Z487" i="7"/>
  <c r="Y487" i="7"/>
  <c r="W487" i="7"/>
  <c r="W486" i="7"/>
  <c r="Z486" i="7" s="1"/>
  <c r="Z485" i="7"/>
  <c r="W485" i="7"/>
  <c r="Y485" i="7" s="1"/>
  <c r="Z484" i="7"/>
  <c r="Y484" i="7"/>
  <c r="W484" i="7"/>
  <c r="W483" i="7"/>
  <c r="Z483" i="7" s="1"/>
  <c r="Y482" i="7"/>
  <c r="W482" i="7"/>
  <c r="Z482" i="7" s="1"/>
  <c r="W481" i="7"/>
  <c r="Y481" i="7" s="1"/>
  <c r="Z480" i="7"/>
  <c r="Y480" i="7"/>
  <c r="W480" i="7"/>
  <c r="Z479" i="7"/>
  <c r="Y479" i="7"/>
  <c r="W479" i="7"/>
  <c r="W478" i="7"/>
  <c r="Z478" i="7" s="1"/>
  <c r="Z477" i="7"/>
  <c r="W477" i="7"/>
  <c r="Y477" i="7" s="1"/>
  <c r="Z476" i="7"/>
  <c r="Y476" i="7"/>
  <c r="W476" i="7"/>
  <c r="W475" i="7"/>
  <c r="Z475" i="7" s="1"/>
  <c r="Y474" i="7"/>
  <c r="W474" i="7"/>
  <c r="Z474" i="7" s="1"/>
  <c r="W473" i="7"/>
  <c r="Y473" i="7" s="1"/>
  <c r="Z472" i="7"/>
  <c r="Y472" i="7"/>
  <c r="W472" i="7"/>
  <c r="Z471" i="7"/>
  <c r="Y471" i="7"/>
  <c r="W471" i="7"/>
  <c r="W470" i="7"/>
  <c r="Z470" i="7" s="1"/>
  <c r="Z469" i="7"/>
  <c r="W469" i="7"/>
  <c r="Y469" i="7" s="1"/>
  <c r="Z468" i="7"/>
  <c r="Y468" i="7"/>
  <c r="W468" i="7"/>
  <c r="W467" i="7"/>
  <c r="Z467" i="7" s="1"/>
  <c r="W466" i="7"/>
  <c r="Z466" i="7" s="1"/>
  <c r="W465" i="7"/>
  <c r="Y465" i="7" s="1"/>
  <c r="Z464" i="7"/>
  <c r="Y464" i="7"/>
  <c r="W464" i="7"/>
  <c r="Z463" i="7"/>
  <c r="W463" i="7"/>
  <c r="Y463" i="7" s="1"/>
  <c r="W462" i="7"/>
  <c r="Z462" i="7" s="1"/>
  <c r="W461" i="7"/>
  <c r="Y461" i="7" s="1"/>
  <c r="Z460" i="7"/>
  <c r="Y460" i="7"/>
  <c r="W460" i="7"/>
  <c r="W459" i="7"/>
  <c r="Z459" i="7" s="1"/>
  <c r="W458" i="7"/>
  <c r="Z458" i="7" s="1"/>
  <c r="W457" i="7"/>
  <c r="Y457" i="7" s="1"/>
  <c r="Z456" i="7"/>
  <c r="Y456" i="7"/>
  <c r="W456" i="7"/>
  <c r="Z455" i="7"/>
  <c r="W455" i="7"/>
  <c r="Y455" i="7" s="1"/>
  <c r="W454" i="7"/>
  <c r="Z454" i="7" s="1"/>
  <c r="W453" i="7"/>
  <c r="Y453" i="7" s="1"/>
  <c r="Z452" i="7"/>
  <c r="Y452" i="7"/>
  <c r="W452" i="7"/>
  <c r="W451" i="7"/>
  <c r="Z451" i="7" s="1"/>
  <c r="W450" i="7"/>
  <c r="Z450" i="7" s="1"/>
  <c r="W449" i="7"/>
  <c r="Y449" i="7" s="1"/>
  <c r="Z448" i="7"/>
  <c r="Y448" i="7"/>
  <c r="W448" i="7"/>
  <c r="Z447" i="7"/>
  <c r="W447" i="7"/>
  <c r="Y447" i="7" s="1"/>
  <c r="W446" i="7"/>
  <c r="Z446" i="7" s="1"/>
  <c r="W445" i="7"/>
  <c r="Y445" i="7" s="1"/>
  <c r="Z444" i="7"/>
  <c r="Y444" i="7"/>
  <c r="W444" i="7"/>
  <c r="W443" i="7"/>
  <c r="Z443" i="7" s="1"/>
  <c r="W442" i="7"/>
  <c r="Z442" i="7" s="1"/>
  <c r="W441" i="7"/>
  <c r="Y441" i="7" s="1"/>
  <c r="Z440" i="7"/>
  <c r="Y440" i="7"/>
  <c r="W440" i="7"/>
  <c r="Z439" i="7"/>
  <c r="W439" i="7"/>
  <c r="Y439" i="7" s="1"/>
  <c r="W438" i="7"/>
  <c r="Z438" i="7" s="1"/>
  <c r="W437" i="7"/>
  <c r="Y437" i="7" s="1"/>
  <c r="Z436" i="7"/>
  <c r="Y436" i="7"/>
  <c r="W436" i="7"/>
  <c r="W435" i="7"/>
  <c r="Z435" i="7" s="1"/>
  <c r="W434" i="7"/>
  <c r="Z434" i="7" s="1"/>
  <c r="W433" i="7"/>
  <c r="Y433" i="7" s="1"/>
  <c r="Z432" i="7"/>
  <c r="Y432" i="7"/>
  <c r="W432" i="7"/>
  <c r="Z431" i="7"/>
  <c r="W431" i="7"/>
  <c r="Y431" i="7" s="1"/>
  <c r="W430" i="7"/>
  <c r="Z430" i="7" s="1"/>
  <c r="W429" i="7"/>
  <c r="Y429" i="7" s="1"/>
  <c r="Z428" i="7"/>
  <c r="W428" i="7"/>
  <c r="Y428" i="7" s="1"/>
  <c r="Z427" i="7"/>
  <c r="Y427" i="7"/>
  <c r="W427" i="7"/>
  <c r="W426" i="7"/>
  <c r="Z426" i="7" s="1"/>
  <c r="W425" i="7"/>
  <c r="Y425" i="7" s="1"/>
  <c r="Z424" i="7"/>
  <c r="W424" i="7"/>
  <c r="Y424" i="7" s="1"/>
  <c r="Z423" i="7"/>
  <c r="Y423" i="7"/>
  <c r="W423" i="7"/>
  <c r="W422" i="7"/>
  <c r="Z422" i="7" s="1"/>
  <c r="W421" i="7"/>
  <c r="Y421" i="7" s="1"/>
  <c r="Z420" i="7"/>
  <c r="W420" i="7"/>
  <c r="Y420" i="7" s="1"/>
  <c r="Z419" i="7"/>
  <c r="Y419" i="7"/>
  <c r="W419" i="7"/>
  <c r="W418" i="7"/>
  <c r="Z418" i="7" s="1"/>
  <c r="W417" i="7"/>
  <c r="Y417" i="7" s="1"/>
  <c r="Z416" i="7"/>
  <c r="W416" i="7"/>
  <c r="Y416" i="7" s="1"/>
  <c r="Z415" i="7"/>
  <c r="Y415" i="7"/>
  <c r="W415" i="7"/>
  <c r="W414" i="7"/>
  <c r="Z414" i="7" s="1"/>
  <c r="W413" i="7"/>
  <c r="Y413" i="7" s="1"/>
  <c r="Z412" i="7"/>
  <c r="W412" i="7"/>
  <c r="Y412" i="7" s="1"/>
  <c r="Z411" i="7"/>
  <c r="Y411" i="7"/>
  <c r="W411" i="7"/>
  <c r="W410" i="7"/>
  <c r="Z410" i="7" s="1"/>
  <c r="W409" i="7"/>
  <c r="Y409" i="7" s="1"/>
  <c r="Z408" i="7"/>
  <c r="W408" i="7"/>
  <c r="Y408" i="7" s="1"/>
  <c r="Z407" i="7"/>
  <c r="Y407" i="7"/>
  <c r="W407" i="7"/>
  <c r="W406" i="7"/>
  <c r="Y406" i="7" s="1"/>
  <c r="W405" i="7"/>
  <c r="Z405" i="7" s="1"/>
  <c r="W404" i="7"/>
  <c r="Z404" i="7" s="1"/>
  <c r="W403" i="7"/>
  <c r="Y403" i="7" s="1"/>
  <c r="W402" i="7"/>
  <c r="Y402" i="7" s="1"/>
  <c r="Z401" i="7"/>
  <c r="W401" i="7"/>
  <c r="Y401" i="7" s="1"/>
  <c r="W400" i="7"/>
  <c r="Y400" i="7" s="1"/>
  <c r="W399" i="7"/>
  <c r="Y399" i="7" s="1"/>
  <c r="Z398" i="7"/>
  <c r="W398" i="7"/>
  <c r="Y398" i="7" s="1"/>
  <c r="W397" i="7"/>
  <c r="Y397" i="7" s="1"/>
  <c r="W396" i="7"/>
  <c r="Y396" i="7" s="1"/>
  <c r="W395" i="7"/>
  <c r="Y395" i="7" s="1"/>
  <c r="W394" i="7"/>
  <c r="Y394" i="7" s="1"/>
  <c r="Z393" i="7"/>
  <c r="W393" i="7"/>
  <c r="Y393" i="7" s="1"/>
  <c r="W392" i="7"/>
  <c r="Y392" i="7" s="1"/>
  <c r="W391" i="7"/>
  <c r="Y391" i="7" s="1"/>
  <c r="Z390" i="7"/>
  <c r="W390" i="7"/>
  <c r="Y390" i="7" s="1"/>
  <c r="W389" i="7"/>
  <c r="Y389" i="7" s="1"/>
  <c r="W388" i="7"/>
  <c r="Y388" i="7" s="1"/>
  <c r="W387" i="7"/>
  <c r="Y387" i="7" s="1"/>
  <c r="W386" i="7"/>
  <c r="Y386" i="7" s="1"/>
  <c r="Z385" i="7"/>
  <c r="W385" i="7"/>
  <c r="Y385" i="7" s="1"/>
  <c r="W384" i="7"/>
  <c r="Y384" i="7" s="1"/>
  <c r="W383" i="7"/>
  <c r="Y383" i="7" s="1"/>
  <c r="Z382" i="7"/>
  <c r="W382" i="7"/>
  <c r="Y382" i="7" s="1"/>
  <c r="W381" i="7"/>
  <c r="Y381" i="7" s="1"/>
  <c r="W380" i="7"/>
  <c r="Y380" i="7" s="1"/>
  <c r="W379" i="7"/>
  <c r="Y379" i="7" s="1"/>
  <c r="W378" i="7"/>
  <c r="Y378" i="7" s="1"/>
  <c r="Z377" i="7"/>
  <c r="W377" i="7"/>
  <c r="Y377" i="7" s="1"/>
  <c r="W376" i="7"/>
  <c r="Y376" i="7" s="1"/>
  <c r="W375" i="7"/>
  <c r="Y375" i="7" s="1"/>
  <c r="Z374" i="7"/>
  <c r="W374" i="7"/>
  <c r="Y374" i="7" s="1"/>
  <c r="W373" i="7"/>
  <c r="Y373" i="7" s="1"/>
  <c r="W372" i="7"/>
  <c r="Y372" i="7" s="1"/>
  <c r="W371" i="7"/>
  <c r="Y371" i="7" s="1"/>
  <c r="W370" i="7"/>
  <c r="Y370" i="7" s="1"/>
  <c r="Z369" i="7"/>
  <c r="W369" i="7"/>
  <c r="Y369" i="7" s="1"/>
  <c r="W368" i="7"/>
  <c r="Y368" i="7" s="1"/>
  <c r="W367" i="7"/>
  <c r="Y367" i="7" s="1"/>
  <c r="Z366" i="7"/>
  <c r="W366" i="7"/>
  <c r="Y366" i="7" s="1"/>
  <c r="W365" i="7"/>
  <c r="Y365" i="7" s="1"/>
  <c r="W364" i="7"/>
  <c r="Y364" i="7" s="1"/>
  <c r="W363" i="7"/>
  <c r="Y363" i="7" s="1"/>
  <c r="W362" i="7"/>
  <c r="Y362" i="7" s="1"/>
  <c r="Z361" i="7"/>
  <c r="W361" i="7"/>
  <c r="Y361" i="7" s="1"/>
  <c r="W360" i="7"/>
  <c r="Y360" i="7" s="1"/>
  <c r="W359" i="7"/>
  <c r="Y359" i="7" s="1"/>
  <c r="Z358" i="7"/>
  <c r="W358" i="7"/>
  <c r="Y358" i="7" s="1"/>
  <c r="W357" i="7"/>
  <c r="Y357" i="7" s="1"/>
  <c r="W356" i="7"/>
  <c r="Y356" i="7" s="1"/>
  <c r="W355" i="7"/>
  <c r="Y355" i="7" s="1"/>
  <c r="W354" i="7"/>
  <c r="Y354" i="7" s="1"/>
  <c r="Z353" i="7"/>
  <c r="W353" i="7"/>
  <c r="Y353" i="7" s="1"/>
  <c r="W352" i="7"/>
  <c r="Y352" i="7" s="1"/>
  <c r="W351" i="7"/>
  <c r="Y351" i="7" s="1"/>
  <c r="Z350" i="7"/>
  <c r="W350" i="7"/>
  <c r="Y350" i="7" s="1"/>
  <c r="W349" i="7"/>
  <c r="Y349" i="7" s="1"/>
  <c r="W348" i="7"/>
  <c r="Y348" i="7" s="1"/>
  <c r="W347" i="7"/>
  <c r="Y347" i="7" s="1"/>
  <c r="W346" i="7"/>
  <c r="Y346" i="7" s="1"/>
  <c r="Z345" i="7"/>
  <c r="W345" i="7"/>
  <c r="Y345" i="7" s="1"/>
  <c r="W344" i="7"/>
  <c r="Y344" i="7" s="1"/>
  <c r="W343" i="7"/>
  <c r="Y343" i="7" s="1"/>
  <c r="Z342" i="7"/>
  <c r="W342" i="7"/>
  <c r="Y342" i="7" s="1"/>
  <c r="W341" i="7"/>
  <c r="Y341" i="7" s="1"/>
  <c r="W340" i="7"/>
  <c r="Y340" i="7" s="1"/>
  <c r="W339" i="7"/>
  <c r="Y339" i="7" s="1"/>
  <c r="W338" i="7"/>
  <c r="Y338" i="7" s="1"/>
  <c r="Z337" i="7"/>
  <c r="W337" i="7"/>
  <c r="Y337" i="7" s="1"/>
  <c r="W336" i="7"/>
  <c r="Y336" i="7" s="1"/>
  <c r="W335" i="7"/>
  <c r="Y335" i="7" s="1"/>
  <c r="Z334" i="7"/>
  <c r="W334" i="7"/>
  <c r="Y334" i="7" s="1"/>
  <c r="W333" i="7"/>
  <c r="Y333" i="7" s="1"/>
  <c r="W332" i="7"/>
  <c r="Y332" i="7" s="1"/>
  <c r="W331" i="7"/>
  <c r="Y331" i="7" s="1"/>
  <c r="W330" i="7"/>
  <c r="Y330" i="7" s="1"/>
  <c r="Z329" i="7"/>
  <c r="W329" i="7"/>
  <c r="Y329" i="7" s="1"/>
  <c r="W328" i="7"/>
  <c r="Y328" i="7" s="1"/>
  <c r="W327" i="7"/>
  <c r="Y327" i="7" s="1"/>
  <c r="Z326" i="7"/>
  <c r="W326" i="7"/>
  <c r="Y326" i="7" s="1"/>
  <c r="W325" i="7"/>
  <c r="Y325" i="7" s="1"/>
  <c r="W324" i="7"/>
  <c r="Y324" i="7" s="1"/>
  <c r="W323" i="7"/>
  <c r="Y323" i="7" s="1"/>
  <c r="W322" i="7"/>
  <c r="Y322" i="7" s="1"/>
  <c r="Z321" i="7"/>
  <c r="W321" i="7"/>
  <c r="Y321" i="7" s="1"/>
  <c r="W320" i="7"/>
  <c r="Y320" i="7" s="1"/>
  <c r="W319" i="7"/>
  <c r="Y319" i="7" s="1"/>
  <c r="Z318" i="7"/>
  <c r="W318" i="7"/>
  <c r="Y318" i="7" s="1"/>
  <c r="W317" i="7"/>
  <c r="Y317" i="7" s="1"/>
  <c r="W316" i="7"/>
  <c r="Y316" i="7" s="1"/>
  <c r="W315" i="7"/>
  <c r="Y315" i="7" s="1"/>
  <c r="W314" i="7"/>
  <c r="Y314" i="7" s="1"/>
  <c r="Z313" i="7"/>
  <c r="W313" i="7"/>
  <c r="Y313" i="7" s="1"/>
  <c r="W312" i="7"/>
  <c r="Y312" i="7" s="1"/>
  <c r="W311" i="7"/>
  <c r="Y311" i="7" s="1"/>
  <c r="Z310" i="7"/>
  <c r="W310" i="7"/>
  <c r="Y310" i="7" s="1"/>
  <c r="W309" i="7"/>
  <c r="Y309" i="7" s="1"/>
  <c r="W308" i="7"/>
  <c r="Y308" i="7" s="1"/>
  <c r="W307" i="7"/>
  <c r="Y307" i="7" s="1"/>
  <c r="W306" i="7"/>
  <c r="Y306" i="7" s="1"/>
  <c r="Z305" i="7"/>
  <c r="W305" i="7"/>
  <c r="Y305" i="7" s="1"/>
  <c r="W304" i="7"/>
  <c r="Y304" i="7" s="1"/>
  <c r="W303" i="7"/>
  <c r="Y303" i="7" s="1"/>
  <c r="Z302" i="7"/>
  <c r="W302" i="7"/>
  <c r="Y302" i="7" s="1"/>
  <c r="W301" i="7"/>
  <c r="Y301" i="7" s="1"/>
  <c r="W300" i="7"/>
  <c r="Y300" i="7" s="1"/>
  <c r="W299" i="7"/>
  <c r="Y299" i="7" s="1"/>
  <c r="W298" i="7"/>
  <c r="Y298" i="7" s="1"/>
  <c r="Z297" i="7"/>
  <c r="W297" i="7"/>
  <c r="Y297" i="7" s="1"/>
  <c r="W296" i="7"/>
  <c r="Y296" i="7" s="1"/>
  <c r="W295" i="7"/>
  <c r="Y295" i="7" s="1"/>
  <c r="Z294" i="7"/>
  <c r="W294" i="7"/>
  <c r="Y294" i="7" s="1"/>
  <c r="W293" i="7"/>
  <c r="Y293" i="7" s="1"/>
  <c r="W292" i="7"/>
  <c r="Y292" i="7" s="1"/>
  <c r="W291" i="7"/>
  <c r="Y291" i="7" s="1"/>
  <c r="W290" i="7"/>
  <c r="Y290" i="7" s="1"/>
  <c r="Z289" i="7"/>
  <c r="W289" i="7"/>
  <c r="Y289" i="7" s="1"/>
  <c r="W288" i="7"/>
  <c r="Y288" i="7" s="1"/>
  <c r="W287" i="7"/>
  <c r="Y287" i="7" s="1"/>
  <c r="Z286" i="7"/>
  <c r="W286" i="7"/>
  <c r="Y286" i="7" s="1"/>
  <c r="W285" i="7"/>
  <c r="Y285" i="7" s="1"/>
  <c r="W284" i="7"/>
  <c r="Y284" i="7" s="1"/>
  <c r="W283" i="7"/>
  <c r="Y283" i="7" s="1"/>
  <c r="W282" i="7"/>
  <c r="Y282" i="7" s="1"/>
  <c r="Z281" i="7"/>
  <c r="W281" i="7"/>
  <c r="Y281" i="7" s="1"/>
  <c r="W280" i="7"/>
  <c r="Y280" i="7" s="1"/>
  <c r="W279" i="7"/>
  <c r="Y279" i="7" s="1"/>
  <c r="Z278" i="7"/>
  <c r="W278" i="7"/>
  <c r="Y278" i="7" s="1"/>
  <c r="W277" i="7"/>
  <c r="Y277" i="7" s="1"/>
  <c r="W276" i="7"/>
  <c r="Y276" i="7" s="1"/>
  <c r="W275" i="7"/>
  <c r="Y275" i="7" s="1"/>
  <c r="W274" i="7"/>
  <c r="Y274" i="7" s="1"/>
  <c r="Z273" i="7"/>
  <c r="W273" i="7"/>
  <c r="Y273" i="7" s="1"/>
  <c r="W272" i="7"/>
  <c r="Y272" i="7" s="1"/>
  <c r="W271" i="7"/>
  <c r="Y271" i="7" s="1"/>
  <c r="Z270" i="7"/>
  <c r="W270" i="7"/>
  <c r="Y270" i="7" s="1"/>
  <c r="W269" i="7"/>
  <c r="Y269" i="7" s="1"/>
  <c r="W268" i="7"/>
  <c r="Y268" i="7" s="1"/>
  <c r="W267" i="7"/>
  <c r="Y267" i="7" s="1"/>
  <c r="W266" i="7"/>
  <c r="Y266" i="7" s="1"/>
  <c r="Z265" i="7"/>
  <c r="W265" i="7"/>
  <c r="Y265" i="7" s="1"/>
  <c r="W264" i="7"/>
  <c r="Y264" i="7" s="1"/>
  <c r="W263" i="7"/>
  <c r="Y263" i="7" s="1"/>
  <c r="Z262" i="7"/>
  <c r="W262" i="7"/>
  <c r="Y262" i="7" s="1"/>
  <c r="W261" i="7"/>
  <c r="Y261" i="7" s="1"/>
  <c r="W260" i="7"/>
  <c r="Y260" i="7" s="1"/>
  <c r="W259" i="7"/>
  <c r="Y259" i="7" s="1"/>
  <c r="W258" i="7"/>
  <c r="Y258" i="7" s="1"/>
  <c r="Z257" i="7"/>
  <c r="W257" i="7"/>
  <c r="Y257" i="7" s="1"/>
  <c r="W256" i="7"/>
  <c r="Y256" i="7" s="1"/>
  <c r="W255" i="7"/>
  <c r="Y255" i="7" s="1"/>
  <c r="Z254" i="7"/>
  <c r="W254" i="7"/>
  <c r="Y254" i="7" s="1"/>
  <c r="W253" i="7"/>
  <c r="Y253" i="7" s="1"/>
  <c r="W252" i="7"/>
  <c r="Y252" i="7" s="1"/>
  <c r="W251" i="7"/>
  <c r="Y251" i="7" s="1"/>
  <c r="W250" i="7"/>
  <c r="Y250" i="7" s="1"/>
  <c r="Z249" i="7"/>
  <c r="W249" i="7"/>
  <c r="Y249" i="7" s="1"/>
  <c r="W248" i="7"/>
  <c r="Y248" i="7" s="1"/>
  <c r="W247" i="7"/>
  <c r="Y247" i="7" s="1"/>
  <c r="Z246" i="7"/>
  <c r="W246" i="7"/>
  <c r="Y246" i="7" s="1"/>
  <c r="W245" i="7"/>
  <c r="Y245" i="7" s="1"/>
  <c r="W244" i="7"/>
  <c r="Y244" i="7" s="1"/>
  <c r="W243" i="7"/>
  <c r="Y243" i="7" s="1"/>
  <c r="W242" i="7"/>
  <c r="Y242" i="7" s="1"/>
  <c r="W241" i="7"/>
  <c r="Z241" i="7" s="1"/>
  <c r="W240" i="7"/>
  <c r="Y240" i="7" s="1"/>
  <c r="W239" i="7"/>
  <c r="Z239" i="7" s="1"/>
  <c r="W238" i="7"/>
  <c r="Y238" i="7" s="1"/>
  <c r="W237" i="7"/>
  <c r="Z237" i="7" s="1"/>
  <c r="W236" i="7"/>
  <c r="Y236" i="7" s="1"/>
  <c r="W235" i="7"/>
  <c r="Z235" i="7" s="1"/>
  <c r="W234" i="7"/>
  <c r="Y234" i="7" s="1"/>
  <c r="W233" i="7"/>
  <c r="Z233" i="7" s="1"/>
  <c r="W232" i="7"/>
  <c r="Y232" i="7" s="1"/>
  <c r="W231" i="7"/>
  <c r="Z231" i="7" s="1"/>
  <c r="W230" i="7"/>
  <c r="Y230" i="7" s="1"/>
  <c r="W229" i="7"/>
  <c r="Z229" i="7" s="1"/>
  <c r="W228" i="7"/>
  <c r="Y228" i="7" s="1"/>
  <c r="W227" i="7"/>
  <c r="Z227" i="7" s="1"/>
  <c r="W226" i="7"/>
  <c r="Y226" i="7" s="1"/>
  <c r="W225" i="7"/>
  <c r="Z225" i="7" s="1"/>
  <c r="W224" i="7"/>
  <c r="Y224" i="7" s="1"/>
  <c r="W223" i="7"/>
  <c r="Z223" i="7" s="1"/>
  <c r="W222" i="7"/>
  <c r="Y222" i="7" s="1"/>
  <c r="W221" i="7"/>
  <c r="Z221" i="7" s="1"/>
  <c r="W220" i="7"/>
  <c r="Y220" i="7" s="1"/>
  <c r="W219" i="7"/>
  <c r="Z219" i="7" s="1"/>
  <c r="W218" i="7"/>
  <c r="Y218" i="7" s="1"/>
  <c r="W217" i="7"/>
  <c r="Z217" i="7" s="1"/>
  <c r="W216" i="7"/>
  <c r="Y216" i="7" s="1"/>
  <c r="W215" i="7"/>
  <c r="Z215" i="7" s="1"/>
  <c r="W214" i="7"/>
  <c r="Y214" i="7" s="1"/>
  <c r="W213" i="7"/>
  <c r="Z213" i="7" s="1"/>
  <c r="W212" i="7"/>
  <c r="Y212" i="7" s="1"/>
  <c r="W211" i="7"/>
  <c r="Z211" i="7" s="1"/>
  <c r="W210" i="7"/>
  <c r="Y210" i="7" s="1"/>
  <c r="W209" i="7"/>
  <c r="Z209" i="7" s="1"/>
  <c r="W208" i="7"/>
  <c r="Y208" i="7" s="1"/>
  <c r="W207" i="7"/>
  <c r="Z207" i="7" s="1"/>
  <c r="W206" i="7"/>
  <c r="Y206" i="7" s="1"/>
  <c r="W205" i="7"/>
  <c r="Z205" i="7" s="1"/>
  <c r="W204" i="7"/>
  <c r="Y204" i="7" s="1"/>
  <c r="W203" i="7"/>
  <c r="Z202" i="7"/>
  <c r="W202" i="7"/>
  <c r="Y202" i="7" s="1"/>
  <c r="Z201" i="7"/>
  <c r="W201" i="7"/>
  <c r="Y201" i="7" s="1"/>
  <c r="Z200" i="7"/>
  <c r="W200" i="7"/>
  <c r="Y200" i="7" s="1"/>
  <c r="Z199" i="7"/>
  <c r="W199" i="7"/>
  <c r="Y199" i="7" s="1"/>
  <c r="Z198" i="7"/>
  <c r="W198" i="7"/>
  <c r="Y198" i="7" s="1"/>
  <c r="Z197" i="7"/>
  <c r="W197" i="7"/>
  <c r="Y197" i="7" s="1"/>
  <c r="Z196" i="7"/>
  <c r="W196" i="7"/>
  <c r="Y196" i="7" s="1"/>
  <c r="Z195" i="7"/>
  <c r="W195" i="7"/>
  <c r="Y195" i="7" s="1"/>
  <c r="Z194" i="7"/>
  <c r="W194" i="7"/>
  <c r="Y194" i="7" s="1"/>
  <c r="Z193" i="7"/>
  <c r="W193" i="7"/>
  <c r="Y193" i="7" s="1"/>
  <c r="Z192" i="7"/>
  <c r="W192" i="7"/>
  <c r="Y192" i="7" s="1"/>
  <c r="Z191" i="7"/>
  <c r="W191" i="7"/>
  <c r="Y191" i="7" s="1"/>
  <c r="Z190" i="7"/>
  <c r="W190" i="7"/>
  <c r="Y190" i="7" s="1"/>
  <c r="Z189" i="7"/>
  <c r="W189" i="7"/>
  <c r="Y189" i="7" s="1"/>
  <c r="Z188" i="7"/>
  <c r="W188" i="7"/>
  <c r="Y188" i="7" s="1"/>
  <c r="Z187" i="7"/>
  <c r="W187" i="7"/>
  <c r="Y187" i="7" s="1"/>
  <c r="Z186" i="7"/>
  <c r="W186" i="7"/>
  <c r="Y186" i="7" s="1"/>
  <c r="Z185" i="7"/>
  <c r="W185" i="7"/>
  <c r="Y185" i="7" s="1"/>
  <c r="Z184" i="7"/>
  <c r="W184" i="7"/>
  <c r="Y184" i="7" s="1"/>
  <c r="Z183" i="7"/>
  <c r="W183" i="7"/>
  <c r="Y183" i="7" s="1"/>
  <c r="Z182" i="7"/>
  <c r="W182" i="7"/>
  <c r="Y182" i="7" s="1"/>
  <c r="Z181" i="7"/>
  <c r="W181" i="7"/>
  <c r="Y181" i="7" s="1"/>
  <c r="Z180" i="7"/>
  <c r="W180" i="7"/>
  <c r="Y180" i="7" s="1"/>
  <c r="Z179" i="7"/>
  <c r="W179" i="7"/>
  <c r="Y179" i="7" s="1"/>
  <c r="Z178" i="7"/>
  <c r="W178" i="7"/>
  <c r="Y178" i="7" s="1"/>
  <c r="Z177" i="7"/>
  <c r="W177" i="7"/>
  <c r="Y177" i="7" s="1"/>
  <c r="Z176" i="7"/>
  <c r="W176" i="7"/>
  <c r="Y176" i="7" s="1"/>
  <c r="Z175" i="7"/>
  <c r="W175" i="7"/>
  <c r="Y175" i="7" s="1"/>
  <c r="Z174" i="7"/>
  <c r="W174" i="7"/>
  <c r="Y174" i="7" s="1"/>
  <c r="Z173" i="7"/>
  <c r="W173" i="7"/>
  <c r="Y173" i="7" s="1"/>
  <c r="Z172" i="7"/>
  <c r="W172" i="7"/>
  <c r="Y172" i="7" s="1"/>
  <c r="Z171" i="7"/>
  <c r="W171" i="7"/>
  <c r="Y171" i="7" s="1"/>
  <c r="Z170" i="7"/>
  <c r="W170" i="7"/>
  <c r="Y170" i="7" s="1"/>
  <c r="Z169" i="7"/>
  <c r="W169" i="7"/>
  <c r="Y169" i="7" s="1"/>
  <c r="Z168" i="7"/>
  <c r="W168" i="7"/>
  <c r="Y168" i="7" s="1"/>
  <c r="Z167" i="7"/>
  <c r="W167" i="7"/>
  <c r="Y167" i="7" s="1"/>
  <c r="Z166" i="7"/>
  <c r="W166" i="7"/>
  <c r="Y166" i="7" s="1"/>
  <c r="Z165" i="7"/>
  <c r="W165" i="7"/>
  <c r="Y165" i="7" s="1"/>
  <c r="Z164" i="7"/>
  <c r="W164" i="7"/>
  <c r="Y164" i="7" s="1"/>
  <c r="Z163" i="7"/>
  <c r="W163" i="7"/>
  <c r="Y163" i="7" s="1"/>
  <c r="Z162" i="7"/>
  <c r="W162" i="7"/>
  <c r="Y162" i="7" s="1"/>
  <c r="Z161" i="7"/>
  <c r="W161" i="7"/>
  <c r="Y161" i="7" s="1"/>
  <c r="Z160" i="7"/>
  <c r="W160" i="7"/>
  <c r="Y160" i="7" s="1"/>
  <c r="Z159" i="7"/>
  <c r="W159" i="7"/>
  <c r="Y159" i="7" s="1"/>
  <c r="Z158" i="7"/>
  <c r="W158" i="7"/>
  <c r="Y158" i="7" s="1"/>
  <c r="Z157" i="7"/>
  <c r="W157" i="7"/>
  <c r="Y157" i="7" s="1"/>
  <c r="Z156" i="7"/>
  <c r="W156" i="7"/>
  <c r="Y156" i="7" s="1"/>
  <c r="Z155" i="7"/>
  <c r="W155" i="7"/>
  <c r="Y155" i="7" s="1"/>
  <c r="Z154" i="7"/>
  <c r="W154" i="7"/>
  <c r="Y154" i="7" s="1"/>
  <c r="Z153" i="7"/>
  <c r="W153" i="7"/>
  <c r="Y153" i="7" s="1"/>
  <c r="Z152" i="7"/>
  <c r="W152" i="7"/>
  <c r="Y152" i="7" s="1"/>
  <c r="Z151" i="7"/>
  <c r="W151" i="7"/>
  <c r="Y151" i="7" s="1"/>
  <c r="Z150" i="7"/>
  <c r="W150" i="7"/>
  <c r="Y150" i="7" s="1"/>
  <c r="Z149" i="7"/>
  <c r="W149" i="7"/>
  <c r="Y149" i="7" s="1"/>
  <c r="Z148" i="7"/>
  <c r="W148" i="7"/>
  <c r="Y148" i="7" s="1"/>
  <c r="Z147" i="7"/>
  <c r="W147" i="7"/>
  <c r="Y147" i="7" s="1"/>
  <c r="Z146" i="7"/>
  <c r="W146" i="7"/>
  <c r="Y146" i="7" s="1"/>
  <c r="Z145" i="7"/>
  <c r="W145" i="7"/>
  <c r="Y145" i="7" s="1"/>
  <c r="Z144" i="7"/>
  <c r="W144" i="7"/>
  <c r="Y144" i="7" s="1"/>
  <c r="Z143" i="7"/>
  <c r="W143" i="7"/>
  <c r="Y143" i="7" s="1"/>
  <c r="Z142" i="7"/>
  <c r="W142" i="7"/>
  <c r="Y142" i="7" s="1"/>
  <c r="Z141" i="7"/>
  <c r="W141" i="7"/>
  <c r="Y141" i="7" s="1"/>
  <c r="Z140" i="7"/>
  <c r="W140" i="7"/>
  <c r="Y140" i="7" s="1"/>
  <c r="Z139" i="7"/>
  <c r="W139" i="7"/>
  <c r="Y139" i="7" s="1"/>
  <c r="Z138" i="7"/>
  <c r="W138" i="7"/>
  <c r="Y138" i="7" s="1"/>
  <c r="Z137" i="7"/>
  <c r="W137" i="7"/>
  <c r="Y137" i="7" s="1"/>
  <c r="Z136" i="7"/>
  <c r="W136" i="7"/>
  <c r="Y136" i="7" s="1"/>
  <c r="Z135" i="7"/>
  <c r="W135" i="7"/>
  <c r="Y135" i="7" s="1"/>
  <c r="Z134" i="7"/>
  <c r="W134" i="7"/>
  <c r="Y134" i="7" s="1"/>
  <c r="Z133" i="7"/>
  <c r="W133" i="7"/>
  <c r="Y133" i="7" s="1"/>
  <c r="Z132" i="7"/>
  <c r="W132" i="7"/>
  <c r="Y132" i="7" s="1"/>
  <c r="Z131" i="7"/>
  <c r="W131" i="7"/>
  <c r="Y131" i="7" s="1"/>
  <c r="Z130" i="7"/>
  <c r="W130" i="7"/>
  <c r="Y130" i="7" s="1"/>
  <c r="Z129" i="7"/>
  <c r="W129" i="7"/>
  <c r="Y129" i="7" s="1"/>
  <c r="Z128" i="7"/>
  <c r="W128" i="7"/>
  <c r="Y128" i="7" s="1"/>
  <c r="Z127" i="7"/>
  <c r="W127" i="7"/>
  <c r="Y127" i="7" s="1"/>
  <c r="Z126" i="7"/>
  <c r="W126" i="7"/>
  <c r="Y126" i="7" s="1"/>
  <c r="Z125" i="7"/>
  <c r="W125" i="7"/>
  <c r="Y125" i="7" s="1"/>
  <c r="Z124" i="7"/>
  <c r="W124" i="7"/>
  <c r="Y124" i="7" s="1"/>
  <c r="Z123" i="7"/>
  <c r="W123" i="7"/>
  <c r="Y123" i="7" s="1"/>
  <c r="Z122" i="7"/>
  <c r="W122" i="7"/>
  <c r="Y122" i="7" s="1"/>
  <c r="Z121" i="7"/>
  <c r="W121" i="7"/>
  <c r="Y121" i="7" s="1"/>
  <c r="Z120" i="7"/>
  <c r="W120" i="7"/>
  <c r="Y120" i="7" s="1"/>
  <c r="Z119" i="7"/>
  <c r="W119" i="7"/>
  <c r="Y119" i="7" s="1"/>
  <c r="Z118" i="7"/>
  <c r="W118" i="7"/>
  <c r="Y118" i="7" s="1"/>
  <c r="Z117" i="7"/>
  <c r="W117" i="7"/>
  <c r="Y117" i="7" s="1"/>
  <c r="Z116" i="7"/>
  <c r="W116" i="7"/>
  <c r="Y116" i="7" s="1"/>
  <c r="Z115" i="7"/>
  <c r="W115" i="7"/>
  <c r="Y115" i="7" s="1"/>
  <c r="Z114" i="7"/>
  <c r="W114" i="7"/>
  <c r="Y114" i="7" s="1"/>
  <c r="Z113" i="7"/>
  <c r="W113" i="7"/>
  <c r="Y113" i="7" s="1"/>
  <c r="Z112" i="7"/>
  <c r="W112" i="7"/>
  <c r="Y112" i="7" s="1"/>
  <c r="Z111" i="7"/>
  <c r="W111" i="7"/>
  <c r="Y111" i="7" s="1"/>
  <c r="Z110" i="7"/>
  <c r="W110" i="7"/>
  <c r="Y110" i="7" s="1"/>
  <c r="Z109" i="7"/>
  <c r="W109" i="7"/>
  <c r="Y109" i="7" s="1"/>
  <c r="Z108" i="7"/>
  <c r="W108" i="7"/>
  <c r="Y108" i="7" s="1"/>
  <c r="Z107" i="7"/>
  <c r="W107" i="7"/>
  <c r="Y107" i="7" s="1"/>
  <c r="Z106" i="7"/>
  <c r="W106" i="7"/>
  <c r="Y106" i="7" s="1"/>
  <c r="Z105" i="7"/>
  <c r="W105" i="7"/>
  <c r="Y105" i="7" s="1"/>
  <c r="Z104" i="7"/>
  <c r="W104" i="7"/>
  <c r="Y104" i="7" s="1"/>
  <c r="Z103" i="7"/>
  <c r="W103" i="7"/>
  <c r="Y103" i="7" s="1"/>
  <c r="Z102" i="7"/>
  <c r="W102" i="7"/>
  <c r="Y102" i="7" s="1"/>
  <c r="Z101" i="7"/>
  <c r="W101" i="7"/>
  <c r="Y101" i="7" s="1"/>
  <c r="Z100" i="7"/>
  <c r="W100" i="7"/>
  <c r="Y100" i="7" s="1"/>
  <c r="Z99" i="7"/>
  <c r="W99" i="7"/>
  <c r="Y99" i="7" s="1"/>
  <c r="Z98" i="7"/>
  <c r="W98" i="7"/>
  <c r="Y98" i="7" s="1"/>
  <c r="Z97" i="7"/>
  <c r="W97" i="7"/>
  <c r="Y97" i="7" s="1"/>
  <c r="Z96" i="7"/>
  <c r="W96" i="7"/>
  <c r="Y96" i="7" s="1"/>
  <c r="Z95" i="7"/>
  <c r="W95" i="7"/>
  <c r="Y95" i="7" s="1"/>
  <c r="Z94" i="7"/>
  <c r="W94" i="7"/>
  <c r="Y94" i="7" s="1"/>
  <c r="Z93" i="7"/>
  <c r="W93" i="7"/>
  <c r="Y93" i="7" s="1"/>
  <c r="Z92" i="7"/>
  <c r="W92" i="7"/>
  <c r="Y92" i="7" s="1"/>
  <c r="Z91" i="7"/>
  <c r="W91" i="7"/>
  <c r="Y91" i="7" s="1"/>
  <c r="Z90" i="7"/>
  <c r="W90" i="7"/>
  <c r="Y90" i="7" s="1"/>
  <c r="Z89" i="7"/>
  <c r="W89" i="7"/>
  <c r="Y89" i="7" s="1"/>
  <c r="Z88" i="7"/>
  <c r="W88" i="7"/>
  <c r="Y88" i="7" s="1"/>
  <c r="Z87" i="7"/>
  <c r="W87" i="7"/>
  <c r="Y87" i="7" s="1"/>
  <c r="Z86" i="7"/>
  <c r="W86" i="7"/>
  <c r="Y86" i="7" s="1"/>
  <c r="Z85" i="7"/>
  <c r="W85" i="7"/>
  <c r="Y85" i="7" s="1"/>
  <c r="Z84" i="7"/>
  <c r="W84" i="7"/>
  <c r="Y84" i="7" s="1"/>
  <c r="Z83" i="7"/>
  <c r="W83" i="7"/>
  <c r="Y83" i="7" s="1"/>
  <c r="Z82" i="7"/>
  <c r="W82" i="7"/>
  <c r="Y82" i="7" s="1"/>
  <c r="Z81" i="7"/>
  <c r="W81" i="7"/>
  <c r="Y81" i="7" s="1"/>
  <c r="Z80" i="7"/>
  <c r="W80" i="7"/>
  <c r="Y80" i="7" s="1"/>
  <c r="Z79" i="7"/>
  <c r="W79" i="7"/>
  <c r="Y79" i="7" s="1"/>
  <c r="Z78" i="7"/>
  <c r="W78" i="7"/>
  <c r="Y78" i="7" s="1"/>
  <c r="Z77" i="7"/>
  <c r="W77" i="7"/>
  <c r="Y77" i="7" s="1"/>
  <c r="Z76" i="7"/>
  <c r="W76" i="7"/>
  <c r="Y76" i="7" s="1"/>
  <c r="Z75" i="7"/>
  <c r="W75" i="7"/>
  <c r="Y75" i="7" s="1"/>
  <c r="Z74" i="7"/>
  <c r="W74" i="7"/>
  <c r="Y74" i="7" s="1"/>
  <c r="Z73" i="7"/>
  <c r="W73" i="7"/>
  <c r="Y73" i="7" s="1"/>
  <c r="Z72" i="7"/>
  <c r="W72" i="7"/>
  <c r="Y72" i="7" s="1"/>
  <c r="Z71" i="7"/>
  <c r="W71" i="7"/>
  <c r="Y71" i="7" s="1"/>
  <c r="Z70" i="7"/>
  <c r="W70" i="7"/>
  <c r="Y70" i="7" s="1"/>
  <c r="Z69" i="7"/>
  <c r="W69" i="7"/>
  <c r="Y69" i="7" s="1"/>
  <c r="Z68" i="7"/>
  <c r="W68" i="7"/>
  <c r="Y68" i="7" s="1"/>
  <c r="Z67" i="7"/>
  <c r="W67" i="7"/>
  <c r="Y67" i="7" s="1"/>
  <c r="Z66" i="7"/>
  <c r="W66" i="7"/>
  <c r="Y66" i="7" s="1"/>
  <c r="Z65" i="7"/>
  <c r="W65" i="7"/>
  <c r="Y65" i="7" s="1"/>
  <c r="Z64" i="7"/>
  <c r="W64" i="7"/>
  <c r="Y64" i="7" s="1"/>
  <c r="Z63" i="7"/>
  <c r="W63" i="7"/>
  <c r="Y63" i="7" s="1"/>
  <c r="Z62" i="7"/>
  <c r="W62" i="7"/>
  <c r="Y62" i="7" s="1"/>
  <c r="Z61" i="7"/>
  <c r="W61" i="7"/>
  <c r="Y61" i="7" s="1"/>
  <c r="Z60" i="7"/>
  <c r="W60" i="7"/>
  <c r="Y60" i="7" s="1"/>
  <c r="Z59" i="7"/>
  <c r="W59" i="7"/>
  <c r="Y59" i="7" s="1"/>
  <c r="Z58" i="7"/>
  <c r="W58" i="7"/>
  <c r="Y58" i="7" s="1"/>
  <c r="Z57" i="7"/>
  <c r="W57" i="7"/>
  <c r="Y57" i="7" s="1"/>
  <c r="Z56" i="7"/>
  <c r="W56" i="7"/>
  <c r="Y56" i="7" s="1"/>
  <c r="Z55" i="7"/>
  <c r="W55" i="7"/>
  <c r="Y55" i="7" s="1"/>
  <c r="Z54" i="7"/>
  <c r="W54" i="7"/>
  <c r="Y54" i="7" s="1"/>
  <c r="Z53" i="7"/>
  <c r="W53" i="7"/>
  <c r="Y53" i="7" s="1"/>
  <c r="Z52" i="7"/>
  <c r="W52" i="7"/>
  <c r="Y52" i="7" s="1"/>
  <c r="Z51" i="7"/>
  <c r="W51" i="7"/>
  <c r="Y51" i="7" s="1"/>
  <c r="Z50" i="7"/>
  <c r="W50" i="7"/>
  <c r="Y50" i="7" s="1"/>
  <c r="Z49" i="7"/>
  <c r="W49" i="7"/>
  <c r="Y49" i="7" s="1"/>
  <c r="Z48" i="7"/>
  <c r="W48" i="7"/>
  <c r="Y48" i="7" s="1"/>
  <c r="Z47" i="7"/>
  <c r="W47" i="7"/>
  <c r="Y47" i="7" s="1"/>
  <c r="Z46" i="7"/>
  <c r="W46" i="7"/>
  <c r="Y46" i="7" s="1"/>
  <c r="Z45" i="7"/>
  <c r="W45" i="7"/>
  <c r="Y45" i="7" s="1"/>
  <c r="Z44" i="7"/>
  <c r="W44" i="7"/>
  <c r="Y44" i="7" s="1"/>
  <c r="Z43" i="7"/>
  <c r="W43" i="7"/>
  <c r="Y43" i="7" s="1"/>
  <c r="Z42" i="7"/>
  <c r="W42" i="7"/>
  <c r="Y42" i="7" s="1"/>
  <c r="Z41" i="7"/>
  <c r="W41" i="7"/>
  <c r="Y41" i="7" s="1"/>
  <c r="Z40" i="7"/>
  <c r="W40" i="7"/>
  <c r="Y40" i="7" s="1"/>
  <c r="Z39" i="7"/>
  <c r="W39" i="7"/>
  <c r="Y39" i="7" s="1"/>
  <c r="Z38" i="7"/>
  <c r="W38" i="7"/>
  <c r="Y38" i="7" s="1"/>
  <c r="Z37" i="7"/>
  <c r="W37" i="7"/>
  <c r="Y37" i="7" s="1"/>
  <c r="Z36" i="7"/>
  <c r="W36" i="7"/>
  <c r="Y36" i="7" s="1"/>
  <c r="Z35" i="7"/>
  <c r="W35" i="7"/>
  <c r="Y35" i="7" s="1"/>
  <c r="Z34" i="7"/>
  <c r="W34" i="7"/>
  <c r="Y34" i="7" s="1"/>
  <c r="Z33" i="7"/>
  <c r="W33" i="7"/>
  <c r="Y33" i="7" s="1"/>
  <c r="Z32" i="7"/>
  <c r="W32" i="7"/>
  <c r="Y32" i="7" s="1"/>
  <c r="Z31" i="7"/>
  <c r="W31" i="7"/>
  <c r="Y31" i="7" s="1"/>
  <c r="Z30" i="7"/>
  <c r="W30" i="7"/>
  <c r="Y30" i="7" s="1"/>
  <c r="Z29" i="7"/>
  <c r="W29" i="7"/>
  <c r="Y29" i="7" s="1"/>
  <c r="Z28" i="7"/>
  <c r="W28" i="7"/>
  <c r="Y28" i="7" s="1"/>
  <c r="Z27" i="7"/>
  <c r="W27" i="7"/>
  <c r="Y27" i="7" s="1"/>
  <c r="Z26" i="7"/>
  <c r="W26" i="7"/>
  <c r="Y26" i="7" s="1"/>
  <c r="Z25" i="7"/>
  <c r="W25" i="7"/>
  <c r="Y25" i="7" s="1"/>
  <c r="Z24" i="7"/>
  <c r="W24" i="7"/>
  <c r="Y24" i="7" s="1"/>
  <c r="Z23" i="7"/>
  <c r="W23" i="7"/>
  <c r="Y23" i="7" s="1"/>
  <c r="Z22" i="7"/>
  <c r="W22" i="7"/>
  <c r="Y22" i="7" s="1"/>
  <c r="Z21" i="7"/>
  <c r="W21" i="7"/>
  <c r="Y21" i="7" s="1"/>
  <c r="Z20" i="7"/>
  <c r="W20" i="7"/>
  <c r="Y20" i="7" s="1"/>
  <c r="Z19" i="7"/>
  <c r="W19" i="7"/>
  <c r="Y19" i="7" s="1"/>
  <c r="Z18" i="7"/>
  <c r="W18" i="7"/>
  <c r="Y18" i="7" s="1"/>
  <c r="Z17" i="7"/>
  <c r="W17" i="7"/>
  <c r="Y17" i="7" s="1"/>
  <c r="Z16" i="7"/>
  <c r="W16" i="7"/>
  <c r="Y16" i="7" s="1"/>
  <c r="Z15" i="7"/>
  <c r="W15" i="7"/>
  <c r="Y15" i="7" s="1"/>
  <c r="Z14" i="7"/>
  <c r="W14" i="7"/>
  <c r="Y14" i="7" s="1"/>
  <c r="Z13" i="7"/>
  <c r="W13" i="7"/>
  <c r="Y13" i="7" s="1"/>
  <c r="Z12" i="7"/>
  <c r="W12" i="7"/>
  <c r="Y12" i="7" s="1"/>
  <c r="Z11" i="7"/>
  <c r="W11" i="7"/>
  <c r="Y11" i="7" s="1"/>
  <c r="Z10" i="7"/>
  <c r="W10" i="7"/>
  <c r="Y10" i="7" s="1"/>
  <c r="Z9" i="7"/>
  <c r="W9" i="7"/>
  <c r="Y9" i="7" s="1"/>
  <c r="Z8" i="7"/>
  <c r="W8" i="7"/>
  <c r="Y8" i="7" s="1"/>
  <c r="Z7" i="7"/>
  <c r="W7" i="7"/>
  <c r="Y7" i="7" s="1"/>
  <c r="Z6" i="7"/>
  <c r="W6" i="7"/>
  <c r="Y6" i="7" s="1"/>
  <c r="Z5" i="7"/>
  <c r="W5" i="7"/>
  <c r="Y5" i="7" s="1"/>
  <c r="Z4" i="7"/>
  <c r="W4" i="7"/>
  <c r="Y4" i="7" s="1"/>
  <c r="Z3" i="7"/>
  <c r="W3" i="7"/>
  <c r="Y3" i="7" s="1"/>
  <c r="Z803" i="1"/>
  <c r="Y803" i="1"/>
  <c r="X803" i="1"/>
  <c r="W803" i="1"/>
  <c r="Z802" i="1"/>
  <c r="Y802" i="1"/>
  <c r="X802" i="1"/>
  <c r="W802" i="1"/>
  <c r="Z801" i="1"/>
  <c r="Y801" i="1"/>
  <c r="X801" i="1"/>
  <c r="W801" i="1"/>
  <c r="Z800" i="1"/>
  <c r="Y800" i="1"/>
  <c r="X800" i="1"/>
  <c r="W800" i="1"/>
  <c r="Z799" i="1"/>
  <c r="Y799" i="1"/>
  <c r="X799" i="1"/>
  <c r="W799" i="1"/>
  <c r="Z798" i="1"/>
  <c r="Y798" i="1"/>
  <c r="X798" i="1"/>
  <c r="W798" i="1"/>
  <c r="Z797" i="1"/>
  <c r="Y797" i="1"/>
  <c r="X797" i="1"/>
  <c r="Z796" i="1"/>
  <c r="Y796" i="1"/>
  <c r="X796" i="1"/>
  <c r="Z795" i="1"/>
  <c r="Y795" i="1"/>
  <c r="X795" i="1"/>
  <c r="Z794" i="1"/>
  <c r="Y794" i="1"/>
  <c r="X794" i="1"/>
  <c r="Z793" i="1"/>
  <c r="Y793" i="1"/>
  <c r="X793" i="1"/>
  <c r="Z792" i="1"/>
  <c r="Y792" i="1"/>
  <c r="X792" i="1"/>
  <c r="Z791" i="1"/>
  <c r="Y791" i="1"/>
  <c r="X791" i="1"/>
  <c r="Z790" i="1"/>
  <c r="Y790" i="1"/>
  <c r="X790" i="1"/>
  <c r="Z789" i="1"/>
  <c r="Y789" i="1"/>
  <c r="X789" i="1"/>
  <c r="Z788" i="1"/>
  <c r="Y788" i="1"/>
  <c r="X788" i="1"/>
  <c r="Z787" i="1"/>
  <c r="Y787" i="1"/>
  <c r="X787" i="1"/>
  <c r="Z786" i="1"/>
  <c r="Y786" i="1"/>
  <c r="X786" i="1"/>
  <c r="Z785" i="1"/>
  <c r="Y785" i="1"/>
  <c r="X785" i="1"/>
  <c r="Z784" i="1"/>
  <c r="Y784" i="1"/>
  <c r="X784" i="1"/>
  <c r="Z783" i="1"/>
  <c r="Y783" i="1"/>
  <c r="X783" i="1"/>
  <c r="Z782" i="1"/>
  <c r="Y782" i="1"/>
  <c r="X782" i="1"/>
  <c r="Z781" i="1"/>
  <c r="Y781" i="1"/>
  <c r="X781" i="1"/>
  <c r="Z780" i="1"/>
  <c r="Y780" i="1"/>
  <c r="X780" i="1"/>
  <c r="Z779" i="1"/>
  <c r="Y779" i="1"/>
  <c r="X779" i="1"/>
  <c r="Z778" i="1"/>
  <c r="Y778" i="1"/>
  <c r="X778" i="1"/>
  <c r="Z777" i="1"/>
  <c r="Y777" i="1"/>
  <c r="X777" i="1"/>
  <c r="Z776" i="1"/>
  <c r="Y776" i="1"/>
  <c r="X776" i="1"/>
  <c r="Z775" i="1"/>
  <c r="Y775" i="1"/>
  <c r="X775" i="1"/>
  <c r="Z774" i="1"/>
  <c r="Y774" i="1"/>
  <c r="X774" i="1"/>
  <c r="Z773" i="1"/>
  <c r="Y773" i="1"/>
  <c r="X773" i="1"/>
  <c r="Z772" i="1"/>
  <c r="Y772" i="1"/>
  <c r="X772" i="1"/>
  <c r="Z771" i="1"/>
  <c r="Y771" i="1"/>
  <c r="X771" i="1"/>
  <c r="Z770" i="1"/>
  <c r="Y770" i="1"/>
  <c r="X770" i="1"/>
  <c r="Z769" i="1"/>
  <c r="Y769" i="1"/>
  <c r="X769" i="1"/>
  <c r="Z768" i="1"/>
  <c r="Y768" i="1"/>
  <c r="X768" i="1"/>
  <c r="Z767" i="1"/>
  <c r="Y767" i="1"/>
  <c r="X767" i="1"/>
  <c r="Z766" i="1"/>
  <c r="Y766" i="1"/>
  <c r="X766" i="1"/>
  <c r="Z765" i="1"/>
  <c r="Y765" i="1"/>
  <c r="X765" i="1"/>
  <c r="Z764" i="1"/>
  <c r="Y764" i="1"/>
  <c r="X764" i="1"/>
  <c r="Z763" i="1"/>
  <c r="Y763" i="1"/>
  <c r="X763" i="1"/>
  <c r="Z762" i="1"/>
  <c r="Y762" i="1"/>
  <c r="X762" i="1"/>
  <c r="Z761" i="1"/>
  <c r="Y761" i="1"/>
  <c r="X761" i="1"/>
  <c r="Z760" i="1"/>
  <c r="Y760" i="1"/>
  <c r="X760" i="1"/>
  <c r="Z759" i="1"/>
  <c r="Y759" i="1"/>
  <c r="X759" i="1"/>
  <c r="Z758" i="1"/>
  <c r="Y758" i="1"/>
  <c r="X758" i="1"/>
  <c r="Z757" i="1"/>
  <c r="Y757" i="1"/>
  <c r="X757" i="1"/>
  <c r="Z756" i="1"/>
  <c r="Y756" i="1"/>
  <c r="X756" i="1"/>
  <c r="Z755" i="1"/>
  <c r="Y755" i="1"/>
  <c r="X755" i="1"/>
  <c r="Z754" i="1"/>
  <c r="Y754" i="1"/>
  <c r="X754" i="1"/>
  <c r="Z753" i="1"/>
  <c r="Y753" i="1"/>
  <c r="X753" i="1"/>
  <c r="Z752" i="1"/>
  <c r="Y752" i="1"/>
  <c r="X752" i="1"/>
  <c r="Z751" i="1"/>
  <c r="Y751" i="1"/>
  <c r="X751" i="1"/>
  <c r="Z750" i="1"/>
  <c r="Y750" i="1"/>
  <c r="X750" i="1"/>
  <c r="Z749" i="1"/>
  <c r="Y749" i="1"/>
  <c r="X749" i="1"/>
  <c r="Z748" i="1"/>
  <c r="Y748" i="1"/>
  <c r="X748" i="1"/>
  <c r="Z747" i="1"/>
  <c r="Y747" i="1"/>
  <c r="X747" i="1"/>
  <c r="Z746" i="1"/>
  <c r="Y746" i="1"/>
  <c r="X746" i="1"/>
  <c r="Z745" i="1"/>
  <c r="Y745" i="1"/>
  <c r="X745" i="1"/>
  <c r="Z744" i="1"/>
  <c r="Y744" i="1"/>
  <c r="X744" i="1"/>
  <c r="Z743" i="1"/>
  <c r="Y743" i="1"/>
  <c r="X743" i="1"/>
  <c r="Z742" i="1"/>
  <c r="Y742" i="1"/>
  <c r="X742" i="1"/>
  <c r="Z741" i="1"/>
  <c r="Y741" i="1"/>
  <c r="X741" i="1"/>
  <c r="Z740" i="1"/>
  <c r="Y740" i="1"/>
  <c r="X740" i="1"/>
  <c r="Z739" i="1"/>
  <c r="Y739" i="1"/>
  <c r="X739" i="1"/>
  <c r="Z738" i="1"/>
  <c r="Y738" i="1"/>
  <c r="X738" i="1"/>
  <c r="Z737" i="1"/>
  <c r="Y737" i="1"/>
  <c r="X737" i="1"/>
  <c r="Z736" i="1"/>
  <c r="Y736" i="1"/>
  <c r="X736" i="1"/>
  <c r="Z735" i="1"/>
  <c r="Y735" i="1"/>
  <c r="X735" i="1"/>
  <c r="Z734" i="1"/>
  <c r="Y734" i="1"/>
  <c r="X734" i="1"/>
  <c r="Z733" i="1"/>
  <c r="Y733" i="1"/>
  <c r="X733" i="1"/>
  <c r="Z732" i="1"/>
  <c r="Y732" i="1"/>
  <c r="X732" i="1"/>
  <c r="Z731" i="1"/>
  <c r="Y731" i="1"/>
  <c r="X731" i="1"/>
  <c r="Z730" i="1"/>
  <c r="Y730" i="1"/>
  <c r="X730" i="1"/>
  <c r="Z729" i="1"/>
  <c r="Y729" i="1"/>
  <c r="X729" i="1"/>
  <c r="Z728" i="1"/>
  <c r="Y728" i="1"/>
  <c r="X728" i="1"/>
  <c r="Z727" i="1"/>
  <c r="Y727" i="1"/>
  <c r="X727" i="1"/>
  <c r="Z726" i="1"/>
  <c r="Y726" i="1"/>
  <c r="X726" i="1"/>
  <c r="Z725" i="1"/>
  <c r="Y725" i="1"/>
  <c r="X725" i="1"/>
  <c r="Z724" i="1"/>
  <c r="Y724" i="1"/>
  <c r="X724" i="1"/>
  <c r="Z723" i="1"/>
  <c r="Y723" i="1"/>
  <c r="X723" i="1"/>
  <c r="Z722" i="1"/>
  <c r="Y722" i="1"/>
  <c r="X722" i="1"/>
  <c r="Z721" i="1"/>
  <c r="Y721" i="1"/>
  <c r="X721" i="1"/>
  <c r="Z720" i="1"/>
  <c r="Y720" i="1"/>
  <c r="X720" i="1"/>
  <c r="Z719" i="1"/>
  <c r="Y719" i="1"/>
  <c r="X719" i="1"/>
  <c r="Z718" i="1"/>
  <c r="Y718" i="1"/>
  <c r="X718" i="1"/>
  <c r="Z717" i="1"/>
  <c r="Y717" i="1"/>
  <c r="X717" i="1"/>
  <c r="Z716" i="1"/>
  <c r="Y716" i="1"/>
  <c r="X716" i="1"/>
  <c r="Z715" i="1"/>
  <c r="Y715" i="1"/>
  <c r="X715" i="1"/>
  <c r="Z714" i="1"/>
  <c r="Y714" i="1"/>
  <c r="X714" i="1"/>
  <c r="Z713" i="1"/>
  <c r="Y713" i="1"/>
  <c r="X713" i="1"/>
  <c r="Z712" i="1"/>
  <c r="Y712" i="1"/>
  <c r="X712" i="1"/>
  <c r="Z711" i="1"/>
  <c r="Y711" i="1"/>
  <c r="X711" i="1"/>
  <c r="Z710" i="1"/>
  <c r="Y710" i="1"/>
  <c r="X710" i="1"/>
  <c r="Z709" i="1"/>
  <c r="Y709" i="1"/>
  <c r="X709" i="1"/>
  <c r="Z708" i="1"/>
  <c r="Y708" i="1"/>
  <c r="X708" i="1"/>
  <c r="Z707" i="1"/>
  <c r="Y707" i="1"/>
  <c r="X707" i="1"/>
  <c r="Z706" i="1"/>
  <c r="Y706" i="1"/>
  <c r="X706" i="1"/>
  <c r="Z705" i="1"/>
  <c r="Y705" i="1"/>
  <c r="X705" i="1"/>
  <c r="Z704" i="1"/>
  <c r="Y704" i="1"/>
  <c r="X704" i="1"/>
  <c r="Y703" i="1"/>
  <c r="Z703" i="1"/>
  <c r="Y702" i="1"/>
  <c r="X702" i="1"/>
  <c r="Z702" i="1"/>
  <c r="Y701" i="1"/>
  <c r="X701" i="1"/>
  <c r="Z701" i="1"/>
  <c r="Y700" i="1"/>
  <c r="X700" i="1"/>
  <c r="Z700" i="1"/>
  <c r="Y699" i="1"/>
  <c r="X699" i="1"/>
  <c r="Z699" i="1"/>
  <c r="Y698" i="1"/>
  <c r="X698" i="1"/>
  <c r="Z698" i="1"/>
  <c r="Y697" i="1"/>
  <c r="X697" i="1"/>
  <c r="Z697" i="1"/>
  <c r="Y696" i="1"/>
  <c r="X696" i="1"/>
  <c r="Z696" i="1"/>
  <c r="Y695" i="1"/>
  <c r="X695" i="1"/>
  <c r="Z695" i="1"/>
  <c r="Y694" i="1"/>
  <c r="X694" i="1"/>
  <c r="Z694" i="1"/>
  <c r="Y693" i="1"/>
  <c r="X693" i="1"/>
  <c r="Z693" i="1"/>
  <c r="Y692" i="1"/>
  <c r="X692" i="1"/>
  <c r="Z692" i="1"/>
  <c r="Y691" i="1"/>
  <c r="X691" i="1"/>
  <c r="Z691" i="1"/>
  <c r="Y690" i="1"/>
  <c r="X690" i="1"/>
  <c r="Z690" i="1"/>
  <c r="Y689" i="1"/>
  <c r="X689" i="1"/>
  <c r="Z689" i="1"/>
  <c r="Y688" i="1"/>
  <c r="X688" i="1"/>
  <c r="Z688" i="1"/>
  <c r="Y687" i="1"/>
  <c r="X687" i="1"/>
  <c r="Z687" i="1"/>
  <c r="Y686" i="1"/>
  <c r="X686" i="1"/>
  <c r="Z686" i="1"/>
  <c r="Y685" i="1"/>
  <c r="X685" i="1"/>
  <c r="Z685" i="1"/>
  <c r="Y684" i="1"/>
  <c r="X684" i="1"/>
  <c r="Z684" i="1"/>
  <c r="Y683" i="1"/>
  <c r="X683" i="1"/>
  <c r="Z683" i="1"/>
  <c r="Y682" i="1"/>
  <c r="X682" i="1"/>
  <c r="Z682" i="1"/>
  <c r="Y681" i="1"/>
  <c r="X681" i="1"/>
  <c r="Z681" i="1"/>
  <c r="Y680" i="1"/>
  <c r="X680" i="1"/>
  <c r="Z680" i="1"/>
  <c r="Y679" i="1"/>
  <c r="X679" i="1"/>
  <c r="Z679" i="1"/>
  <c r="Y678" i="1"/>
  <c r="X678" i="1"/>
  <c r="Z678" i="1"/>
  <c r="Y677" i="1"/>
  <c r="X677" i="1"/>
  <c r="Z677" i="1"/>
  <c r="Y676" i="1"/>
  <c r="X676" i="1"/>
  <c r="Z676" i="1"/>
  <c r="Y675" i="1"/>
  <c r="X675" i="1"/>
  <c r="Z675" i="1"/>
  <c r="Y674" i="1"/>
  <c r="X674" i="1"/>
  <c r="Z674" i="1"/>
  <c r="Y673" i="1"/>
  <c r="X673" i="1"/>
  <c r="Z673" i="1"/>
  <c r="Y672" i="1"/>
  <c r="X672" i="1"/>
  <c r="Z672" i="1"/>
  <c r="Y671" i="1"/>
  <c r="X671" i="1"/>
  <c r="Z671" i="1"/>
  <c r="Y670" i="1"/>
  <c r="X670" i="1"/>
  <c r="Z670" i="1"/>
  <c r="Y669" i="1"/>
  <c r="X669" i="1"/>
  <c r="Z669" i="1"/>
  <c r="Y668" i="1"/>
  <c r="X668" i="1"/>
  <c r="Z668" i="1"/>
  <c r="Y667" i="1"/>
  <c r="X667" i="1"/>
  <c r="Z667" i="1"/>
  <c r="Y666" i="1"/>
  <c r="X666" i="1"/>
  <c r="Z666" i="1"/>
  <c r="Y665" i="1"/>
  <c r="X665" i="1"/>
  <c r="Z665" i="1"/>
  <c r="Y664" i="1"/>
  <c r="X664" i="1"/>
  <c r="Z664" i="1"/>
  <c r="Y663" i="1"/>
  <c r="X663" i="1"/>
  <c r="Z663" i="1"/>
  <c r="X662" i="1"/>
  <c r="Z662" i="1"/>
  <c r="Y661" i="1"/>
  <c r="X661" i="1"/>
  <c r="Z661" i="1"/>
  <c r="Y660" i="1"/>
  <c r="X660" i="1"/>
  <c r="Z660" i="1"/>
  <c r="X659" i="1"/>
  <c r="Z659" i="1"/>
  <c r="X658" i="1"/>
  <c r="Z658" i="1"/>
  <c r="Y657" i="1"/>
  <c r="X657" i="1"/>
  <c r="Z657" i="1"/>
  <c r="Y656" i="1"/>
  <c r="X656" i="1"/>
  <c r="Z656" i="1"/>
  <c r="X655" i="1"/>
  <c r="Z655" i="1"/>
  <c r="X654" i="1"/>
  <c r="Z654" i="1"/>
  <c r="Y653" i="1"/>
  <c r="X653" i="1"/>
  <c r="Z653" i="1"/>
  <c r="Y652" i="1"/>
  <c r="X652" i="1"/>
  <c r="Z652" i="1"/>
  <c r="X651" i="1"/>
  <c r="Z651" i="1"/>
  <c r="X650" i="1"/>
  <c r="Z650" i="1"/>
  <c r="Y649" i="1"/>
  <c r="X649" i="1"/>
  <c r="Z649" i="1"/>
  <c r="Y648" i="1"/>
  <c r="X648" i="1"/>
  <c r="Z648" i="1"/>
  <c r="X647" i="1"/>
  <c r="Z647" i="1"/>
  <c r="X646" i="1"/>
  <c r="Z646" i="1"/>
  <c r="Y645" i="1"/>
  <c r="X645" i="1"/>
  <c r="Z645" i="1"/>
  <c r="Y644" i="1"/>
  <c r="X644" i="1"/>
  <c r="Z644" i="1"/>
  <c r="X643" i="1"/>
  <c r="Z643" i="1"/>
  <c r="X642" i="1"/>
  <c r="Z642" i="1"/>
  <c r="Y641" i="1"/>
  <c r="X641" i="1"/>
  <c r="Z641" i="1"/>
  <c r="Y640" i="1"/>
  <c r="X640" i="1"/>
  <c r="Z640" i="1"/>
  <c r="X639" i="1"/>
  <c r="Z639" i="1"/>
  <c r="X638" i="1"/>
  <c r="Z638" i="1"/>
  <c r="Y637" i="1"/>
  <c r="X637" i="1"/>
  <c r="Z637" i="1"/>
  <c r="Y636" i="1"/>
  <c r="X636" i="1"/>
  <c r="Z636" i="1"/>
  <c r="X635" i="1"/>
  <c r="Z635" i="1"/>
  <c r="X634" i="1"/>
  <c r="Z634" i="1"/>
  <c r="Y633" i="1"/>
  <c r="X633" i="1"/>
  <c r="Z633" i="1"/>
  <c r="Y632" i="1"/>
  <c r="X632" i="1"/>
  <c r="Z632" i="1"/>
  <c r="X631" i="1"/>
  <c r="Z631" i="1"/>
  <c r="X630" i="1"/>
  <c r="Z630" i="1"/>
  <c r="Y629" i="1"/>
  <c r="X629" i="1"/>
  <c r="Z629" i="1"/>
  <c r="Y628" i="1"/>
  <c r="X628" i="1"/>
  <c r="Z628" i="1"/>
  <c r="X627" i="1"/>
  <c r="Z627" i="1"/>
  <c r="X626" i="1"/>
  <c r="Z626" i="1"/>
  <c r="X625" i="1"/>
  <c r="Z625" i="1"/>
  <c r="Y624" i="1"/>
  <c r="X624" i="1"/>
  <c r="Z624" i="1"/>
  <c r="X623" i="1"/>
  <c r="Z623" i="1"/>
  <c r="X622" i="1"/>
  <c r="Z622" i="1"/>
  <c r="X621" i="1"/>
  <c r="Z621" i="1"/>
  <c r="Y620" i="1"/>
  <c r="X620" i="1"/>
  <c r="Z620" i="1"/>
  <c r="X619" i="1"/>
  <c r="Z619" i="1"/>
  <c r="X618" i="1"/>
  <c r="Z618" i="1"/>
  <c r="X617" i="1"/>
  <c r="Z617" i="1"/>
  <c r="Y616" i="1"/>
  <c r="X616" i="1"/>
  <c r="Z616" i="1"/>
  <c r="Y615" i="1"/>
  <c r="X615" i="1"/>
  <c r="Z615" i="1"/>
  <c r="X614" i="1"/>
  <c r="Z614" i="1"/>
  <c r="X613" i="1"/>
  <c r="Z613" i="1"/>
  <c r="Y612" i="1"/>
  <c r="X612" i="1"/>
  <c r="Z612" i="1"/>
  <c r="X611" i="1"/>
  <c r="Z611" i="1"/>
  <c r="X610" i="1"/>
  <c r="Z610" i="1"/>
  <c r="X609" i="1"/>
  <c r="Z609" i="1"/>
  <c r="Y608" i="1"/>
  <c r="X608" i="1"/>
  <c r="Z608" i="1"/>
  <c r="X607" i="1"/>
  <c r="Z607" i="1"/>
  <c r="X606" i="1"/>
  <c r="Z606" i="1"/>
  <c r="X605" i="1"/>
  <c r="Z605" i="1"/>
  <c r="Y604" i="1"/>
  <c r="X604" i="1"/>
  <c r="Z604" i="1"/>
  <c r="Y603" i="1"/>
  <c r="X603" i="1"/>
  <c r="Z603" i="1"/>
  <c r="X602" i="1"/>
  <c r="Z602" i="1"/>
  <c r="X601" i="1"/>
  <c r="Z601" i="1"/>
  <c r="Y600" i="1"/>
  <c r="X600" i="1"/>
  <c r="Z600" i="1"/>
  <c r="X599" i="1"/>
  <c r="Z599" i="1"/>
  <c r="X598" i="1"/>
  <c r="Z598" i="1"/>
  <c r="Z597" i="1"/>
  <c r="X597" i="1"/>
  <c r="Y597" i="1"/>
  <c r="Z596" i="1"/>
  <c r="X596" i="1"/>
  <c r="Y596" i="1"/>
  <c r="Z595" i="1"/>
  <c r="X595" i="1"/>
  <c r="Y595" i="1"/>
  <c r="Z594" i="1"/>
  <c r="X594" i="1"/>
  <c r="Y594" i="1"/>
  <c r="Z593" i="1"/>
  <c r="X593" i="1"/>
  <c r="Y593" i="1"/>
  <c r="Z592" i="1"/>
  <c r="X592" i="1"/>
  <c r="Y592" i="1"/>
  <c r="Z591" i="1"/>
  <c r="X591" i="1"/>
  <c r="Y591" i="1"/>
  <c r="Z590" i="1"/>
  <c r="X590" i="1"/>
  <c r="Y590" i="1"/>
  <c r="Z589" i="1"/>
  <c r="X589" i="1"/>
  <c r="Y589" i="1"/>
  <c r="Z588" i="1"/>
  <c r="X588" i="1"/>
  <c r="Y588" i="1"/>
  <c r="Z587" i="1"/>
  <c r="X587" i="1"/>
  <c r="Y587" i="1"/>
  <c r="Z586" i="1"/>
  <c r="X586" i="1"/>
  <c r="Y586" i="1"/>
  <c r="Z585" i="1"/>
  <c r="X585" i="1"/>
  <c r="Y585" i="1"/>
  <c r="Z584" i="1"/>
  <c r="X584" i="1"/>
  <c r="Y584" i="1"/>
  <c r="Z583" i="1"/>
  <c r="X583" i="1"/>
  <c r="Y583" i="1"/>
  <c r="Z582" i="1"/>
  <c r="X582" i="1"/>
  <c r="Y582" i="1"/>
  <c r="Z581" i="1"/>
  <c r="X581" i="1"/>
  <c r="Y581" i="1"/>
  <c r="Z580" i="1"/>
  <c r="X580" i="1"/>
  <c r="Y580" i="1"/>
  <c r="Z579" i="1"/>
  <c r="X579" i="1"/>
  <c r="Y579" i="1"/>
  <c r="Z578" i="1"/>
  <c r="X578" i="1"/>
  <c r="Y578" i="1"/>
  <c r="Z577" i="1"/>
  <c r="X577" i="1"/>
  <c r="Y577" i="1"/>
  <c r="Z576" i="1"/>
  <c r="X576" i="1"/>
  <c r="Y576" i="1"/>
  <c r="Z575" i="1"/>
  <c r="X575" i="1"/>
  <c r="Y575" i="1"/>
  <c r="Z574" i="1"/>
  <c r="X574" i="1"/>
  <c r="Y574" i="1"/>
  <c r="Z573" i="1"/>
  <c r="X573" i="1"/>
  <c r="Y573" i="1"/>
  <c r="Z572" i="1"/>
  <c r="X572" i="1"/>
  <c r="Y572" i="1"/>
  <c r="Z571" i="1"/>
  <c r="X571" i="1"/>
  <c r="Y571" i="1"/>
  <c r="Z570" i="1"/>
  <c r="X570" i="1"/>
  <c r="Y570" i="1"/>
  <c r="Z569" i="1"/>
  <c r="Y569" i="1"/>
  <c r="X569" i="1"/>
  <c r="Z568" i="1"/>
  <c r="Y568" i="1"/>
  <c r="X568" i="1"/>
  <c r="Z567" i="1"/>
  <c r="Y567" i="1"/>
  <c r="X567" i="1"/>
  <c r="Z566" i="1"/>
  <c r="Y566" i="1"/>
  <c r="X566" i="1"/>
  <c r="Z565" i="1"/>
  <c r="Y565" i="1"/>
  <c r="X565" i="1"/>
  <c r="Z564" i="1"/>
  <c r="Y564" i="1"/>
  <c r="X564" i="1"/>
  <c r="Z563" i="1"/>
  <c r="Y563" i="1"/>
  <c r="X563" i="1"/>
  <c r="Z562" i="1"/>
  <c r="Y562" i="1"/>
  <c r="X562" i="1"/>
  <c r="Z561" i="1"/>
  <c r="Y561" i="1"/>
  <c r="X561" i="1"/>
  <c r="Z560" i="1"/>
  <c r="Y560" i="1"/>
  <c r="X560" i="1"/>
  <c r="Z559" i="1"/>
  <c r="Y559" i="1"/>
  <c r="X559" i="1"/>
  <c r="Z558" i="1"/>
  <c r="Y558" i="1"/>
  <c r="X558" i="1"/>
  <c r="Z557" i="1"/>
  <c r="X557" i="1"/>
  <c r="Y557" i="1"/>
  <c r="Z556" i="1"/>
  <c r="Y556" i="1"/>
  <c r="X556" i="1"/>
  <c r="Z555" i="1"/>
  <c r="Y555" i="1"/>
  <c r="X555" i="1"/>
  <c r="Z554" i="1"/>
  <c r="Y554" i="1"/>
  <c r="X554" i="1"/>
  <c r="Z553" i="1"/>
  <c r="Y553" i="1"/>
  <c r="X553" i="1"/>
  <c r="Z552" i="1"/>
  <c r="Y552" i="1"/>
  <c r="X552" i="1"/>
  <c r="Z551" i="1"/>
  <c r="Y551" i="1"/>
  <c r="X551" i="1"/>
  <c r="Z550" i="1"/>
  <c r="Y550" i="1"/>
  <c r="X550" i="1"/>
  <c r="Z549" i="1"/>
  <c r="Y549" i="1"/>
  <c r="X549" i="1"/>
  <c r="Z548" i="1"/>
  <c r="Y548" i="1"/>
  <c r="X548" i="1"/>
  <c r="Z547" i="1"/>
  <c r="Y547" i="1"/>
  <c r="X547" i="1"/>
  <c r="Z546" i="1"/>
  <c r="Y546" i="1"/>
  <c r="X546" i="1"/>
  <c r="Z545" i="1"/>
  <c r="Y545" i="1"/>
  <c r="X545" i="1"/>
  <c r="Z544" i="1"/>
  <c r="Y544" i="1"/>
  <c r="X544" i="1"/>
  <c r="Z543" i="1"/>
  <c r="Y543" i="1"/>
  <c r="X543" i="1"/>
  <c r="Z542" i="1"/>
  <c r="Y542" i="1"/>
  <c r="X542" i="1"/>
  <c r="Z541" i="1"/>
  <c r="X541" i="1"/>
  <c r="Y541" i="1"/>
  <c r="Z540" i="1"/>
  <c r="Y540" i="1"/>
  <c r="X540" i="1"/>
  <c r="Z539" i="1"/>
  <c r="Y539" i="1"/>
  <c r="X539" i="1"/>
  <c r="Z538" i="1"/>
  <c r="Y538" i="1"/>
  <c r="X538" i="1"/>
  <c r="Z537" i="1"/>
  <c r="Y537" i="1"/>
  <c r="X537" i="1"/>
  <c r="Z536" i="1"/>
  <c r="Y536" i="1"/>
  <c r="X536" i="1"/>
  <c r="Z535" i="1"/>
  <c r="Y535" i="1"/>
  <c r="X535" i="1"/>
  <c r="Z534" i="1"/>
  <c r="Y534" i="1"/>
  <c r="X534" i="1"/>
  <c r="Z533" i="1"/>
  <c r="Y533" i="1"/>
  <c r="X533" i="1"/>
  <c r="Z532" i="1"/>
  <c r="Y532" i="1"/>
  <c r="X532" i="1"/>
  <c r="Z531" i="1"/>
  <c r="Y531" i="1"/>
  <c r="X531" i="1"/>
  <c r="Z530" i="1"/>
  <c r="Y530" i="1"/>
  <c r="X530" i="1"/>
  <c r="Z529" i="1"/>
  <c r="Y529" i="1"/>
  <c r="X529" i="1"/>
  <c r="Z528" i="1"/>
  <c r="Y528" i="1"/>
  <c r="X528" i="1"/>
  <c r="Z527" i="1"/>
  <c r="Y527" i="1"/>
  <c r="X527" i="1"/>
  <c r="Z526" i="1"/>
  <c r="Y526" i="1"/>
  <c r="X526" i="1"/>
  <c r="Z525" i="1"/>
  <c r="Y525" i="1"/>
  <c r="X525" i="1"/>
  <c r="Z524" i="1"/>
  <c r="Y524" i="1"/>
  <c r="X524" i="1"/>
  <c r="Z523" i="1"/>
  <c r="Y523" i="1"/>
  <c r="X523" i="1"/>
  <c r="Z522" i="1"/>
  <c r="Y522" i="1"/>
  <c r="X522" i="1"/>
  <c r="Z521" i="1"/>
  <c r="Y521" i="1"/>
  <c r="X521" i="1"/>
  <c r="Z520" i="1"/>
  <c r="Y520" i="1"/>
  <c r="X520" i="1"/>
  <c r="Z519" i="1"/>
  <c r="Y519" i="1"/>
  <c r="X519" i="1"/>
  <c r="Z518" i="1"/>
  <c r="Y518" i="1"/>
  <c r="X518" i="1"/>
  <c r="Z517" i="1"/>
  <c r="Y517" i="1"/>
  <c r="X517" i="1"/>
  <c r="Z516" i="1"/>
  <c r="Y516" i="1"/>
  <c r="X516" i="1"/>
  <c r="Z515" i="1"/>
  <c r="Y515" i="1"/>
  <c r="X515" i="1"/>
  <c r="Z514" i="1"/>
  <c r="Y514" i="1"/>
  <c r="X514" i="1"/>
  <c r="Z513" i="1"/>
  <c r="Y513" i="1"/>
  <c r="X513" i="1"/>
  <c r="Z512" i="1"/>
  <c r="Y512" i="1"/>
  <c r="X512" i="1"/>
  <c r="Z511" i="1"/>
  <c r="Y511" i="1"/>
  <c r="X511" i="1"/>
  <c r="Z510" i="1"/>
  <c r="Y510" i="1"/>
  <c r="X510" i="1"/>
  <c r="Z509" i="1"/>
  <c r="Y509" i="1"/>
  <c r="X509" i="1"/>
  <c r="Z508" i="1"/>
  <c r="Y508" i="1"/>
  <c r="X508" i="1"/>
  <c r="Z507" i="1"/>
  <c r="Y507" i="1"/>
  <c r="X507" i="1"/>
  <c r="Z506" i="1"/>
  <c r="Y506" i="1"/>
  <c r="X506" i="1"/>
  <c r="Z505" i="1"/>
  <c r="Y505" i="1"/>
  <c r="X505" i="1"/>
  <c r="Z504" i="1"/>
  <c r="Y504" i="1"/>
  <c r="X504" i="1"/>
  <c r="Z503" i="1"/>
  <c r="Y503" i="1"/>
  <c r="X503" i="1"/>
  <c r="Z502" i="1"/>
  <c r="Y502" i="1"/>
  <c r="X502" i="1"/>
  <c r="Z501" i="1"/>
  <c r="Y501" i="1"/>
  <c r="X501" i="1"/>
  <c r="Z500" i="1"/>
  <c r="Y500" i="1"/>
  <c r="X500" i="1"/>
  <c r="Z499" i="1"/>
  <c r="Y499" i="1"/>
  <c r="X499" i="1"/>
  <c r="Z498" i="1"/>
  <c r="Y498" i="1"/>
  <c r="X498" i="1"/>
  <c r="Z497" i="1"/>
  <c r="Y497" i="1"/>
  <c r="X497" i="1"/>
  <c r="Z496" i="1"/>
  <c r="Y496" i="1"/>
  <c r="X496" i="1"/>
  <c r="Z495" i="1"/>
  <c r="Y495" i="1"/>
  <c r="X495" i="1"/>
  <c r="Z494" i="1"/>
  <c r="Y494" i="1"/>
  <c r="X494" i="1"/>
  <c r="Z493" i="1"/>
  <c r="Y493" i="1"/>
  <c r="X493" i="1"/>
  <c r="Z492" i="1"/>
  <c r="Y492" i="1"/>
  <c r="X492" i="1"/>
  <c r="Z491" i="1"/>
  <c r="Y491" i="1"/>
  <c r="X491" i="1"/>
  <c r="Z490" i="1"/>
  <c r="Y490" i="1"/>
  <c r="X490" i="1"/>
  <c r="Z489" i="1"/>
  <c r="Y489" i="1"/>
  <c r="X489" i="1"/>
  <c r="Z488" i="1"/>
  <c r="Y488" i="1"/>
  <c r="X488" i="1"/>
  <c r="Z487" i="1"/>
  <c r="Y487" i="1"/>
  <c r="X487" i="1"/>
  <c r="Z486" i="1"/>
  <c r="Y486" i="1"/>
  <c r="X486" i="1"/>
  <c r="Z485" i="1"/>
  <c r="Y485" i="1"/>
  <c r="X485" i="1"/>
  <c r="Z484" i="1"/>
  <c r="Y484" i="1"/>
  <c r="X484" i="1"/>
  <c r="Z483" i="1"/>
  <c r="Y483" i="1"/>
  <c r="X483" i="1"/>
  <c r="Z482" i="1"/>
  <c r="Y482" i="1"/>
  <c r="X482" i="1"/>
  <c r="Z481" i="1"/>
  <c r="Y481" i="1"/>
  <c r="X481" i="1"/>
  <c r="Z480" i="1"/>
  <c r="Y480" i="1"/>
  <c r="X480" i="1"/>
  <c r="Z479" i="1"/>
  <c r="Y479" i="1"/>
  <c r="X479" i="1"/>
  <c r="Z478" i="1"/>
  <c r="Y478" i="1"/>
  <c r="X478" i="1"/>
  <c r="Z477" i="1"/>
  <c r="Y477" i="1"/>
  <c r="X477" i="1"/>
  <c r="Z476" i="1"/>
  <c r="Y476" i="1"/>
  <c r="X476" i="1"/>
  <c r="Z475" i="1"/>
  <c r="Y475" i="1"/>
  <c r="X475" i="1"/>
  <c r="Z474" i="1"/>
  <c r="Y474" i="1"/>
  <c r="X474" i="1"/>
  <c r="Z473" i="1"/>
  <c r="Y473" i="1"/>
  <c r="X473" i="1"/>
  <c r="Z472" i="1"/>
  <c r="Y472" i="1"/>
  <c r="X472" i="1"/>
  <c r="Z471" i="1"/>
  <c r="Y471" i="1"/>
  <c r="X471" i="1"/>
  <c r="Z470" i="1"/>
  <c r="Y470" i="1"/>
  <c r="X470" i="1"/>
  <c r="Z469" i="1"/>
  <c r="Y469" i="1"/>
  <c r="X469" i="1"/>
  <c r="Z468" i="1"/>
  <c r="Y468" i="1"/>
  <c r="X468" i="1"/>
  <c r="Z467" i="1"/>
  <c r="Y467" i="1"/>
  <c r="X467" i="1"/>
  <c r="Z466" i="1"/>
  <c r="Y466" i="1"/>
  <c r="X466" i="1"/>
  <c r="Z465" i="1"/>
  <c r="Y465" i="1"/>
  <c r="X465" i="1"/>
  <c r="Z464" i="1"/>
  <c r="Y464" i="1"/>
  <c r="X464" i="1"/>
  <c r="Z463" i="1"/>
  <c r="Y463" i="1"/>
  <c r="X463" i="1"/>
  <c r="Z462" i="1"/>
  <c r="Y462" i="1"/>
  <c r="X462" i="1"/>
  <c r="Z461" i="1"/>
  <c r="Y461" i="1"/>
  <c r="X461" i="1"/>
  <c r="Z460" i="1"/>
  <c r="Y460" i="1"/>
  <c r="X460" i="1"/>
  <c r="Z459" i="1"/>
  <c r="Y459" i="1"/>
  <c r="X459" i="1"/>
  <c r="Z458" i="1"/>
  <c r="Y458" i="1"/>
  <c r="X458" i="1"/>
  <c r="Z457" i="1"/>
  <c r="X457" i="1"/>
  <c r="Y457" i="1"/>
  <c r="Z456" i="1"/>
  <c r="Y456" i="1"/>
  <c r="X456" i="1"/>
  <c r="Z455" i="1"/>
  <c r="Y455" i="1"/>
  <c r="X455" i="1"/>
  <c r="Z454" i="1"/>
  <c r="X454" i="1"/>
  <c r="Y454" i="1"/>
  <c r="Z453" i="1"/>
  <c r="Y453" i="1"/>
  <c r="X453" i="1"/>
  <c r="Z452" i="1"/>
  <c r="Y452" i="1"/>
  <c r="X452" i="1"/>
  <c r="Z451" i="1"/>
  <c r="X451" i="1"/>
  <c r="Y451" i="1"/>
  <c r="Z450" i="1"/>
  <c r="Y450" i="1"/>
  <c r="X450" i="1"/>
  <c r="Z449" i="1"/>
  <c r="Y449" i="1"/>
  <c r="X449" i="1"/>
  <c r="Z448" i="1"/>
  <c r="X448" i="1"/>
  <c r="Y448" i="1"/>
  <c r="Z447" i="1"/>
  <c r="X447" i="1"/>
  <c r="Y447" i="1"/>
  <c r="Z446" i="1"/>
  <c r="X446" i="1"/>
  <c r="Y446" i="1"/>
  <c r="Z445" i="1"/>
  <c r="X445" i="1"/>
  <c r="Y445" i="1"/>
  <c r="Z444" i="1"/>
  <c r="X444" i="1"/>
  <c r="Y444" i="1"/>
  <c r="Z443" i="1"/>
  <c r="X443" i="1"/>
  <c r="Y443" i="1"/>
  <c r="Z442" i="1"/>
  <c r="X442" i="1"/>
  <c r="Y442" i="1"/>
  <c r="Z441" i="1"/>
  <c r="X441" i="1"/>
  <c r="Y441" i="1"/>
  <c r="Z440" i="1"/>
  <c r="X440" i="1"/>
  <c r="Y440" i="1"/>
  <c r="Z439" i="1"/>
  <c r="X439" i="1"/>
  <c r="Y439" i="1"/>
  <c r="Z438" i="1"/>
  <c r="X438" i="1"/>
  <c r="Y438" i="1"/>
  <c r="Z437" i="1"/>
  <c r="X437" i="1"/>
  <c r="Y437" i="1"/>
  <c r="Z436" i="1"/>
  <c r="X436" i="1"/>
  <c r="Y436" i="1"/>
  <c r="Z435" i="1"/>
  <c r="X435" i="1"/>
  <c r="Y435" i="1"/>
  <c r="Z434" i="1"/>
  <c r="X434" i="1"/>
  <c r="Y434" i="1"/>
  <c r="Z433" i="1"/>
  <c r="X433" i="1"/>
  <c r="Y433" i="1"/>
  <c r="Z432" i="1"/>
  <c r="X432" i="1"/>
  <c r="Y432" i="1"/>
  <c r="Z431" i="1"/>
  <c r="X431" i="1"/>
  <c r="Y431" i="1"/>
  <c r="Z430" i="1"/>
  <c r="X430" i="1"/>
  <c r="Y430" i="1"/>
  <c r="Z429" i="1"/>
  <c r="X429" i="1"/>
  <c r="Y429" i="1"/>
  <c r="Z428" i="1"/>
  <c r="X428" i="1"/>
  <c r="Y428" i="1"/>
  <c r="Z427" i="1"/>
  <c r="X427" i="1"/>
  <c r="Y427" i="1"/>
  <c r="Z426" i="1"/>
  <c r="X426" i="1"/>
  <c r="Y426" i="1"/>
  <c r="Z425" i="1"/>
  <c r="X425" i="1"/>
  <c r="Y425" i="1"/>
  <c r="Z424" i="1"/>
  <c r="X424" i="1"/>
  <c r="Y424" i="1"/>
  <c r="Z423" i="1"/>
  <c r="X423" i="1"/>
  <c r="Y423" i="1"/>
  <c r="Z422" i="1"/>
  <c r="X422" i="1"/>
  <c r="Y422" i="1"/>
  <c r="Z421" i="1"/>
  <c r="X421" i="1"/>
  <c r="Y421" i="1"/>
  <c r="Z420" i="1"/>
  <c r="X420" i="1"/>
  <c r="Y420" i="1"/>
  <c r="Z419" i="1"/>
  <c r="X419" i="1"/>
  <c r="Y419" i="1"/>
  <c r="Z418" i="1"/>
  <c r="X418" i="1"/>
  <c r="Y418" i="1"/>
  <c r="Z417" i="1"/>
  <c r="X417" i="1"/>
  <c r="Y417" i="1"/>
  <c r="Z416" i="1"/>
  <c r="X416" i="1"/>
  <c r="Y416" i="1"/>
  <c r="Z415" i="1"/>
  <c r="X415" i="1"/>
  <c r="Y415" i="1"/>
  <c r="Z414" i="1"/>
  <c r="X414" i="1"/>
  <c r="Y414" i="1"/>
  <c r="Z413" i="1"/>
  <c r="X413" i="1"/>
  <c r="Y413" i="1"/>
  <c r="Z412" i="1"/>
  <c r="X412" i="1"/>
  <c r="Y412" i="1"/>
  <c r="Z411" i="1"/>
  <c r="X411" i="1"/>
  <c r="Y411" i="1"/>
  <c r="Z410" i="1"/>
  <c r="X410" i="1"/>
  <c r="Y410" i="1"/>
  <c r="Z409" i="1"/>
  <c r="X409" i="1"/>
  <c r="Y409" i="1"/>
  <c r="Z408" i="1"/>
  <c r="X408" i="1"/>
  <c r="Y408" i="1"/>
  <c r="Z407" i="1"/>
  <c r="X407" i="1"/>
  <c r="Y407" i="1"/>
  <c r="Z406" i="1"/>
  <c r="X406" i="1"/>
  <c r="Y406" i="1"/>
  <c r="Z405" i="1"/>
  <c r="X405" i="1"/>
  <c r="Y405" i="1"/>
  <c r="Z404" i="1"/>
  <c r="X404" i="1"/>
  <c r="Y404" i="1"/>
  <c r="Z403" i="1"/>
  <c r="X403" i="1"/>
  <c r="AA403" i="1"/>
  <c r="Z402" i="1"/>
  <c r="X402" i="1"/>
  <c r="Y402" i="1"/>
  <c r="Z401" i="1"/>
  <c r="X401" i="1"/>
  <c r="Y401" i="1"/>
  <c r="Z400" i="1"/>
  <c r="X400" i="1"/>
  <c r="Y400" i="1"/>
  <c r="Z399" i="1"/>
  <c r="X399" i="1"/>
  <c r="Y399" i="1"/>
  <c r="Z398" i="1"/>
  <c r="X398" i="1"/>
  <c r="Y398" i="1"/>
  <c r="Z397" i="1"/>
  <c r="X397" i="1"/>
  <c r="Y397" i="1"/>
  <c r="Z396" i="1"/>
  <c r="X396" i="1"/>
  <c r="Y396" i="1"/>
  <c r="Z395" i="1"/>
  <c r="X395" i="1"/>
  <c r="Y395" i="1"/>
  <c r="Z394" i="1"/>
  <c r="X394" i="1"/>
  <c r="Y394" i="1"/>
  <c r="Z393" i="1"/>
  <c r="X393" i="1"/>
  <c r="Y393" i="1"/>
  <c r="Z392" i="1"/>
  <c r="X392" i="1"/>
  <c r="Y392" i="1"/>
  <c r="Z391" i="1"/>
  <c r="X391" i="1"/>
  <c r="Y391" i="1"/>
  <c r="Z390" i="1"/>
  <c r="X390" i="1"/>
  <c r="Y390" i="1"/>
  <c r="Z389" i="1"/>
  <c r="X389" i="1"/>
  <c r="Y389" i="1"/>
  <c r="Z388" i="1"/>
  <c r="X388" i="1"/>
  <c r="Y388" i="1"/>
  <c r="Z387" i="1"/>
  <c r="X387" i="1"/>
  <c r="Y387" i="1"/>
  <c r="Z386" i="1"/>
  <c r="X386" i="1"/>
  <c r="Y386" i="1"/>
  <c r="Z385" i="1"/>
  <c r="X385" i="1"/>
  <c r="Y385" i="1"/>
  <c r="Z384" i="1"/>
  <c r="X384" i="1"/>
  <c r="Y384" i="1"/>
  <c r="Z383" i="1"/>
  <c r="X383" i="1"/>
  <c r="Y383" i="1"/>
  <c r="Z382" i="1"/>
  <c r="X382" i="1"/>
  <c r="Y382" i="1"/>
  <c r="Z381" i="1"/>
  <c r="X381" i="1"/>
  <c r="Y381" i="1"/>
  <c r="Z380" i="1"/>
  <c r="X380" i="1"/>
  <c r="Y380" i="1"/>
  <c r="Z379" i="1"/>
  <c r="X379" i="1"/>
  <c r="Y379" i="1"/>
  <c r="Z378" i="1"/>
  <c r="X378" i="1"/>
  <c r="Y378" i="1"/>
  <c r="Z377" i="1"/>
  <c r="X377" i="1"/>
  <c r="Y377" i="1"/>
  <c r="Z376" i="1"/>
  <c r="X376" i="1"/>
  <c r="Y376" i="1"/>
  <c r="Z375" i="1"/>
  <c r="X375" i="1"/>
  <c r="Y375" i="1"/>
  <c r="Z374" i="1"/>
  <c r="X374" i="1"/>
  <c r="Y374" i="1"/>
  <c r="Z373" i="1"/>
  <c r="X373" i="1"/>
  <c r="Y373" i="1"/>
  <c r="Z372" i="1"/>
  <c r="X372" i="1"/>
  <c r="Y372" i="1"/>
  <c r="Z371" i="1"/>
  <c r="X371" i="1"/>
  <c r="Y371" i="1"/>
  <c r="Z370" i="1"/>
  <c r="X370" i="1"/>
  <c r="Y370" i="1"/>
  <c r="Z369" i="1"/>
  <c r="X369" i="1"/>
  <c r="Y369" i="1"/>
  <c r="Z368" i="1"/>
  <c r="X368" i="1"/>
  <c r="Y368" i="1"/>
  <c r="Z367" i="1"/>
  <c r="X367" i="1"/>
  <c r="Y367" i="1"/>
  <c r="Z366" i="1"/>
  <c r="X366" i="1"/>
  <c r="Y366" i="1"/>
  <c r="Z365" i="1"/>
  <c r="X365" i="1"/>
  <c r="Y365" i="1"/>
  <c r="Z364" i="1"/>
  <c r="X364" i="1"/>
  <c r="Y364" i="1"/>
  <c r="Z363" i="1"/>
  <c r="X363" i="1"/>
  <c r="Y363" i="1"/>
  <c r="Z362" i="1"/>
  <c r="X362" i="1"/>
  <c r="Y362" i="1"/>
  <c r="Z361" i="1"/>
  <c r="X361" i="1"/>
  <c r="Y361" i="1"/>
  <c r="Z360" i="1"/>
  <c r="X360" i="1"/>
  <c r="Y360" i="1"/>
  <c r="Z359" i="1"/>
  <c r="X359" i="1"/>
  <c r="Y359" i="1"/>
  <c r="Z358" i="1"/>
  <c r="X358" i="1"/>
  <c r="Y358" i="1"/>
  <c r="Z357" i="1"/>
  <c r="X357" i="1"/>
  <c r="Y357" i="1"/>
  <c r="Z356" i="1"/>
  <c r="X356" i="1"/>
  <c r="Y356" i="1"/>
  <c r="Z355" i="1"/>
  <c r="X355" i="1"/>
  <c r="Y355" i="1"/>
  <c r="Z354" i="1"/>
  <c r="X354" i="1"/>
  <c r="Y354" i="1"/>
  <c r="Z353" i="1"/>
  <c r="X353" i="1"/>
  <c r="Y353" i="1"/>
  <c r="Z352" i="1"/>
  <c r="X352" i="1"/>
  <c r="Y352" i="1"/>
  <c r="Z351" i="1"/>
  <c r="X351" i="1"/>
  <c r="Y351" i="1"/>
  <c r="Z350" i="1"/>
  <c r="X350" i="1"/>
  <c r="Y350" i="1"/>
  <c r="Z349" i="1"/>
  <c r="X349" i="1"/>
  <c r="Y349" i="1"/>
  <c r="Z348" i="1"/>
  <c r="X348" i="1"/>
  <c r="Y348" i="1"/>
  <c r="Z347" i="1"/>
  <c r="X347" i="1"/>
  <c r="Y347" i="1"/>
  <c r="Z346" i="1"/>
  <c r="X346" i="1"/>
  <c r="Y346" i="1"/>
  <c r="Z345" i="1"/>
  <c r="X345" i="1"/>
  <c r="Y345" i="1"/>
  <c r="Z344" i="1"/>
  <c r="X344" i="1"/>
  <c r="Y344" i="1"/>
  <c r="Z343" i="1"/>
  <c r="X343" i="1"/>
  <c r="Y343" i="1"/>
  <c r="Z342" i="1"/>
  <c r="X342" i="1"/>
  <c r="Y342" i="1"/>
  <c r="Z341" i="1"/>
  <c r="X341" i="1"/>
  <c r="Y341" i="1"/>
  <c r="Z340" i="1"/>
  <c r="X340" i="1"/>
  <c r="Y340" i="1"/>
  <c r="Z339" i="1"/>
  <c r="X339" i="1"/>
  <c r="Y339" i="1"/>
  <c r="Z338" i="1"/>
  <c r="X338" i="1"/>
  <c r="Y338" i="1"/>
  <c r="Z337" i="1"/>
  <c r="X337" i="1"/>
  <c r="Y337" i="1"/>
  <c r="Z336" i="1"/>
  <c r="X336" i="1"/>
  <c r="Y336" i="1"/>
  <c r="Z335" i="1"/>
  <c r="X335" i="1"/>
  <c r="Y335" i="1"/>
  <c r="Z334" i="1"/>
  <c r="X334" i="1"/>
  <c r="Y334" i="1"/>
  <c r="Z333" i="1"/>
  <c r="X333" i="1"/>
  <c r="Y333" i="1"/>
  <c r="Z332" i="1"/>
  <c r="X332" i="1"/>
  <c r="Y332" i="1"/>
  <c r="Z331" i="1"/>
  <c r="X331" i="1"/>
  <c r="Y331" i="1"/>
  <c r="Z330" i="1"/>
  <c r="X330" i="1"/>
  <c r="Y330" i="1"/>
  <c r="Z329" i="1"/>
  <c r="X329" i="1"/>
  <c r="Y329" i="1"/>
  <c r="Z328" i="1"/>
  <c r="X328" i="1"/>
  <c r="Y328" i="1"/>
  <c r="Z327" i="1"/>
  <c r="X327" i="1"/>
  <c r="Y327" i="1"/>
  <c r="Z326" i="1"/>
  <c r="X326" i="1"/>
  <c r="Y326" i="1"/>
  <c r="Z325" i="1"/>
  <c r="X325" i="1"/>
  <c r="Y325" i="1"/>
  <c r="Z324" i="1"/>
  <c r="X324" i="1"/>
  <c r="Y324" i="1"/>
  <c r="Z323" i="1"/>
  <c r="X323" i="1"/>
  <c r="Y323" i="1"/>
  <c r="Z322" i="1"/>
  <c r="X322" i="1"/>
  <c r="Y322" i="1"/>
  <c r="Z321" i="1"/>
  <c r="X321" i="1"/>
  <c r="Y321" i="1"/>
  <c r="Z320" i="1"/>
  <c r="X320" i="1"/>
  <c r="Y320" i="1"/>
  <c r="Z319" i="1"/>
  <c r="X319" i="1"/>
  <c r="Y319" i="1"/>
  <c r="Z318" i="1"/>
  <c r="X318" i="1"/>
  <c r="Y318" i="1"/>
  <c r="Z317" i="1"/>
  <c r="X317" i="1"/>
  <c r="Y317" i="1"/>
  <c r="Z316" i="1"/>
  <c r="Y316" i="1"/>
  <c r="X316" i="1"/>
  <c r="Z315" i="1"/>
  <c r="Y315" i="1"/>
  <c r="X315" i="1"/>
  <c r="Z314" i="1"/>
  <c r="Y314" i="1"/>
  <c r="X314" i="1"/>
  <c r="Z313" i="1"/>
  <c r="Y313" i="1"/>
  <c r="X313" i="1"/>
  <c r="Z312" i="1"/>
  <c r="Y312" i="1"/>
  <c r="X312" i="1"/>
  <c r="Z311" i="1"/>
  <c r="Y311" i="1"/>
  <c r="X311" i="1"/>
  <c r="Z310" i="1"/>
  <c r="Y310" i="1"/>
  <c r="X310" i="1"/>
  <c r="Z309" i="1"/>
  <c r="Y309" i="1"/>
  <c r="X309" i="1"/>
  <c r="Z308" i="1"/>
  <c r="Y308" i="1"/>
  <c r="X308" i="1"/>
  <c r="Z307" i="1"/>
  <c r="Y307" i="1"/>
  <c r="X307" i="1"/>
  <c r="Z306" i="1"/>
  <c r="Y306" i="1"/>
  <c r="X306" i="1"/>
  <c r="Z305" i="1"/>
  <c r="Y305" i="1"/>
  <c r="X305" i="1"/>
  <c r="Z304" i="1"/>
  <c r="Y304" i="1"/>
  <c r="X304" i="1"/>
  <c r="Z303" i="1"/>
  <c r="Y303" i="1"/>
  <c r="X303" i="1"/>
  <c r="Z302" i="1"/>
  <c r="Y302" i="1"/>
  <c r="X302" i="1"/>
  <c r="Z301" i="1"/>
  <c r="Y301" i="1"/>
  <c r="X301" i="1"/>
  <c r="Z300" i="1"/>
  <c r="Y300" i="1"/>
  <c r="X300" i="1"/>
  <c r="Z299" i="1"/>
  <c r="Y299" i="1"/>
  <c r="X299" i="1"/>
  <c r="Z298" i="1"/>
  <c r="Y298" i="1"/>
  <c r="X298" i="1"/>
  <c r="Z297" i="1"/>
  <c r="Y297" i="1"/>
  <c r="X297" i="1"/>
  <c r="Z296" i="1"/>
  <c r="Y296" i="1"/>
  <c r="X296" i="1"/>
  <c r="Z295" i="1"/>
  <c r="Y295" i="1"/>
  <c r="X295" i="1"/>
  <c r="Z294" i="1"/>
  <c r="Y294" i="1"/>
  <c r="X294" i="1"/>
  <c r="Z293" i="1"/>
  <c r="Y293" i="1"/>
  <c r="X293" i="1"/>
  <c r="Z292" i="1"/>
  <c r="Y292" i="1"/>
  <c r="X292" i="1"/>
  <c r="Z291" i="1"/>
  <c r="Y291" i="1"/>
  <c r="X291" i="1"/>
  <c r="Z290" i="1"/>
  <c r="Y290" i="1"/>
  <c r="X290" i="1"/>
  <c r="Z289" i="1"/>
  <c r="Y289" i="1"/>
  <c r="X289" i="1"/>
  <c r="Z288" i="1"/>
  <c r="Y288" i="1"/>
  <c r="X288" i="1"/>
  <c r="Z287" i="1"/>
  <c r="Y287" i="1"/>
  <c r="X287" i="1"/>
  <c r="Z286" i="1"/>
  <c r="Y286" i="1"/>
  <c r="X286" i="1"/>
  <c r="Z285" i="1"/>
  <c r="Y285" i="1"/>
  <c r="X285" i="1"/>
  <c r="Z284" i="1"/>
  <c r="Y284" i="1"/>
  <c r="X284" i="1"/>
  <c r="Z283" i="1"/>
  <c r="Y283" i="1"/>
  <c r="X283" i="1"/>
  <c r="Z282" i="1"/>
  <c r="Y282" i="1"/>
  <c r="X282" i="1"/>
  <c r="Z281" i="1"/>
  <c r="Y281" i="1"/>
  <c r="X281" i="1"/>
  <c r="Z280" i="1"/>
  <c r="Y280" i="1"/>
  <c r="X280" i="1"/>
  <c r="Z279" i="1"/>
  <c r="Y279" i="1"/>
  <c r="X279" i="1"/>
  <c r="Z278" i="1"/>
  <c r="X278" i="1"/>
  <c r="Y278" i="1"/>
  <c r="Z277" i="1"/>
  <c r="Y277" i="1"/>
  <c r="X277" i="1"/>
  <c r="Z276" i="1"/>
  <c r="Y276" i="1"/>
  <c r="X276" i="1"/>
  <c r="Z275" i="1"/>
  <c r="Y275" i="1"/>
  <c r="X275" i="1"/>
  <c r="Z274" i="1"/>
  <c r="Y274" i="1"/>
  <c r="X274" i="1"/>
  <c r="Z273" i="1"/>
  <c r="Y273" i="1"/>
  <c r="X273" i="1"/>
  <c r="Z272" i="1"/>
  <c r="Y272" i="1"/>
  <c r="X272" i="1"/>
  <c r="Z271" i="1"/>
  <c r="Y271" i="1"/>
  <c r="X271" i="1"/>
  <c r="Z270" i="1"/>
  <c r="Y270" i="1"/>
  <c r="X270" i="1"/>
  <c r="Z269" i="1"/>
  <c r="Y269" i="1"/>
  <c r="X269" i="1"/>
  <c r="Z268" i="1"/>
  <c r="Y268" i="1"/>
  <c r="X268" i="1"/>
  <c r="Z267" i="1"/>
  <c r="Y267" i="1"/>
  <c r="X267" i="1"/>
  <c r="Z266" i="1"/>
  <c r="Y266" i="1"/>
  <c r="X266" i="1"/>
  <c r="Z265" i="1"/>
  <c r="Y265" i="1"/>
  <c r="X265" i="1"/>
  <c r="Z264" i="1"/>
  <c r="Y264" i="1"/>
  <c r="X264" i="1"/>
  <c r="Z263" i="1"/>
  <c r="Y263" i="1"/>
  <c r="X263" i="1"/>
  <c r="Z262" i="1"/>
  <c r="Y262" i="1"/>
  <c r="X262" i="1"/>
  <c r="Z261" i="1"/>
  <c r="Y261" i="1"/>
  <c r="X261" i="1"/>
  <c r="Z260" i="1"/>
  <c r="Y260" i="1"/>
  <c r="X260" i="1"/>
  <c r="Z259" i="1"/>
  <c r="Y259" i="1"/>
  <c r="X259" i="1"/>
  <c r="Z258" i="1"/>
  <c r="Y258" i="1"/>
  <c r="X258" i="1"/>
  <c r="Z257" i="1"/>
  <c r="Y257" i="1"/>
  <c r="X257" i="1"/>
  <c r="Z256" i="1"/>
  <c r="Y256" i="1"/>
  <c r="X256" i="1"/>
  <c r="Z255" i="1"/>
  <c r="Y255" i="1"/>
  <c r="X255" i="1"/>
  <c r="Z254" i="1"/>
  <c r="Y254" i="1"/>
  <c r="X254" i="1"/>
  <c r="Z253" i="1"/>
  <c r="Y253" i="1"/>
  <c r="X253" i="1"/>
  <c r="Z252" i="1"/>
  <c r="Y252" i="1"/>
  <c r="X252" i="1"/>
  <c r="Z251" i="1"/>
  <c r="Y251" i="1"/>
  <c r="X251" i="1"/>
  <c r="Z250" i="1"/>
  <c r="Y250" i="1"/>
  <c r="X250" i="1"/>
  <c r="Z249" i="1"/>
  <c r="Y249" i="1"/>
  <c r="X249" i="1"/>
  <c r="Z248" i="1"/>
  <c r="Y248" i="1"/>
  <c r="X248" i="1"/>
  <c r="Z247" i="1"/>
  <c r="Y247" i="1"/>
  <c r="X247" i="1"/>
  <c r="Z246" i="1"/>
  <c r="Y246" i="1"/>
  <c r="X246" i="1"/>
  <c r="Z245" i="1"/>
  <c r="Y245" i="1"/>
  <c r="X245" i="1"/>
  <c r="Z244" i="1"/>
  <c r="Y244" i="1"/>
  <c r="X244" i="1"/>
  <c r="Z243" i="1"/>
  <c r="Y243" i="1"/>
  <c r="X243" i="1"/>
  <c r="Z242" i="1"/>
  <c r="Y242" i="1"/>
  <c r="X242" i="1"/>
  <c r="Z241" i="1"/>
  <c r="Y241" i="1"/>
  <c r="X241" i="1"/>
  <c r="Z240" i="1"/>
  <c r="Y240" i="1"/>
  <c r="X240" i="1"/>
  <c r="Z239" i="1"/>
  <c r="Y239" i="1"/>
  <c r="X239" i="1"/>
  <c r="Z238" i="1"/>
  <c r="Y238" i="1"/>
  <c r="X238" i="1"/>
  <c r="Z237" i="1"/>
  <c r="Y237" i="1"/>
  <c r="X237" i="1"/>
  <c r="Z236" i="1"/>
  <c r="Y236" i="1"/>
  <c r="X236" i="1"/>
  <c r="Z235" i="1"/>
  <c r="Y235" i="1"/>
  <c r="X235" i="1"/>
  <c r="Z234" i="1"/>
  <c r="Y234" i="1"/>
  <c r="X234" i="1"/>
  <c r="Z233" i="1"/>
  <c r="Y233" i="1"/>
  <c r="X233" i="1"/>
  <c r="Z232" i="1"/>
  <c r="Y232" i="1"/>
  <c r="X232" i="1"/>
  <c r="Z231" i="1"/>
  <c r="Y231" i="1"/>
  <c r="X231" i="1"/>
  <c r="Z230" i="1"/>
  <c r="Y230" i="1"/>
  <c r="X230" i="1"/>
  <c r="Z229" i="1"/>
  <c r="Y229" i="1"/>
  <c r="X229" i="1"/>
  <c r="Z228" i="1"/>
  <c r="Y228" i="1"/>
  <c r="X228" i="1"/>
  <c r="Z227" i="1"/>
  <c r="Y227" i="1"/>
  <c r="X227" i="1"/>
  <c r="Z226" i="1"/>
  <c r="Y226" i="1"/>
  <c r="X226" i="1"/>
  <c r="Z225" i="1"/>
  <c r="Y225" i="1"/>
  <c r="X225" i="1"/>
  <c r="Z224" i="1"/>
  <c r="Y224" i="1"/>
  <c r="X224" i="1"/>
  <c r="Z223" i="1"/>
  <c r="Y223" i="1"/>
  <c r="X223" i="1"/>
  <c r="Z222" i="1"/>
  <c r="Y222" i="1"/>
  <c r="X222" i="1"/>
  <c r="Z221" i="1"/>
  <c r="Y221" i="1"/>
  <c r="X221" i="1"/>
  <c r="Z220" i="1"/>
  <c r="Y220" i="1"/>
  <c r="X220" i="1"/>
  <c r="Z219" i="1"/>
  <c r="Y219" i="1"/>
  <c r="X219" i="1"/>
  <c r="Z218" i="1"/>
  <c r="Y218" i="1"/>
  <c r="X218" i="1"/>
  <c r="Z217" i="1"/>
  <c r="Y217" i="1"/>
  <c r="X217" i="1"/>
  <c r="Z216" i="1"/>
  <c r="Y216" i="1"/>
  <c r="X216" i="1"/>
  <c r="Z215" i="1"/>
  <c r="Y215" i="1"/>
  <c r="X215" i="1"/>
  <c r="Z214" i="1"/>
  <c r="Y214" i="1"/>
  <c r="X214" i="1"/>
  <c r="Z213" i="1"/>
  <c r="Y213" i="1"/>
  <c r="X213" i="1"/>
  <c r="Z212" i="1"/>
  <c r="Y212" i="1"/>
  <c r="X212" i="1"/>
  <c r="Z211" i="1"/>
  <c r="Y211" i="1"/>
  <c r="X211" i="1"/>
  <c r="Z210" i="1"/>
  <c r="Y210" i="1"/>
  <c r="X210" i="1"/>
  <c r="Z209" i="1"/>
  <c r="Y209" i="1"/>
  <c r="X209" i="1"/>
  <c r="Z208" i="1"/>
  <c r="Y208" i="1"/>
  <c r="X208" i="1"/>
  <c r="Z207" i="1"/>
  <c r="Y207" i="1"/>
  <c r="X207" i="1"/>
  <c r="Z206" i="1"/>
  <c r="Y206" i="1"/>
  <c r="X206" i="1"/>
  <c r="Z205" i="1"/>
  <c r="Y205" i="1"/>
  <c r="X205" i="1"/>
  <c r="Z204" i="1"/>
  <c r="Y204" i="1"/>
  <c r="X204" i="1"/>
  <c r="Z203" i="1"/>
  <c r="Y203" i="1"/>
  <c r="X203" i="1"/>
  <c r="Z202" i="1"/>
  <c r="Y202" i="1"/>
  <c r="X202" i="1"/>
  <c r="Z201" i="1"/>
  <c r="Y201" i="1"/>
  <c r="X201" i="1"/>
  <c r="Z200" i="1"/>
  <c r="Y200" i="1"/>
  <c r="X200" i="1"/>
  <c r="Z199" i="1"/>
  <c r="Y199" i="1"/>
  <c r="X199" i="1"/>
  <c r="Z198" i="1"/>
  <c r="Y198" i="1"/>
  <c r="X198" i="1"/>
  <c r="Z197" i="1"/>
  <c r="Y197" i="1"/>
  <c r="X197" i="1"/>
  <c r="Z196" i="1"/>
  <c r="Y196" i="1"/>
  <c r="X196" i="1"/>
  <c r="Z195" i="1"/>
  <c r="Y195" i="1"/>
  <c r="X195" i="1"/>
  <c r="Z194" i="1"/>
  <c r="Y194" i="1"/>
  <c r="X194" i="1"/>
  <c r="Z193" i="1"/>
  <c r="Y193" i="1"/>
  <c r="X193" i="1"/>
  <c r="Z192" i="1"/>
  <c r="Y192" i="1"/>
  <c r="X192" i="1"/>
  <c r="Z191" i="1"/>
  <c r="Y191" i="1"/>
  <c r="X191" i="1"/>
  <c r="Z190" i="1"/>
  <c r="Y190" i="1"/>
  <c r="X190" i="1"/>
  <c r="Z189" i="1"/>
  <c r="Y189" i="1"/>
  <c r="X189" i="1"/>
  <c r="Z188" i="1"/>
  <c r="Y188" i="1"/>
  <c r="X188" i="1"/>
  <c r="Z187" i="1"/>
  <c r="Y187" i="1"/>
  <c r="X187" i="1"/>
  <c r="Z186" i="1"/>
  <c r="Y186" i="1"/>
  <c r="X186" i="1"/>
  <c r="Z185" i="1"/>
  <c r="Y185" i="1"/>
  <c r="X185" i="1"/>
  <c r="Z184" i="1"/>
  <c r="Y184" i="1"/>
  <c r="X184" i="1"/>
  <c r="Z183" i="1"/>
  <c r="Y183" i="1"/>
  <c r="X183" i="1"/>
  <c r="Z182" i="1"/>
  <c r="Y182" i="1"/>
  <c r="X182" i="1"/>
  <c r="Z181" i="1"/>
  <c r="Y181" i="1"/>
  <c r="X181" i="1"/>
  <c r="Z180" i="1"/>
  <c r="Y180" i="1"/>
  <c r="X180" i="1"/>
  <c r="Z179" i="1"/>
  <c r="Y179" i="1"/>
  <c r="X179" i="1"/>
  <c r="Z178" i="1"/>
  <c r="Y178" i="1"/>
  <c r="X178" i="1"/>
  <c r="Z177" i="1"/>
  <c r="Y177" i="1"/>
  <c r="X177" i="1"/>
  <c r="Z176" i="1"/>
  <c r="Y176" i="1"/>
  <c r="X176" i="1"/>
  <c r="Z175" i="1"/>
  <c r="Y175" i="1"/>
  <c r="X175" i="1"/>
  <c r="Z174" i="1"/>
  <c r="Y174" i="1"/>
  <c r="X174" i="1"/>
  <c r="Z173" i="1"/>
  <c r="Y173" i="1"/>
  <c r="X173" i="1"/>
  <c r="Z172" i="1"/>
  <c r="X172" i="1"/>
  <c r="Y172" i="1"/>
  <c r="Z171" i="1"/>
  <c r="Y171" i="1"/>
  <c r="X171" i="1"/>
  <c r="Z170" i="1"/>
  <c r="Y170" i="1"/>
  <c r="X170" i="1"/>
  <c r="Z169" i="1"/>
  <c r="Y169" i="1"/>
  <c r="X169" i="1"/>
  <c r="Z168" i="1"/>
  <c r="Y168" i="1"/>
  <c r="X168" i="1"/>
  <c r="Z167" i="1"/>
  <c r="X167" i="1"/>
  <c r="Y167" i="1"/>
  <c r="Z166" i="1"/>
  <c r="Y166" i="1"/>
  <c r="X166" i="1"/>
  <c r="Z165" i="1"/>
  <c r="Y165" i="1"/>
  <c r="X165" i="1"/>
  <c r="Z164" i="1"/>
  <c r="Y164" i="1"/>
  <c r="X164" i="1"/>
  <c r="Z163" i="1"/>
  <c r="Y163" i="1"/>
  <c r="X163" i="1"/>
  <c r="Z162" i="1"/>
  <c r="Y162" i="1"/>
  <c r="X162" i="1"/>
  <c r="Z161" i="1"/>
  <c r="Y161" i="1"/>
  <c r="X161" i="1"/>
  <c r="Z160" i="1"/>
  <c r="Y160" i="1"/>
  <c r="X160" i="1"/>
  <c r="Z159" i="1"/>
  <c r="Y159" i="1"/>
  <c r="X159" i="1"/>
  <c r="Z158" i="1"/>
  <c r="Y158" i="1"/>
  <c r="X158" i="1"/>
  <c r="Z157" i="1"/>
  <c r="Y157" i="1"/>
  <c r="X157" i="1"/>
  <c r="Z156" i="1"/>
  <c r="Y156" i="1"/>
  <c r="X156" i="1"/>
  <c r="Z155" i="1"/>
  <c r="Y155" i="1"/>
  <c r="X155" i="1"/>
  <c r="Z154" i="1"/>
  <c r="Y154" i="1"/>
  <c r="X154" i="1"/>
  <c r="Z153" i="1"/>
  <c r="Y153" i="1"/>
  <c r="X153" i="1"/>
  <c r="Z152" i="1"/>
  <c r="Y152" i="1"/>
  <c r="X152" i="1"/>
  <c r="Z151" i="1"/>
  <c r="Y151" i="1"/>
  <c r="X151" i="1"/>
  <c r="Z150" i="1"/>
  <c r="Y150" i="1"/>
  <c r="X150" i="1"/>
  <c r="Z149" i="1"/>
  <c r="Y149" i="1"/>
  <c r="X149" i="1"/>
  <c r="Z148" i="1"/>
  <c r="Y148" i="1"/>
  <c r="X148" i="1"/>
  <c r="Z147" i="1"/>
  <c r="Y147" i="1"/>
  <c r="X147" i="1"/>
  <c r="Z146" i="1"/>
  <c r="Y146" i="1"/>
  <c r="X146" i="1"/>
  <c r="Z145" i="1"/>
  <c r="Y145" i="1"/>
  <c r="X145" i="1"/>
  <c r="Z144" i="1"/>
  <c r="Y144" i="1"/>
  <c r="X144" i="1"/>
  <c r="Z143" i="1"/>
  <c r="Y143" i="1"/>
  <c r="X143" i="1"/>
  <c r="Z142" i="1"/>
  <c r="Y142" i="1"/>
  <c r="X142" i="1"/>
  <c r="Z141" i="1"/>
  <c r="Y141" i="1"/>
  <c r="X141" i="1"/>
  <c r="Z140" i="1"/>
  <c r="Y140" i="1"/>
  <c r="X140" i="1"/>
  <c r="Z139" i="1"/>
  <c r="Y139" i="1"/>
  <c r="X139" i="1"/>
  <c r="Z138" i="1"/>
  <c r="Y138" i="1"/>
  <c r="X138" i="1"/>
  <c r="Z137" i="1"/>
  <c r="Y137" i="1"/>
  <c r="X137" i="1"/>
  <c r="Z136" i="1"/>
  <c r="X136" i="1"/>
  <c r="Y136" i="1"/>
  <c r="Z135" i="1"/>
  <c r="Y135" i="1"/>
  <c r="X135" i="1"/>
  <c r="Z134" i="1"/>
  <c r="X134" i="1"/>
  <c r="Y134" i="1"/>
  <c r="Z133" i="1"/>
  <c r="Y133" i="1"/>
  <c r="X133" i="1"/>
  <c r="Z132" i="1"/>
  <c r="Y132" i="1"/>
  <c r="X132" i="1"/>
  <c r="Z131" i="1"/>
  <c r="Y131" i="1"/>
  <c r="X131" i="1"/>
  <c r="Z130" i="1"/>
  <c r="Y130" i="1"/>
  <c r="X130" i="1"/>
  <c r="Z129" i="1"/>
  <c r="Y129" i="1"/>
  <c r="X129" i="1"/>
  <c r="Z128" i="1"/>
  <c r="Y128" i="1"/>
  <c r="X128" i="1"/>
  <c r="Z127" i="1"/>
  <c r="Y127" i="1"/>
  <c r="X127" i="1"/>
  <c r="Z126" i="1"/>
  <c r="Y126" i="1"/>
  <c r="X126" i="1"/>
  <c r="Z125" i="1"/>
  <c r="Y125" i="1"/>
  <c r="X125" i="1"/>
  <c r="Z124" i="1"/>
  <c r="Y124" i="1"/>
  <c r="X124" i="1"/>
  <c r="Z123" i="1"/>
  <c r="Y123" i="1"/>
  <c r="X123" i="1"/>
  <c r="Z122" i="1"/>
  <c r="Y122" i="1"/>
  <c r="X122" i="1"/>
  <c r="Z121" i="1"/>
  <c r="Y121" i="1"/>
  <c r="X121" i="1"/>
  <c r="Z120" i="1"/>
  <c r="Y120" i="1"/>
  <c r="X120" i="1"/>
  <c r="Z119" i="1"/>
  <c r="Y119" i="1"/>
  <c r="X119" i="1"/>
  <c r="Z118" i="1"/>
  <c r="Y118" i="1"/>
  <c r="X118" i="1"/>
  <c r="Z117" i="1"/>
  <c r="Y117" i="1"/>
  <c r="X117" i="1"/>
  <c r="Z116" i="1"/>
  <c r="Y116" i="1"/>
  <c r="X116" i="1"/>
  <c r="Z115" i="1"/>
  <c r="Y115" i="1"/>
  <c r="X115" i="1"/>
  <c r="Z114" i="1"/>
  <c r="Y114" i="1"/>
  <c r="X114" i="1"/>
  <c r="Z113" i="1"/>
  <c r="Y113" i="1"/>
  <c r="X113" i="1"/>
  <c r="Z112" i="1"/>
  <c r="Y112" i="1"/>
  <c r="X112" i="1"/>
  <c r="Z111" i="1"/>
  <c r="Y111" i="1"/>
  <c r="X111" i="1"/>
  <c r="Z110" i="1"/>
  <c r="Y110" i="1"/>
  <c r="X110" i="1"/>
  <c r="Z109" i="1"/>
  <c r="Y109" i="1"/>
  <c r="X109" i="1"/>
  <c r="Z108" i="1"/>
  <c r="Y108" i="1"/>
  <c r="X108" i="1"/>
  <c r="Z107" i="1"/>
  <c r="Y107" i="1"/>
  <c r="X107" i="1"/>
  <c r="Z106" i="1"/>
  <c r="Y106" i="1"/>
  <c r="X106" i="1"/>
  <c r="Z105" i="1"/>
  <c r="Y105" i="1"/>
  <c r="X105" i="1"/>
  <c r="Z104" i="1"/>
  <c r="Y104" i="1"/>
  <c r="X104" i="1"/>
  <c r="Z103" i="1"/>
  <c r="X103" i="1"/>
  <c r="Z102" i="1"/>
  <c r="Y102" i="1"/>
  <c r="X102" i="1"/>
  <c r="Z101" i="1"/>
  <c r="Y101" i="1"/>
  <c r="X101" i="1"/>
  <c r="Z100" i="1"/>
  <c r="Y100" i="1"/>
  <c r="X100" i="1"/>
  <c r="Z99" i="1"/>
  <c r="Y99" i="1"/>
  <c r="X99" i="1"/>
  <c r="Z98" i="1"/>
  <c r="Y98" i="1"/>
  <c r="X98" i="1"/>
  <c r="Z97" i="1"/>
  <c r="Y97" i="1"/>
  <c r="X97" i="1"/>
  <c r="Z96" i="1"/>
  <c r="Y96" i="1"/>
  <c r="X96" i="1"/>
  <c r="Z95" i="1"/>
  <c r="Y95" i="1"/>
  <c r="X95" i="1"/>
  <c r="Z94" i="1"/>
  <c r="Y94" i="1"/>
  <c r="X94" i="1"/>
  <c r="Z93" i="1"/>
  <c r="Y93" i="1"/>
  <c r="X93" i="1"/>
  <c r="Z92" i="1"/>
  <c r="Y92" i="1"/>
  <c r="X92" i="1"/>
  <c r="Z91" i="1"/>
  <c r="Y91" i="1"/>
  <c r="X91" i="1"/>
  <c r="Z90" i="1"/>
  <c r="Y90" i="1"/>
  <c r="X90" i="1"/>
  <c r="Z89" i="1"/>
  <c r="Y89" i="1"/>
  <c r="X89" i="1"/>
  <c r="Z88" i="1"/>
  <c r="Y88" i="1"/>
  <c r="X88" i="1"/>
  <c r="Z87" i="1"/>
  <c r="Y87" i="1"/>
  <c r="X87" i="1"/>
  <c r="Z86" i="1"/>
  <c r="Y86" i="1"/>
  <c r="X86" i="1"/>
  <c r="Z85" i="1"/>
  <c r="Y85" i="1"/>
  <c r="X85" i="1"/>
  <c r="Z84" i="1"/>
  <c r="Y84" i="1"/>
  <c r="X84" i="1"/>
  <c r="Z83" i="1"/>
  <c r="Y83" i="1"/>
  <c r="X83" i="1"/>
  <c r="Z82" i="1"/>
  <c r="Y82" i="1"/>
  <c r="X82" i="1"/>
  <c r="Z81" i="1"/>
  <c r="Y81" i="1"/>
  <c r="X81" i="1"/>
  <c r="Z80" i="1"/>
  <c r="Y80" i="1"/>
  <c r="X80" i="1"/>
  <c r="Z79" i="1"/>
  <c r="Y79" i="1"/>
  <c r="X79" i="1"/>
  <c r="Z78" i="1"/>
  <c r="Y78" i="1"/>
  <c r="X78" i="1"/>
  <c r="Z77" i="1"/>
  <c r="Y77" i="1"/>
  <c r="X77" i="1"/>
  <c r="Z76" i="1"/>
  <c r="Y76" i="1"/>
  <c r="X76" i="1"/>
  <c r="Z75" i="1"/>
  <c r="Y75" i="1"/>
  <c r="X75" i="1"/>
  <c r="Z74" i="1"/>
  <c r="Y74" i="1"/>
  <c r="X74" i="1"/>
  <c r="Z73" i="1"/>
  <c r="Y73" i="1"/>
  <c r="X73" i="1"/>
  <c r="Z72" i="1"/>
  <c r="Y72" i="1"/>
  <c r="X72" i="1"/>
  <c r="Z71" i="1"/>
  <c r="Y71" i="1"/>
  <c r="X71" i="1"/>
  <c r="Z70" i="1"/>
  <c r="Y70" i="1"/>
  <c r="X70" i="1"/>
  <c r="Z69" i="1"/>
  <c r="Y69" i="1"/>
  <c r="X69" i="1"/>
  <c r="Z68" i="1"/>
  <c r="Y68" i="1"/>
  <c r="X68" i="1"/>
  <c r="Z67" i="1"/>
  <c r="Y67" i="1"/>
  <c r="X67" i="1"/>
  <c r="Z66" i="1"/>
  <c r="Y66" i="1"/>
  <c r="X66" i="1"/>
  <c r="Z65" i="1"/>
  <c r="Y65" i="1"/>
  <c r="X65" i="1"/>
  <c r="Z64" i="1"/>
  <c r="Y64" i="1"/>
  <c r="X64" i="1"/>
  <c r="Z63" i="1"/>
  <c r="Y63" i="1"/>
  <c r="X63" i="1"/>
  <c r="Z62" i="1"/>
  <c r="Y62" i="1"/>
  <c r="X62" i="1"/>
  <c r="Z61" i="1"/>
  <c r="Y61" i="1"/>
  <c r="X61" i="1"/>
  <c r="Z60" i="1"/>
  <c r="Y60" i="1"/>
  <c r="X60" i="1"/>
  <c r="Z59" i="1"/>
  <c r="Y59" i="1"/>
  <c r="X59" i="1"/>
  <c r="Z58" i="1"/>
  <c r="Y58" i="1"/>
  <c r="X58" i="1"/>
  <c r="Z57" i="1"/>
  <c r="Y57" i="1"/>
  <c r="X57" i="1"/>
  <c r="Z56" i="1"/>
  <c r="Y56" i="1"/>
  <c r="X56" i="1"/>
  <c r="Z55" i="1"/>
  <c r="Y55" i="1"/>
  <c r="X55" i="1"/>
  <c r="Z54" i="1"/>
  <c r="Y54" i="1"/>
  <c r="X54" i="1"/>
  <c r="Z53" i="1"/>
  <c r="Y53" i="1"/>
  <c r="X53" i="1"/>
  <c r="Z52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X48" i="1"/>
  <c r="Z47" i="1"/>
  <c r="Y47" i="1"/>
  <c r="X47" i="1"/>
  <c r="Z46" i="1"/>
  <c r="Y46" i="1"/>
  <c r="X46" i="1"/>
  <c r="Z45" i="1"/>
  <c r="Y45" i="1"/>
  <c r="X45" i="1"/>
  <c r="Z44" i="1"/>
  <c r="Y44" i="1"/>
  <c r="X44" i="1"/>
  <c r="Z43" i="1"/>
  <c r="Y43" i="1"/>
  <c r="X43" i="1"/>
  <c r="Z42" i="1"/>
  <c r="Y42" i="1"/>
  <c r="X42" i="1"/>
  <c r="Z41" i="1"/>
  <c r="Y41" i="1"/>
  <c r="X41" i="1"/>
  <c r="Z40" i="1"/>
  <c r="Y40" i="1"/>
  <c r="X40" i="1"/>
  <c r="Z39" i="1"/>
  <c r="Y39" i="1"/>
  <c r="X39" i="1"/>
  <c r="Z38" i="1"/>
  <c r="Y38" i="1"/>
  <c r="X38" i="1"/>
  <c r="Z37" i="1"/>
  <c r="Y37" i="1"/>
  <c r="X37" i="1"/>
  <c r="Z36" i="1"/>
  <c r="Y36" i="1"/>
  <c r="X36" i="1"/>
  <c r="Z35" i="1"/>
  <c r="Y35" i="1"/>
  <c r="X35" i="1"/>
  <c r="Z34" i="1"/>
  <c r="Y34" i="1"/>
  <c r="X34" i="1"/>
  <c r="Z33" i="1"/>
  <c r="Y33" i="1"/>
  <c r="X33" i="1"/>
  <c r="Z32" i="1"/>
  <c r="Y32" i="1"/>
  <c r="X32" i="1"/>
  <c r="Z31" i="1"/>
  <c r="Y31" i="1"/>
  <c r="X31" i="1"/>
  <c r="Z30" i="1"/>
  <c r="Y30" i="1"/>
  <c r="X30" i="1"/>
  <c r="Z29" i="1"/>
  <c r="Y29" i="1"/>
  <c r="X29" i="1"/>
  <c r="Z28" i="1"/>
  <c r="Y28" i="1"/>
  <c r="X28" i="1"/>
  <c r="Z27" i="1"/>
  <c r="Y27" i="1"/>
  <c r="X27" i="1"/>
  <c r="Z26" i="1"/>
  <c r="Y26" i="1"/>
  <c r="X26" i="1"/>
  <c r="Z25" i="1"/>
  <c r="Y25" i="1"/>
  <c r="X25" i="1"/>
  <c r="Z24" i="1"/>
  <c r="Y24" i="1"/>
  <c r="X24" i="1"/>
  <c r="Z23" i="1"/>
  <c r="Y23" i="1"/>
  <c r="X23" i="1"/>
  <c r="Z22" i="1"/>
  <c r="Y22" i="1"/>
  <c r="X22" i="1"/>
  <c r="Z21" i="1"/>
  <c r="Y21" i="1"/>
  <c r="X21" i="1"/>
  <c r="Z20" i="1"/>
  <c r="Y20" i="1"/>
  <c r="X20" i="1"/>
  <c r="Z19" i="1"/>
  <c r="Y19" i="1"/>
  <c r="X19" i="1"/>
  <c r="Z18" i="1"/>
  <c r="Y18" i="1"/>
  <c r="X18" i="1"/>
  <c r="Z17" i="1"/>
  <c r="Y17" i="1"/>
  <c r="X17" i="1"/>
  <c r="Z16" i="1"/>
  <c r="Y16" i="1"/>
  <c r="X16" i="1"/>
  <c r="Z15" i="1"/>
  <c r="Y15" i="1"/>
  <c r="X15" i="1"/>
  <c r="Z14" i="1"/>
  <c r="Y14" i="1"/>
  <c r="X14" i="1"/>
  <c r="Z13" i="1"/>
  <c r="Y13" i="1"/>
  <c r="X13" i="1"/>
  <c r="Z12" i="1"/>
  <c r="Y12" i="1"/>
  <c r="X12" i="1"/>
  <c r="Z11" i="1"/>
  <c r="Y11" i="1"/>
  <c r="X11" i="1"/>
  <c r="Z10" i="1"/>
  <c r="Y10" i="1"/>
  <c r="X10" i="1"/>
  <c r="Z9" i="1"/>
  <c r="Y9" i="1"/>
  <c r="X9" i="1"/>
  <c r="Z8" i="1"/>
  <c r="Y8" i="1"/>
  <c r="X8" i="1"/>
  <c r="Z7" i="1"/>
  <c r="Y7" i="1"/>
  <c r="X7" i="1"/>
  <c r="Z6" i="1"/>
  <c r="Y6" i="1"/>
  <c r="X6" i="1"/>
  <c r="Z5" i="1"/>
  <c r="Y5" i="1"/>
  <c r="X5" i="1"/>
  <c r="Z4" i="1"/>
  <c r="Y4" i="1"/>
  <c r="X4" i="1"/>
  <c r="Z3" i="1"/>
  <c r="Y3" i="1"/>
  <c r="X3" i="1"/>
  <c r="B2" i="1"/>
  <c r="Y601" i="1" l="1"/>
  <c r="Y605" i="1"/>
  <c r="Y609" i="1"/>
  <c r="Y613" i="1"/>
  <c r="Y617" i="1"/>
  <c r="Y621" i="1"/>
  <c r="Y625" i="1"/>
  <c r="Y599" i="1"/>
  <c r="Y607" i="1"/>
  <c r="Y611" i="1"/>
  <c r="Y619" i="1"/>
  <c r="Y623" i="1"/>
  <c r="Y627" i="1"/>
  <c r="Y631" i="1"/>
  <c r="Y635" i="1"/>
  <c r="Y639" i="1"/>
  <c r="Y643" i="1"/>
  <c r="Y647" i="1"/>
  <c r="Y651" i="1"/>
  <c r="Y655" i="1"/>
  <c r="Y659" i="1"/>
  <c r="Y103" i="1"/>
  <c r="Y403" i="1"/>
  <c r="Y598" i="1"/>
  <c r="Y602" i="1"/>
  <c r="Y606" i="1"/>
  <c r="Y610" i="1"/>
  <c r="Y614" i="1"/>
  <c r="Y618" i="1"/>
  <c r="Y622" i="1"/>
  <c r="Y626" i="1"/>
  <c r="Y630" i="1"/>
  <c r="Y634" i="1"/>
  <c r="Y638" i="1"/>
  <c r="Y642" i="1"/>
  <c r="Y646" i="1"/>
  <c r="Y650" i="1"/>
  <c r="Y654" i="1"/>
  <c r="Y658" i="1"/>
  <c r="Y662" i="1"/>
  <c r="Z203" i="7"/>
  <c r="X203" i="7"/>
  <c r="Z409" i="7"/>
  <c r="Z413" i="7"/>
  <c r="Z417" i="7"/>
  <c r="Z421" i="7"/>
  <c r="Z425" i="7"/>
  <c r="Z429" i="7"/>
  <c r="Y434" i="7"/>
  <c r="Z437" i="7"/>
  <c r="Y442" i="7"/>
  <c r="Z445" i="7"/>
  <c r="Y450" i="7"/>
  <c r="Z453" i="7"/>
  <c r="Y458" i="7"/>
  <c r="Z461" i="7"/>
  <c r="Y466" i="7"/>
  <c r="Z534" i="7"/>
  <c r="Y534" i="7"/>
  <c r="Z538" i="7"/>
  <c r="Y538" i="7"/>
  <c r="Z542" i="7"/>
  <c r="Y542" i="7"/>
  <c r="Z546" i="7"/>
  <c r="Y546" i="7"/>
  <c r="Z550" i="7"/>
  <c r="Y550" i="7"/>
  <c r="Z554" i="7"/>
  <c r="Y554" i="7"/>
  <c r="Z559" i="7"/>
  <c r="Y559" i="7"/>
  <c r="Z575" i="7"/>
  <c r="Y575" i="7"/>
  <c r="Z591" i="7"/>
  <c r="Y591" i="7"/>
  <c r="X703" i="1"/>
  <c r="Z555" i="7"/>
  <c r="Y555" i="7"/>
  <c r="Z571" i="7"/>
  <c r="Y571" i="7"/>
  <c r="Z587" i="7"/>
  <c r="Y587" i="7"/>
  <c r="Y410" i="7"/>
  <c r="Y414" i="7"/>
  <c r="Y418" i="7"/>
  <c r="Y422" i="7"/>
  <c r="Y426" i="7"/>
  <c r="Y430" i="7"/>
  <c r="Z433" i="7"/>
  <c r="Y435" i="7"/>
  <c r="Y438" i="7"/>
  <c r="Z441" i="7"/>
  <c r="Y443" i="7"/>
  <c r="Y446" i="7"/>
  <c r="Z449" i="7"/>
  <c r="Y451" i="7"/>
  <c r="Y454" i="7"/>
  <c r="Z457" i="7"/>
  <c r="Y459" i="7"/>
  <c r="Y462" i="7"/>
  <c r="Z465" i="7"/>
  <c r="Y467" i="7"/>
  <c r="Y470" i="7"/>
  <c r="Z473" i="7"/>
  <c r="Y475" i="7"/>
  <c r="Y478" i="7"/>
  <c r="Z481" i="7"/>
  <c r="Y483" i="7"/>
  <c r="Y486" i="7"/>
  <c r="Z489" i="7"/>
  <c r="Y491" i="7"/>
  <c r="Y494" i="7"/>
  <c r="Z497" i="7"/>
  <c r="Y499" i="7"/>
  <c r="Y502" i="7"/>
  <c r="Z505" i="7"/>
  <c r="Y507" i="7"/>
  <c r="Y510" i="7"/>
  <c r="Z513" i="7"/>
  <c r="Y515" i="7"/>
  <c r="Y518" i="7"/>
  <c r="Z521" i="7"/>
  <c r="Y523" i="7"/>
  <c r="Y526" i="7"/>
  <c r="Z529" i="7"/>
  <c r="Y531" i="7"/>
  <c r="Y535" i="7"/>
  <c r="Y539" i="7"/>
  <c r="Y543" i="7"/>
  <c r="Y547" i="7"/>
  <c r="Y551" i="7"/>
  <c r="Z567" i="7"/>
  <c r="Y567" i="7"/>
  <c r="Z583" i="7"/>
  <c r="Y583" i="7"/>
  <c r="Z599" i="7"/>
  <c r="Y599" i="7"/>
  <c r="Z245" i="7"/>
  <c r="Z250" i="7"/>
  <c r="Z253" i="7"/>
  <c r="Z258" i="7"/>
  <c r="Z261" i="7"/>
  <c r="Z266" i="7"/>
  <c r="Z269" i="7"/>
  <c r="Z274" i="7"/>
  <c r="Z277" i="7"/>
  <c r="Z282" i="7"/>
  <c r="Z285" i="7"/>
  <c r="Z290" i="7"/>
  <c r="Z293" i="7"/>
  <c r="Z298" i="7"/>
  <c r="Z301" i="7"/>
  <c r="Z306" i="7"/>
  <c r="Z309" i="7"/>
  <c r="Z314" i="7"/>
  <c r="Z317" i="7"/>
  <c r="Z322" i="7"/>
  <c r="Z325" i="7"/>
  <c r="Z330" i="7"/>
  <c r="Z333" i="7"/>
  <c r="Z338" i="7"/>
  <c r="Z341" i="7"/>
  <c r="Z346" i="7"/>
  <c r="Z349" i="7"/>
  <c r="Z354" i="7"/>
  <c r="Z357" i="7"/>
  <c r="Z362" i="7"/>
  <c r="Z365" i="7"/>
  <c r="Z370" i="7"/>
  <c r="Z373" i="7"/>
  <c r="Z378" i="7"/>
  <c r="Z381" i="7"/>
  <c r="Z386" i="7"/>
  <c r="Z389" i="7"/>
  <c r="Z394" i="7"/>
  <c r="Z397" i="7"/>
  <c r="Z402" i="7"/>
  <c r="Z563" i="7"/>
  <c r="Y563" i="7"/>
  <c r="Z579" i="7"/>
  <c r="Y579" i="7"/>
  <c r="Z595" i="7"/>
  <c r="Y595" i="7"/>
  <c r="Y603" i="7"/>
  <c r="W403" i="2"/>
  <c r="Y558" i="7"/>
  <c r="Y562" i="7"/>
  <c r="Y566" i="7"/>
  <c r="Y570" i="7"/>
  <c r="Y574" i="7"/>
  <c r="Y578" i="7"/>
  <c r="Y582" i="7"/>
  <c r="Y586" i="7"/>
  <c r="Y590" i="7"/>
  <c r="Y594" i="7"/>
  <c r="Y598" i="7"/>
  <c r="Y602" i="7"/>
  <c r="Z603" i="7"/>
  <c r="W4" i="6"/>
  <c r="W5" i="6"/>
  <c r="Y203" i="7"/>
  <c r="Y205" i="7"/>
  <c r="Y207" i="7"/>
  <c r="Y209" i="7"/>
  <c r="Y211" i="7"/>
  <c r="Y213" i="7"/>
  <c r="Y215" i="7"/>
  <c r="Y217" i="7"/>
  <c r="Y219" i="7"/>
  <c r="Y221" i="7"/>
  <c r="Y223" i="7"/>
  <c r="Y225" i="7"/>
  <c r="Y227" i="7"/>
  <c r="Y229" i="7"/>
  <c r="Y231" i="7"/>
  <c r="Y233" i="7"/>
  <c r="Y235" i="7"/>
  <c r="Y237" i="7"/>
  <c r="Y239" i="7"/>
  <c r="Y241" i="7"/>
  <c r="Z243" i="7"/>
  <c r="Z255" i="7"/>
  <c r="Z263" i="7"/>
  <c r="Z275" i="7"/>
  <c r="Z283" i="7"/>
  <c r="Z291" i="7"/>
  <c r="Z299" i="7"/>
  <c r="Z307" i="7"/>
  <c r="Z315" i="7"/>
  <c r="Z323" i="7"/>
  <c r="Z331" i="7"/>
  <c r="Z339" i="7"/>
  <c r="Z347" i="7"/>
  <c r="Z351" i="7"/>
  <c r="Z359" i="7"/>
  <c r="Z367" i="7"/>
  <c r="Z371" i="7"/>
  <c r="Z379" i="7"/>
  <c r="Z383" i="7"/>
  <c r="Z387" i="7"/>
  <c r="Z391" i="7"/>
  <c r="Y404" i="7"/>
  <c r="Y405" i="7"/>
  <c r="Z204" i="7"/>
  <c r="Z206" i="7"/>
  <c r="Z208" i="7"/>
  <c r="Z210" i="7"/>
  <c r="Z212" i="7"/>
  <c r="Z214" i="7"/>
  <c r="Z216" i="7"/>
  <c r="Z218" i="7"/>
  <c r="Z220" i="7"/>
  <c r="Z222" i="7"/>
  <c r="Z224" i="7"/>
  <c r="Z226" i="7"/>
  <c r="Z228" i="7"/>
  <c r="Z230" i="7"/>
  <c r="Z232" i="7"/>
  <c r="Z234" i="7"/>
  <c r="Z236" i="7"/>
  <c r="Z238" i="7"/>
  <c r="Z240" i="7"/>
  <c r="Z242" i="7"/>
  <c r="AA403" i="7"/>
  <c r="Z406" i="7"/>
  <c r="V7" i="6"/>
  <c r="W6" i="6"/>
  <c r="Z244" i="7"/>
  <c r="Z248" i="7"/>
  <c r="Z252" i="7"/>
  <c r="Z256" i="7"/>
  <c r="Z260" i="7"/>
  <c r="Z264" i="7"/>
  <c r="Z268" i="7"/>
  <c r="Z272" i="7"/>
  <c r="Z276" i="7"/>
  <c r="Z280" i="7"/>
  <c r="Z284" i="7"/>
  <c r="Z288" i="7"/>
  <c r="Z292" i="7"/>
  <c r="Z296" i="7"/>
  <c r="Z300" i="7"/>
  <c r="Z304" i="7"/>
  <c r="Z308" i="7"/>
  <c r="Z312" i="7"/>
  <c r="Z316" i="7"/>
  <c r="Z320" i="7"/>
  <c r="Z324" i="7"/>
  <c r="Z328" i="7"/>
  <c r="Z332" i="7"/>
  <c r="Z336" i="7"/>
  <c r="Z340" i="7"/>
  <c r="Z344" i="7"/>
  <c r="Z348" i="7"/>
  <c r="Z352" i="7"/>
  <c r="Z356" i="7"/>
  <c r="Z360" i="7"/>
  <c r="Z364" i="7"/>
  <c r="Z368" i="7"/>
  <c r="Z372" i="7"/>
  <c r="Z376" i="7"/>
  <c r="Z380" i="7"/>
  <c r="Z384" i="7"/>
  <c r="Z388" i="7"/>
  <c r="Z392" i="7"/>
  <c r="Z396" i="7"/>
  <c r="Z400" i="7"/>
  <c r="Z247" i="7"/>
  <c r="Z251" i="7"/>
  <c r="Z259" i="7"/>
  <c r="Z267" i="7"/>
  <c r="Z271" i="7"/>
  <c r="Z279" i="7"/>
  <c r="Z287" i="7"/>
  <c r="Z295" i="7"/>
  <c r="Z303" i="7"/>
  <c r="Z311" i="7"/>
  <c r="Z319" i="7"/>
  <c r="Z327" i="7"/>
  <c r="Z335" i="7"/>
  <c r="Z343" i="7"/>
  <c r="Z355" i="7"/>
  <c r="Z363" i="7"/>
  <c r="Z375" i="7"/>
  <c r="Z395" i="7"/>
  <c r="Z399" i="7"/>
  <c r="Z403" i="7"/>
  <c r="W3" i="6"/>
  <c r="V8" i="6" l="1"/>
  <c r="W7" i="6"/>
  <c r="V9" i="6" l="1"/>
  <c r="W8" i="6"/>
  <c r="V10" i="6" l="1"/>
  <c r="W9" i="6"/>
  <c r="S274" i="6" l="1"/>
  <c r="V11" i="6"/>
  <c r="W10" i="6"/>
  <c r="V12" i="6" l="1"/>
  <c r="W11" i="6"/>
  <c r="V13" i="6" l="1"/>
  <c r="W12" i="6"/>
  <c r="V14" i="6" l="1"/>
  <c r="W13" i="6"/>
  <c r="V15" i="6" l="1"/>
  <c r="W14" i="6"/>
  <c r="S327" i="6" s="1"/>
  <c r="V16" i="6" l="1"/>
  <c r="W15" i="6"/>
  <c r="V17" i="6" l="1"/>
  <c r="W16" i="6"/>
  <c r="V18" i="6" l="1"/>
  <c r="W17" i="6"/>
  <c r="V19" i="6" l="1"/>
  <c r="W18" i="6"/>
  <c r="V20" i="6" l="1"/>
  <c r="W19" i="6"/>
  <c r="V21" i="6" l="1"/>
  <c r="W20" i="6"/>
  <c r="V22" i="6" l="1"/>
  <c r="W21" i="6"/>
  <c r="V23" i="6" l="1"/>
  <c r="W22" i="6"/>
  <c r="V24" i="6" l="1"/>
  <c r="W23" i="6"/>
  <c r="V25" i="6" l="1"/>
  <c r="W24" i="6"/>
  <c r="V26" i="6" l="1"/>
  <c r="W25" i="6"/>
  <c r="V27" i="6" l="1"/>
  <c r="W26" i="6"/>
  <c r="V28" i="6" l="1"/>
  <c r="W27" i="6"/>
  <c r="V29" i="6" l="1"/>
  <c r="W28" i="6"/>
  <c r="V30" i="6" l="1"/>
  <c r="W29" i="6"/>
  <c r="V31" i="6" l="1"/>
  <c r="W30" i="6"/>
  <c r="V32" i="6" l="1"/>
  <c r="W31" i="6"/>
  <c r="V33" i="6" l="1"/>
  <c r="W32" i="6"/>
  <c r="V34" i="6" l="1"/>
  <c r="W33" i="6"/>
  <c r="V35" i="6" l="1"/>
  <c r="W34" i="6"/>
  <c r="V36" i="6" l="1"/>
  <c r="W35" i="6"/>
  <c r="V37" i="6" l="1"/>
  <c r="W36" i="6"/>
  <c r="V38" i="6" l="1"/>
  <c r="W37" i="6"/>
  <c r="V39" i="6" l="1"/>
  <c r="W38" i="6"/>
  <c r="V40" i="6" l="1"/>
  <c r="W39" i="6"/>
  <c r="V41" i="6" l="1"/>
  <c r="W40" i="6"/>
  <c r="V42" i="6" l="1"/>
  <c r="W42" i="6" s="1"/>
  <c r="W41" i="6"/>
  <c r="S259" i="6" l="1"/>
  <c r="S207" i="6"/>
  <c r="S238" i="6"/>
  <c r="S287" i="6"/>
  <c r="S299" i="6"/>
  <c r="S309" i="6"/>
  <c r="S318" i="6"/>
  <c r="S335" i="6"/>
  <c r="S17" i="6"/>
  <c r="S18" i="6"/>
  <c r="S11" i="6"/>
  <c r="S227" i="6"/>
  <c r="S12" i="6"/>
  <c r="S20" i="6"/>
  <c r="S10" i="6"/>
  <c r="S42" i="6"/>
  <c r="S800" i="6"/>
  <c r="S35" i="6"/>
  <c r="S40" i="6"/>
  <c r="S22" i="6"/>
  <c r="S19" i="6"/>
  <c r="S16" i="6"/>
  <c r="S159" i="6"/>
  <c r="S756" i="6"/>
  <c r="S702" i="6"/>
  <c r="S146" i="6"/>
  <c r="S74" i="6"/>
  <c r="S795" i="6"/>
  <c r="S8" i="6"/>
  <c r="S638" i="6"/>
  <c r="S218" i="6"/>
  <c r="S790" i="6"/>
  <c r="S491" i="6"/>
  <c r="S675" i="6"/>
  <c r="S391" i="6"/>
  <c r="S766" i="6"/>
  <c r="S262" i="6"/>
  <c r="S311" i="6"/>
  <c r="S4" i="6"/>
  <c r="S295" i="6"/>
  <c r="S37" i="6"/>
  <c r="S755" i="6"/>
  <c r="S555" i="6"/>
  <c r="S270" i="6"/>
  <c r="S774" i="6"/>
  <c r="S38" i="6"/>
  <c r="S34" i="6"/>
  <c r="S683" i="6"/>
  <c r="S330" i="6"/>
  <c r="S619" i="6"/>
  <c r="S499" i="6"/>
  <c r="S435" i="6"/>
  <c r="S462" i="6"/>
  <c r="S21" i="6"/>
  <c r="S582" i="6"/>
  <c r="S6" i="6"/>
  <c r="S15" i="6"/>
  <c r="S82" i="6"/>
  <c r="S483" i="6"/>
  <c r="S66" i="6"/>
  <c r="S654" i="6"/>
  <c r="S563" i="6"/>
  <c r="S364" i="6"/>
  <c r="S478" i="6"/>
  <c r="S747" i="6"/>
  <c r="S710" i="6"/>
  <c r="S13" i="6"/>
  <c r="S611" i="6"/>
  <c r="S32" i="6"/>
  <c r="S210" i="6"/>
  <c r="S351" i="6"/>
  <c r="S764" i="6"/>
  <c r="S547" i="6"/>
  <c r="S542" i="6"/>
  <c r="S343" i="6"/>
  <c r="S691" i="6"/>
  <c r="S534" i="6"/>
  <c r="S718" i="6"/>
  <c r="S420" i="6"/>
  <c r="S539" i="6"/>
  <c r="S427" i="6"/>
  <c r="S748" i="6"/>
  <c r="S603" i="6"/>
  <c r="S33" i="6"/>
  <c r="S9" i="6"/>
  <c r="S28" i="6"/>
  <c r="S30" i="6"/>
  <c r="S138" i="6"/>
  <c r="S646" i="6"/>
  <c r="S194" i="6"/>
  <c r="S475" i="6"/>
  <c r="S243" i="6"/>
  <c r="S598" i="6"/>
  <c r="S303" i="6"/>
  <c r="S739" i="6"/>
  <c r="S454" i="6"/>
  <c r="S14" i="6"/>
  <c r="S26" i="6"/>
  <c r="S348" i="6"/>
  <c r="S708" i="6"/>
  <c r="S662" i="6"/>
  <c r="S590" i="6"/>
  <c r="S734" i="6"/>
  <c r="S282" i="6"/>
  <c r="S29" i="6"/>
  <c r="S399" i="6"/>
  <c r="S41" i="6"/>
  <c r="S606" i="6"/>
  <c r="S36" i="6"/>
  <c r="S356" i="6"/>
  <c r="S412" i="6"/>
  <c r="S271" i="6"/>
  <c r="S798" i="6"/>
  <c r="S782" i="6"/>
  <c r="S119" i="6"/>
  <c r="S25" i="6"/>
  <c r="S407" i="6"/>
  <c r="S338" i="6"/>
  <c r="S518" i="6"/>
  <c r="S130" i="6"/>
  <c r="S202" i="6"/>
  <c r="S5" i="6"/>
  <c r="S731" i="6"/>
  <c r="S90" i="6"/>
  <c r="S31" i="6"/>
  <c r="S526" i="6"/>
  <c r="S667" i="6"/>
  <c r="S290" i="6"/>
  <c r="S700" i="6"/>
  <c r="S692" i="6"/>
  <c r="S24" i="6"/>
  <c r="S470" i="6"/>
  <c r="S772" i="6"/>
  <c r="S73" i="6"/>
  <c r="S511" i="6"/>
  <c r="S153" i="6"/>
  <c r="S753" i="6"/>
  <c r="S203" i="6"/>
  <c r="S91" i="6"/>
  <c r="S627" i="6"/>
  <c r="S765" i="6"/>
  <c r="S676" i="6"/>
  <c r="S372" i="6"/>
  <c r="S415" i="6"/>
  <c r="S302" i="6"/>
  <c r="S639" i="6"/>
  <c r="S154" i="6"/>
  <c r="S726" i="6"/>
  <c r="S409" i="6"/>
  <c r="S490" i="6"/>
  <c r="S670" i="6"/>
  <c r="S625" i="6"/>
  <c r="S387" i="6"/>
  <c r="S536" i="6"/>
  <c r="S727" i="6"/>
  <c r="S514" i="6"/>
  <c r="S421" i="6"/>
  <c r="S97" i="6"/>
  <c r="S535" i="6"/>
  <c r="S109" i="6"/>
  <c r="S493" i="6"/>
  <c r="S792" i="6"/>
  <c r="S673" i="6"/>
  <c r="S721" i="6"/>
  <c r="S188" i="6"/>
  <c r="S628" i="6"/>
  <c r="S658" i="6"/>
  <c r="S615" i="6"/>
  <c r="S118" i="6"/>
  <c r="S701" i="6"/>
  <c r="S599" i="6"/>
  <c r="S345" i="6"/>
  <c r="S630" i="6"/>
  <c r="S106" i="6"/>
  <c r="S122" i="6"/>
  <c r="S231" i="6"/>
  <c r="S507" i="6"/>
  <c r="S450" i="6"/>
  <c r="S280" i="6"/>
  <c r="S411" i="6"/>
  <c r="S268" i="6"/>
  <c r="S225" i="6"/>
  <c r="S778" i="6"/>
  <c r="S503" i="6"/>
  <c r="S735" i="6"/>
  <c r="S384" i="6"/>
  <c r="S216" i="6"/>
  <c r="S687" i="6"/>
  <c r="S48" i="6"/>
  <c r="S786" i="6"/>
  <c r="S506" i="6"/>
  <c r="S575" i="6"/>
  <c r="S263" i="6"/>
  <c r="S279" i="6"/>
  <c r="S780" i="6"/>
  <c r="S267" i="6"/>
  <c r="S666" i="6"/>
  <c r="S580" i="6"/>
  <c r="S376" i="6"/>
  <c r="S706" i="6"/>
  <c r="S621" i="6"/>
  <c r="S602" i="6"/>
  <c r="S529" i="6"/>
  <c r="S209" i="6"/>
  <c r="S182" i="6"/>
  <c r="S791" i="6"/>
  <c r="S234" i="6"/>
  <c r="S254" i="6"/>
  <c r="S732" i="6"/>
  <c r="S366" i="6"/>
  <c r="S242" i="6"/>
  <c r="S704" i="6"/>
  <c r="S181" i="6"/>
  <c r="S377" i="6"/>
  <c r="S337" i="6"/>
  <c r="S183" i="6"/>
  <c r="S696" i="6"/>
  <c r="S54" i="6"/>
  <c r="S509" i="6"/>
  <c r="S230" i="6"/>
  <c r="S220" i="6"/>
  <c r="S502" i="6"/>
  <c r="S451" i="6"/>
  <c r="S114" i="6"/>
  <c r="S771" i="6"/>
  <c r="S443" i="6"/>
  <c r="S166" i="6"/>
  <c r="S434" i="6"/>
  <c r="S751" i="6"/>
  <c r="S414" i="6"/>
  <c r="S128" i="6"/>
  <c r="S695" i="6"/>
  <c r="S198" i="6"/>
  <c r="S296" i="6"/>
  <c r="S241" i="6"/>
  <c r="S239" i="6"/>
  <c r="S568" i="6"/>
  <c r="S248" i="6"/>
  <c r="S250" i="6"/>
  <c r="S102" i="6"/>
  <c r="S622" i="6"/>
  <c r="S635" i="6"/>
  <c r="S150" i="6"/>
  <c r="S328" i="6"/>
  <c r="S631" i="6"/>
  <c r="S382" i="6"/>
  <c r="S219" i="6"/>
  <c r="S293" i="6"/>
  <c r="S252" i="6"/>
  <c r="S211" i="6"/>
  <c r="S424" i="6"/>
  <c r="S554" i="6"/>
  <c r="S27" i="6"/>
  <c r="S64" i="6"/>
  <c r="S712" i="6"/>
  <c r="S357" i="6"/>
  <c r="S610" i="6"/>
  <c r="S429" i="6"/>
  <c r="S799" i="6"/>
  <c r="S319" i="6"/>
  <c r="S289" i="6"/>
  <c r="S543" i="6"/>
  <c r="S264" i="6"/>
  <c r="S642" i="6"/>
  <c r="S315" i="6"/>
  <c r="S191" i="6"/>
  <c r="S449" i="6"/>
  <c r="S236" i="6"/>
  <c r="S361" i="6"/>
  <c r="S474" i="6"/>
  <c r="S213" i="6"/>
  <c r="S147" i="6"/>
  <c r="S591" i="6"/>
  <c r="S720" i="6"/>
  <c r="S651" i="6"/>
  <c r="S614" i="6"/>
  <c r="S788" i="6"/>
  <c r="S98" i="6"/>
  <c r="S426" i="6"/>
  <c r="S307" i="6"/>
  <c r="S200" i="6"/>
  <c r="S522" i="6"/>
  <c r="S103" i="6"/>
  <c r="S23" i="6"/>
  <c r="S743" i="6"/>
  <c r="S600" i="6"/>
  <c r="S796" i="6"/>
  <c r="S195" i="6"/>
  <c r="S419" i="6"/>
  <c r="S255" i="6"/>
  <c r="S737" i="6"/>
  <c r="S466" i="6"/>
  <c r="S472" i="6"/>
  <c r="S758" i="6"/>
  <c r="S515" i="6"/>
  <c r="S331" i="6"/>
  <c r="S402" i="6"/>
  <c r="S312" i="6"/>
  <c r="S283" i="6"/>
  <c r="S126" i="6"/>
  <c r="S531" i="6"/>
  <c r="S523" i="6"/>
  <c r="S686" i="6"/>
  <c r="S258" i="6"/>
  <c r="S247" i="6"/>
  <c r="S389" i="6"/>
  <c r="S714" i="6"/>
  <c r="S784" i="6"/>
  <c r="S456" i="6"/>
  <c r="S530" i="6"/>
  <c r="S463" i="6"/>
  <c r="S532" i="6"/>
  <c r="S674" i="6"/>
  <c r="S767" i="6"/>
  <c r="S785" i="6"/>
  <c r="S206" i="6"/>
  <c r="S322" i="6"/>
  <c r="S251" i="6"/>
  <c r="S162" i="6"/>
  <c r="S438" i="6"/>
  <c r="S481" i="6"/>
  <c r="S393" i="6"/>
  <c r="S541" i="6"/>
  <c r="S405" i="6"/>
  <c r="S69" i="6"/>
  <c r="S488" i="6"/>
  <c r="S124" i="6"/>
  <c r="S431" i="6"/>
  <c r="S137" i="6"/>
  <c r="S440" i="6"/>
  <c r="S107" i="6"/>
  <c r="S379" i="6"/>
  <c r="S326" i="6"/>
  <c r="S750" i="6"/>
  <c r="S715" i="6"/>
  <c r="S85" i="6"/>
  <c r="S455" i="6"/>
  <c r="S477" i="6"/>
  <c r="S759" i="6"/>
  <c r="S344" i="6"/>
  <c r="S730" i="6"/>
  <c r="S140" i="6"/>
  <c r="S682" i="6"/>
  <c r="S430" i="6"/>
  <c r="S383" i="6"/>
  <c r="S170" i="6"/>
  <c r="S62" i="6"/>
  <c r="S81" i="6"/>
  <c r="S352" i="6"/>
  <c r="S46" i="6"/>
  <c r="S717" i="6"/>
  <c r="S177" i="6"/>
  <c r="S779" i="6"/>
  <c r="S742" i="6"/>
  <c r="S347" i="6"/>
  <c r="S632" i="6"/>
  <c r="S61" i="6"/>
  <c r="S570" i="6"/>
  <c r="S408" i="6"/>
  <c r="S694" i="6"/>
  <c r="S471" i="6"/>
  <c r="S286" i="6"/>
  <c r="S173" i="6"/>
  <c r="S458" i="6"/>
  <c r="S284" i="6"/>
  <c r="S593" i="6"/>
  <c r="S487" i="6"/>
  <c r="S350" i="6"/>
  <c r="S607" i="6"/>
  <c r="S86" i="6"/>
  <c r="S436" i="6"/>
  <c r="S578" i="6"/>
  <c r="S723" i="6"/>
  <c r="S516" i="6"/>
  <c r="S797" i="6"/>
  <c r="S355" i="6"/>
  <c r="S583" i="6"/>
  <c r="S716" i="6"/>
  <c r="S163" i="6"/>
  <c r="S95" i="6"/>
  <c r="S641" i="6"/>
  <c r="S468" i="6"/>
  <c r="S392" i="6"/>
  <c r="S648" i="6"/>
  <c r="S465" i="6"/>
  <c r="S60" i="6"/>
  <c r="S373" i="6"/>
  <c r="S403" i="6"/>
  <c r="S360" i="6"/>
  <c r="S736" i="6"/>
  <c r="S484" i="6"/>
  <c r="S363" i="6"/>
  <c r="S186" i="6"/>
  <c r="S178" i="6"/>
  <c r="S579" i="6"/>
  <c r="S595" i="6"/>
  <c r="S367" i="6"/>
  <c r="S550" i="6"/>
  <c r="S235" i="6"/>
  <c r="S663" i="6"/>
  <c r="S47" i="6"/>
  <c r="S768" i="6"/>
  <c r="S52" i="6"/>
  <c r="S452" i="6"/>
  <c r="S546" i="6"/>
  <c r="S794" i="6"/>
  <c r="S479" i="6"/>
  <c r="S497" i="6"/>
  <c r="S132" i="6"/>
  <c r="S171" i="6"/>
  <c r="S525" i="6"/>
  <c r="S278" i="6"/>
  <c r="S321" i="6"/>
  <c r="S561" i="6"/>
  <c r="S380" i="6"/>
  <c r="S557" i="6"/>
  <c r="S623" i="6"/>
  <c r="S83" i="6"/>
  <c r="S395" i="6"/>
  <c r="S746" i="6"/>
  <c r="S104" i="6"/>
  <c r="S559" i="6"/>
  <c r="S504" i="6"/>
  <c r="S184" i="6"/>
  <c r="S655" i="6"/>
  <c r="S433" i="6"/>
  <c r="S494" i="6"/>
  <c r="S341" i="6"/>
  <c r="S775" i="6"/>
  <c r="S368" i="6"/>
  <c r="S657" i="6"/>
  <c r="S152" i="6"/>
  <c r="S564" i="6"/>
  <c r="S594" i="6"/>
  <c r="S551" i="6"/>
  <c r="S783" i="6"/>
  <c r="S232" i="6"/>
  <c r="S703" i="6"/>
  <c r="S58" i="6"/>
  <c r="S50" i="6"/>
  <c r="S486" i="6"/>
  <c r="S587" i="6"/>
  <c r="S257" i="6"/>
  <c r="S685" i="6"/>
  <c r="S728" i="6"/>
  <c r="S229" i="6"/>
  <c r="S644" i="6"/>
  <c r="S738" i="6"/>
  <c r="S439" i="6"/>
  <c r="S671" i="6"/>
  <c r="S190" i="6"/>
  <c r="S626" i="6"/>
  <c r="S418" i="6"/>
  <c r="S67" i="6"/>
  <c r="S89" i="6"/>
  <c r="S719" i="6"/>
  <c r="S510" i="6"/>
  <c r="S375" i="6"/>
  <c r="S643" i="6"/>
  <c r="S323" i="6"/>
  <c r="S520" i="6"/>
  <c r="S43" i="6"/>
  <c r="S650" i="6"/>
  <c r="S168" i="6"/>
  <c r="S596" i="6"/>
  <c r="S155" i="6"/>
  <c r="S116" i="6"/>
  <c r="S722" i="6"/>
  <c r="S442" i="6"/>
  <c r="S447" i="6"/>
  <c r="S314" i="6"/>
  <c r="S226" i="6"/>
  <c r="S538" i="6"/>
  <c r="S334" i="6"/>
  <c r="S690" i="6"/>
  <c r="S70" i="6"/>
  <c r="S495" i="6"/>
  <c r="S744" i="6"/>
  <c r="S111" i="6"/>
  <c r="S291" i="6"/>
  <c r="S567" i="6"/>
  <c r="S174" i="6"/>
  <c r="S769" i="6"/>
  <c r="S172" i="6"/>
  <c r="S680" i="6"/>
  <c r="S76" i="6"/>
  <c r="S204" i="6"/>
  <c r="S653" i="6"/>
  <c r="S142" i="6"/>
  <c r="S634" i="6"/>
  <c r="S68" i="6"/>
  <c r="S659" i="6"/>
  <c r="S246" i="6"/>
  <c r="S445" i="6"/>
  <c r="S562" i="6"/>
  <c r="S733" i="6"/>
  <c r="S294" i="6"/>
  <c r="S223" i="6"/>
  <c r="S110" i="6"/>
  <c r="S500" i="6"/>
  <c r="S770" i="6"/>
  <c r="S548" i="6"/>
  <c r="S609" i="6"/>
  <c r="S752" i="6"/>
  <c r="S498" i="6"/>
  <c r="S145" i="6"/>
  <c r="S400" i="6"/>
  <c r="S149" i="6"/>
  <c r="S545" i="6"/>
  <c r="S133" i="6"/>
  <c r="S39" i="6"/>
  <c r="S527" i="6"/>
  <c r="S689" i="6"/>
  <c r="S446" i="6"/>
  <c r="S423" i="6"/>
  <c r="S660" i="6"/>
  <c r="S88" i="6"/>
  <c r="S482" i="6"/>
  <c r="S416" i="6"/>
  <c r="S647" i="6"/>
  <c r="S781" i="6"/>
  <c r="S467" i="6"/>
  <c r="S396" i="6"/>
  <c r="S298" i="6"/>
  <c r="S566" i="6"/>
  <c r="S605" i="6"/>
  <c r="S134" i="6"/>
  <c r="S519" i="6"/>
  <c r="S461" i="6"/>
  <c r="S612" i="6"/>
  <c r="S637" i="6"/>
  <c r="S94" i="6"/>
  <c r="S112" i="6"/>
  <c r="S371" i="6"/>
  <c r="S398" i="6"/>
  <c r="S760" i="6"/>
  <c r="S339" i="6"/>
  <c r="S370" i="6"/>
  <c r="S574" i="6"/>
  <c r="S388" i="6"/>
  <c r="S763" i="6"/>
  <c r="S305" i="6"/>
  <c r="S354" i="6"/>
  <c r="S55" i="6"/>
  <c r="S266" i="6"/>
  <c r="S749" i="6"/>
  <c r="S316" i="6"/>
  <c r="S762" i="6"/>
  <c r="S359" i="6"/>
  <c r="S310" i="6"/>
  <c r="S776" i="6"/>
  <c r="S185" i="6"/>
  <c r="S332" i="6"/>
  <c r="S698" i="6"/>
  <c r="S787" i="6"/>
  <c r="S754" i="6"/>
  <c r="S584" i="6"/>
  <c r="S589" i="6"/>
  <c r="S78" i="6"/>
  <c r="S275" i="6"/>
  <c r="S245" i="6"/>
  <c r="S558" i="6"/>
  <c r="S404" i="6"/>
  <c r="S306" i="6"/>
  <c r="S699" i="6"/>
  <c r="S205" i="6"/>
  <c r="S669" i="6"/>
  <c r="S222" i="6"/>
  <c r="S573" i="6"/>
  <c r="S214" i="6"/>
  <c r="S273" i="6"/>
  <c r="S125" i="6"/>
  <c r="S724" i="6"/>
  <c r="S740" i="6"/>
  <c r="S459" i="6"/>
  <c r="S711" i="6"/>
  <c r="S158" i="6"/>
  <c r="S664" i="6"/>
  <c r="S277" i="6"/>
  <c r="S679" i="6"/>
  <c r="S3" i="6"/>
  <c r="S707" i="6"/>
  <c r="S618" i="6"/>
  <c r="S571" i="6"/>
  <c r="S678" i="6"/>
  <c r="S586" i="6"/>
  <c r="S325" i="6"/>
  <c r="S577" i="6"/>
  <c r="S131" i="6"/>
  <c r="S552" i="6"/>
  <c r="S300" i="6"/>
  <c r="S297" i="6"/>
  <c r="S556" i="6"/>
  <c r="S597" i="6"/>
  <c r="S144" i="6"/>
  <c r="S469" i="6"/>
  <c r="S233" i="6"/>
  <c r="S237" i="6"/>
  <c r="S201" i="6"/>
  <c r="S757" i="6"/>
  <c r="S342" i="6"/>
  <c r="S7" i="6"/>
  <c r="S79" i="6"/>
  <c r="S169" i="6"/>
  <c r="S620" i="6"/>
  <c r="S505" i="6"/>
  <c r="S773" i="6"/>
  <c r="S565" i="6"/>
  <c r="S501" i="6"/>
  <c r="S636" i="6"/>
  <c r="S362" i="6"/>
  <c r="S187" i="6"/>
  <c r="S677" i="6"/>
  <c r="S93" i="6"/>
  <c r="S353" i="6"/>
  <c r="S57" i="6"/>
  <c r="S385" i="6"/>
  <c r="S649" i="6"/>
  <c r="S569" i="6"/>
  <c r="S115" i="6"/>
  <c r="S96" i="6"/>
  <c r="S688" i="6"/>
  <c r="S265" i="6"/>
  <c r="S496" i="6"/>
  <c r="S320" i="6"/>
  <c r="S113" i="6"/>
  <c r="S281" i="6"/>
  <c r="S489" i="6"/>
  <c r="S425" i="6"/>
  <c r="S422" i="6"/>
  <c r="S175" i="6"/>
  <c r="S672" i="6"/>
  <c r="S745" i="6"/>
  <c r="S101" i="6"/>
  <c r="S75" i="6"/>
  <c r="S560" i="6"/>
  <c r="S260" i="6"/>
  <c r="S156" i="6"/>
  <c r="S629" i="6"/>
  <c r="S512" i="6"/>
  <c r="S448" i="6"/>
  <c r="S508" i="6"/>
  <c r="S72" i="6"/>
  <c r="S661" i="6"/>
  <c r="S713" i="6"/>
  <c r="S428" i="6"/>
  <c r="S473" i="6"/>
  <c r="S193" i="6"/>
  <c r="S45" i="6"/>
  <c r="S272" i="6"/>
  <c r="S192" i="6"/>
  <c r="S92" i="6"/>
  <c r="S129" i="6"/>
  <c r="S374" i="6"/>
  <c r="S585" i="6"/>
  <c r="S777" i="6"/>
  <c r="S553" i="6"/>
  <c r="S59" i="6"/>
  <c r="S537" i="6"/>
  <c r="S457" i="6"/>
  <c r="S228" i="6"/>
  <c r="S613" i="6"/>
  <c r="S80" i="6"/>
  <c r="S100" i="6"/>
  <c r="S164" i="6"/>
  <c r="S121" i="6"/>
  <c r="S397" i="6"/>
  <c r="S513" i="6"/>
  <c r="S261" i="6"/>
  <c r="S189" i="6"/>
  <c r="S624" i="6"/>
  <c r="S604" i="6"/>
  <c r="S549" i="6"/>
  <c r="S65" i="6"/>
  <c r="S317" i="6"/>
  <c r="S517" i="6"/>
  <c r="S741" i="6"/>
  <c r="S668" i="6"/>
  <c r="S199" i="6"/>
  <c r="S123" i="6"/>
  <c r="S576" i="6"/>
  <c r="S709" i="6"/>
  <c r="S157" i="6"/>
  <c r="S480" i="6"/>
  <c r="S176" i="6"/>
  <c r="S51" i="6"/>
  <c r="S108" i="6"/>
  <c r="S136" i="6"/>
  <c r="S340" i="6"/>
  <c r="S313" i="6"/>
  <c r="S413" i="6"/>
  <c r="S308" i="6"/>
  <c r="S151" i="6"/>
  <c r="S127" i="6"/>
  <c r="S652" i="6"/>
  <c r="S141" i="6"/>
  <c r="S56" i="6"/>
  <c r="S681" i="6"/>
  <c r="S333" i="6"/>
  <c r="S196" i="6"/>
  <c r="S256" i="6"/>
  <c r="S633" i="6"/>
  <c r="S697" i="6"/>
  <c r="S208" i="6"/>
  <c r="S240" i="6"/>
  <c r="S464" i="6"/>
  <c r="S437" i="6"/>
  <c r="S165" i="6"/>
  <c r="S386" i="6"/>
  <c r="S616" i="6"/>
  <c r="S544" i="6"/>
  <c r="S378" i="6"/>
  <c r="S432" i="6"/>
  <c r="S301" i="6"/>
  <c r="S224" i="6"/>
  <c r="S693" i="6"/>
  <c r="S71" i="6"/>
  <c r="S63" i="6"/>
  <c r="S143" i="6"/>
  <c r="S656" i="6"/>
  <c r="S521" i="6"/>
  <c r="S410" i="6"/>
  <c r="S217" i="6"/>
  <c r="S349" i="6"/>
  <c r="S120" i="6"/>
  <c r="S789" i="6"/>
  <c r="S725" i="6"/>
  <c r="S640" i="6"/>
  <c r="S705" i="6"/>
  <c r="S533" i="6"/>
  <c r="S492" i="6"/>
  <c r="S329" i="6"/>
  <c r="S160" i="6"/>
  <c r="S394" i="6"/>
  <c r="S444" i="6"/>
  <c r="S249" i="6"/>
  <c r="S135" i="6"/>
  <c r="S441" i="6"/>
  <c r="S221" i="6"/>
  <c r="S288" i="6"/>
  <c r="S588" i="6"/>
  <c r="S53" i="6"/>
  <c r="S179" i="6"/>
  <c r="S197" i="6"/>
  <c r="S358" i="6"/>
  <c r="S608" i="6"/>
  <c r="S292" i="6"/>
  <c r="S49" i="6"/>
  <c r="S665" i="6"/>
  <c r="S215" i="6"/>
  <c r="S117" i="6"/>
  <c r="S212" i="6"/>
  <c r="S346" i="6"/>
  <c r="S77" i="6"/>
  <c r="S44" i="6"/>
  <c r="S148" i="6"/>
  <c r="S381" i="6"/>
  <c r="S528" i="6"/>
  <c r="S84" i="6"/>
  <c r="S476" i="6"/>
  <c r="S167" i="6"/>
  <c r="S617" i="6"/>
  <c r="S105" i="6"/>
  <c r="S336" i="6"/>
  <c r="S581" i="6"/>
  <c r="S572" i="6"/>
  <c r="S369" i="6"/>
  <c r="S99" i="6"/>
  <c r="S406" i="6"/>
  <c r="S401" i="6"/>
  <c r="S524" i="6"/>
  <c r="S684" i="6"/>
  <c r="S540" i="6"/>
  <c r="S244" i="6"/>
  <c r="S390" i="6"/>
  <c r="S761" i="6"/>
  <c r="S139" i="6"/>
  <c r="S601" i="6"/>
  <c r="S453" i="6"/>
  <c r="S285" i="6"/>
  <c r="S592" i="6"/>
  <c r="S460" i="6"/>
  <c r="S269" i="6"/>
  <c r="S324" i="6"/>
  <c r="S161" i="6"/>
  <c r="S417" i="6"/>
  <c r="S485" i="6"/>
  <c r="S276" i="6"/>
  <c r="S729" i="6"/>
  <c r="S253" i="6"/>
  <c r="S793" i="6"/>
  <c r="S645" i="6"/>
  <c r="S87" i="6"/>
  <c r="S304" i="6"/>
  <c r="S180" i="6"/>
  <c r="S365" i="6"/>
</calcChain>
</file>

<file path=xl/sharedStrings.xml><?xml version="1.0" encoding="utf-8"?>
<sst xmlns="http://schemas.openxmlformats.org/spreadsheetml/2006/main" count="45" uniqueCount="20">
  <si>
    <t>Z</t>
  </si>
  <si>
    <t>f(z)</t>
  </si>
  <si>
    <t>Ф(z)</t>
  </si>
  <si>
    <t>Плотность</t>
  </si>
  <si>
    <t>График плотности</t>
  </si>
  <si>
    <t>Точка</t>
  </si>
  <si>
    <t>P(|Z|&lt;z)</t>
  </si>
  <si>
    <t>2Ф(z)-1</t>
  </si>
  <si>
    <t>γ</t>
  </si>
  <si>
    <r>
      <t>Ф</t>
    </r>
    <r>
      <rPr>
        <b/>
        <i/>
        <vertAlign val="superscript"/>
        <sz val="11"/>
        <color theme="1"/>
        <rFont val="Calibri"/>
        <family val="2"/>
        <charset val="204"/>
        <scheme val="minor"/>
      </rPr>
      <t>-1</t>
    </r>
    <r>
      <rPr>
        <b/>
        <i/>
        <sz val="11"/>
        <color theme="1"/>
        <rFont val="Calibri"/>
        <family val="2"/>
        <charset val="204"/>
        <scheme val="minor"/>
      </rPr>
      <t>((1+</t>
    </r>
    <r>
      <rPr>
        <b/>
        <sz val="11"/>
        <color theme="1"/>
        <rFont val="Calibri"/>
        <family val="2"/>
        <charset val="204"/>
      </rPr>
      <t>γ</t>
    </r>
    <r>
      <rPr>
        <b/>
        <i/>
        <sz val="11"/>
        <color theme="1"/>
        <rFont val="Calibri"/>
        <family val="2"/>
        <charset val="204"/>
      </rPr>
      <t>)/2</t>
    </r>
    <r>
      <rPr>
        <b/>
        <i/>
        <sz val="11"/>
        <color theme="1"/>
        <rFont val="Calibri"/>
        <family val="2"/>
        <charset val="204"/>
        <scheme val="minor"/>
      </rPr>
      <t>)</t>
    </r>
  </si>
  <si>
    <t>Подписи</t>
  </si>
  <si>
    <t>Площадь</t>
  </si>
  <si>
    <t>z</t>
  </si>
  <si>
    <t>Точки на графике</t>
  </si>
  <si>
    <t>функция</t>
  </si>
  <si>
    <t>F(z)</t>
  </si>
  <si>
    <r>
      <t>Ф</t>
    </r>
    <r>
      <rPr>
        <b/>
        <i/>
        <vertAlign val="superscript"/>
        <sz val="11"/>
        <color theme="1"/>
        <rFont val="Calibri"/>
        <family val="2"/>
        <charset val="204"/>
        <scheme val="minor"/>
      </rPr>
      <t>-1</t>
    </r>
    <r>
      <rPr>
        <b/>
        <i/>
        <sz val="11"/>
        <color theme="1"/>
        <rFont val="Calibri"/>
        <family val="2"/>
        <charset val="204"/>
        <scheme val="minor"/>
      </rPr>
      <t>(P)</t>
    </r>
  </si>
  <si>
    <t>P</t>
  </si>
  <si>
    <t>обратное значение стандартного нормального распределения</t>
  </si>
  <si>
    <t>НОРМ.СТ.ОБР(вероятность)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</si>
</sst>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р_._-;\-* #,##0.00\ _р_._-;_-* &quot;-&quot;??\ _р_._-;_-@_-"/>
  </numFmts>
  <fonts count="10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i/>
      <sz val="11"/>
      <color theme="1"/>
      <name val="Calibri"/>
      <family val="2"/>
      <charset val="204"/>
    </font>
    <font>
      <b/>
      <i/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4"/>
      <name val="Calibri"/>
      <family val="2"/>
      <charset val="204"/>
      <scheme val="minor"/>
    </font>
    <font>
      <b/>
      <i/>
      <sz val="14"/>
      <color rgb="FF0070C0"/>
      <name val="Calibri"/>
      <family val="2"/>
      <charset val="204"/>
      <scheme val="minor"/>
    </font>
    <font>
      <b/>
      <sz val="14"/>
      <color rgb="FF0070C0"/>
      <name val="Calibri"/>
      <family val="2"/>
      <charset val="204"/>
      <scheme val="minor"/>
    </font>
    <font>
      <b/>
      <sz val="12"/>
      <color rgb="FF0070C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NumberFormat="1" applyBorder="1"/>
    <xf numFmtId="2" fontId="0" fillId="0" borderId="1" xfId="1" applyNumberFormat="1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mruColors>
      <color rgb="FFB8CDE8"/>
      <color rgb="FF97B9E0"/>
      <color rgb="FF97B8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Лист1!$Y$2</c:f>
              <c:strCache>
                <c:ptCount val="1"/>
                <c:pt idx="0">
                  <c:v>F(z)</c:v>
                </c:pt>
              </c:strCache>
              <c:extLst xmlns:c15="http://schemas.microsoft.com/office/drawing/2012/chart"/>
            </c:strRef>
          </c:tx>
          <c:spPr>
            <a:solidFill>
              <a:srgbClr val="B8CDE8"/>
            </a:solidFill>
            <a:ln>
              <a:noFill/>
            </a:ln>
            <a:effectLst/>
          </c:spPr>
          <c:cat>
            <c:numRef>
              <c:f>Лист1!$V$3:$V$803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  <c:extLst xmlns:c15="http://schemas.microsoft.com/office/drawing/2012/chart"/>
            </c:numRef>
          </c:cat>
          <c:val>
            <c:numRef>
              <c:f>Лист1!$Y$3:$Y$803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CD9-45B5-B76A-036A086D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51960"/>
        <c:axId val="658052944"/>
        <c:extLst>
          <c:ext xmlns:c15="http://schemas.microsoft.com/office/drawing/2012/chart" uri="{02D57815-91ED-43cb-92C2-25804820EDAC}">
            <c15:filteredAreaSeries>
              <c15:ser>
                <c:idx val="3"/>
                <c:order val="3"/>
                <c:tx>
                  <c:v>Отклонение</c:v>
                </c:tx>
                <c:spPr>
                  <a:solidFill>
                    <a:schemeClr val="accent1">
                      <a:tint val="58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Лист1!$V$3:$V$803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-4</c:v>
                      </c:pt>
                      <c:pt idx="1">
                        <c:v>-3.99</c:v>
                      </c:pt>
                      <c:pt idx="2">
                        <c:v>-3.98</c:v>
                      </c:pt>
                      <c:pt idx="3">
                        <c:v>-3.97</c:v>
                      </c:pt>
                      <c:pt idx="4">
                        <c:v>-3.96</c:v>
                      </c:pt>
                      <c:pt idx="5">
                        <c:v>-3.95</c:v>
                      </c:pt>
                      <c:pt idx="6">
                        <c:v>-3.94</c:v>
                      </c:pt>
                      <c:pt idx="7">
                        <c:v>-3.93</c:v>
                      </c:pt>
                      <c:pt idx="8">
                        <c:v>-3.92</c:v>
                      </c:pt>
                      <c:pt idx="9">
                        <c:v>-3.91</c:v>
                      </c:pt>
                      <c:pt idx="10">
                        <c:v>-3.9</c:v>
                      </c:pt>
                      <c:pt idx="11">
                        <c:v>-3.89</c:v>
                      </c:pt>
                      <c:pt idx="12">
                        <c:v>-3.88</c:v>
                      </c:pt>
                      <c:pt idx="13">
                        <c:v>-3.87</c:v>
                      </c:pt>
                      <c:pt idx="14">
                        <c:v>-3.86</c:v>
                      </c:pt>
                      <c:pt idx="15">
                        <c:v>-3.85</c:v>
                      </c:pt>
                      <c:pt idx="16">
                        <c:v>-3.84</c:v>
                      </c:pt>
                      <c:pt idx="17">
                        <c:v>-3.83</c:v>
                      </c:pt>
                      <c:pt idx="18">
                        <c:v>-3.82</c:v>
                      </c:pt>
                      <c:pt idx="19">
                        <c:v>-3.81</c:v>
                      </c:pt>
                      <c:pt idx="20">
                        <c:v>-3.8</c:v>
                      </c:pt>
                      <c:pt idx="21">
                        <c:v>-3.79</c:v>
                      </c:pt>
                      <c:pt idx="22">
                        <c:v>-3.78</c:v>
                      </c:pt>
                      <c:pt idx="23">
                        <c:v>-3.77</c:v>
                      </c:pt>
                      <c:pt idx="24">
                        <c:v>-3.76</c:v>
                      </c:pt>
                      <c:pt idx="25">
                        <c:v>-3.75</c:v>
                      </c:pt>
                      <c:pt idx="26">
                        <c:v>-3.74</c:v>
                      </c:pt>
                      <c:pt idx="27">
                        <c:v>-3.73</c:v>
                      </c:pt>
                      <c:pt idx="28">
                        <c:v>-3.72</c:v>
                      </c:pt>
                      <c:pt idx="29">
                        <c:v>-3.71</c:v>
                      </c:pt>
                      <c:pt idx="30">
                        <c:v>-3.7</c:v>
                      </c:pt>
                      <c:pt idx="31">
                        <c:v>-3.69</c:v>
                      </c:pt>
                      <c:pt idx="32">
                        <c:v>-3.68</c:v>
                      </c:pt>
                      <c:pt idx="33">
                        <c:v>-3.67</c:v>
                      </c:pt>
                      <c:pt idx="34">
                        <c:v>-3.66</c:v>
                      </c:pt>
                      <c:pt idx="35">
                        <c:v>-3.65</c:v>
                      </c:pt>
                      <c:pt idx="36">
                        <c:v>-3.64</c:v>
                      </c:pt>
                      <c:pt idx="37">
                        <c:v>-3.63</c:v>
                      </c:pt>
                      <c:pt idx="38">
                        <c:v>-3.62</c:v>
                      </c:pt>
                      <c:pt idx="39">
                        <c:v>-3.61</c:v>
                      </c:pt>
                      <c:pt idx="40">
                        <c:v>-3.6</c:v>
                      </c:pt>
                      <c:pt idx="41">
                        <c:v>-3.59</c:v>
                      </c:pt>
                      <c:pt idx="42">
                        <c:v>-3.58</c:v>
                      </c:pt>
                      <c:pt idx="43">
                        <c:v>-3.57</c:v>
                      </c:pt>
                      <c:pt idx="44">
                        <c:v>-3.56</c:v>
                      </c:pt>
                      <c:pt idx="45">
                        <c:v>-3.55</c:v>
                      </c:pt>
                      <c:pt idx="46">
                        <c:v>-3.54</c:v>
                      </c:pt>
                      <c:pt idx="47">
                        <c:v>-3.53</c:v>
                      </c:pt>
                      <c:pt idx="48">
                        <c:v>-3.52</c:v>
                      </c:pt>
                      <c:pt idx="49">
                        <c:v>-3.51</c:v>
                      </c:pt>
                      <c:pt idx="50">
                        <c:v>-3.5</c:v>
                      </c:pt>
                      <c:pt idx="51">
                        <c:v>-3.49</c:v>
                      </c:pt>
                      <c:pt idx="52">
                        <c:v>-3.48</c:v>
                      </c:pt>
                      <c:pt idx="53">
                        <c:v>-3.47</c:v>
                      </c:pt>
                      <c:pt idx="54">
                        <c:v>-3.46</c:v>
                      </c:pt>
                      <c:pt idx="55">
                        <c:v>-3.45</c:v>
                      </c:pt>
                      <c:pt idx="56">
                        <c:v>-3.44</c:v>
                      </c:pt>
                      <c:pt idx="57">
                        <c:v>-3.43</c:v>
                      </c:pt>
                      <c:pt idx="58">
                        <c:v>-3.42</c:v>
                      </c:pt>
                      <c:pt idx="59">
                        <c:v>-3.41</c:v>
                      </c:pt>
                      <c:pt idx="60">
                        <c:v>-3.4</c:v>
                      </c:pt>
                      <c:pt idx="61">
                        <c:v>-3.39</c:v>
                      </c:pt>
                      <c:pt idx="62">
                        <c:v>-3.38</c:v>
                      </c:pt>
                      <c:pt idx="63">
                        <c:v>-3.37</c:v>
                      </c:pt>
                      <c:pt idx="64">
                        <c:v>-3.36</c:v>
                      </c:pt>
                      <c:pt idx="65">
                        <c:v>-3.35</c:v>
                      </c:pt>
                      <c:pt idx="66">
                        <c:v>-3.34</c:v>
                      </c:pt>
                      <c:pt idx="67">
                        <c:v>-3.33</c:v>
                      </c:pt>
                      <c:pt idx="68">
                        <c:v>-3.32</c:v>
                      </c:pt>
                      <c:pt idx="69">
                        <c:v>-3.31</c:v>
                      </c:pt>
                      <c:pt idx="70">
                        <c:v>-3.3</c:v>
                      </c:pt>
                      <c:pt idx="71">
                        <c:v>-3.29</c:v>
                      </c:pt>
                      <c:pt idx="72">
                        <c:v>-3.28</c:v>
                      </c:pt>
                      <c:pt idx="73">
                        <c:v>-3.27</c:v>
                      </c:pt>
                      <c:pt idx="74">
                        <c:v>-3.26</c:v>
                      </c:pt>
                      <c:pt idx="75">
                        <c:v>-3.25</c:v>
                      </c:pt>
                      <c:pt idx="76">
                        <c:v>-3.24</c:v>
                      </c:pt>
                      <c:pt idx="77">
                        <c:v>-3.23</c:v>
                      </c:pt>
                      <c:pt idx="78">
                        <c:v>-3.22</c:v>
                      </c:pt>
                      <c:pt idx="79">
                        <c:v>-3.21</c:v>
                      </c:pt>
                      <c:pt idx="80">
                        <c:v>-3.2</c:v>
                      </c:pt>
                      <c:pt idx="81">
                        <c:v>-3.19</c:v>
                      </c:pt>
                      <c:pt idx="82">
                        <c:v>-3.18</c:v>
                      </c:pt>
                      <c:pt idx="83">
                        <c:v>-3.17</c:v>
                      </c:pt>
                      <c:pt idx="84">
                        <c:v>-3.16</c:v>
                      </c:pt>
                      <c:pt idx="85">
                        <c:v>-3.15</c:v>
                      </c:pt>
                      <c:pt idx="86">
                        <c:v>-3.14</c:v>
                      </c:pt>
                      <c:pt idx="87">
                        <c:v>-3.13</c:v>
                      </c:pt>
                      <c:pt idx="88">
                        <c:v>-3.12</c:v>
                      </c:pt>
                      <c:pt idx="89">
                        <c:v>-3.11</c:v>
                      </c:pt>
                      <c:pt idx="90">
                        <c:v>-3.1</c:v>
                      </c:pt>
                      <c:pt idx="91">
                        <c:v>-3.09</c:v>
                      </c:pt>
                      <c:pt idx="92">
                        <c:v>-3.08</c:v>
                      </c:pt>
                      <c:pt idx="93">
                        <c:v>-3.07</c:v>
                      </c:pt>
                      <c:pt idx="94">
                        <c:v>-3.06</c:v>
                      </c:pt>
                      <c:pt idx="95">
                        <c:v>-3.05</c:v>
                      </c:pt>
                      <c:pt idx="96">
                        <c:v>-3.04</c:v>
                      </c:pt>
                      <c:pt idx="97">
                        <c:v>-3.03</c:v>
                      </c:pt>
                      <c:pt idx="98">
                        <c:v>-3.02</c:v>
                      </c:pt>
                      <c:pt idx="99">
                        <c:v>-3.01</c:v>
                      </c:pt>
                      <c:pt idx="100">
                        <c:v>-3</c:v>
                      </c:pt>
                      <c:pt idx="101">
                        <c:v>-2.99</c:v>
                      </c:pt>
                      <c:pt idx="102">
                        <c:v>-2.98</c:v>
                      </c:pt>
                      <c:pt idx="103">
                        <c:v>-2.97</c:v>
                      </c:pt>
                      <c:pt idx="104">
                        <c:v>-2.96</c:v>
                      </c:pt>
                      <c:pt idx="105">
                        <c:v>-2.95</c:v>
                      </c:pt>
                      <c:pt idx="106">
                        <c:v>-2.94</c:v>
                      </c:pt>
                      <c:pt idx="107">
                        <c:v>-2.93</c:v>
                      </c:pt>
                      <c:pt idx="108">
                        <c:v>-2.92</c:v>
                      </c:pt>
                      <c:pt idx="109">
                        <c:v>-2.91</c:v>
                      </c:pt>
                      <c:pt idx="110">
                        <c:v>-2.9</c:v>
                      </c:pt>
                      <c:pt idx="111">
                        <c:v>-2.89</c:v>
                      </c:pt>
                      <c:pt idx="112">
                        <c:v>-2.88</c:v>
                      </c:pt>
                      <c:pt idx="113">
                        <c:v>-2.87</c:v>
                      </c:pt>
                      <c:pt idx="114">
                        <c:v>-2.86</c:v>
                      </c:pt>
                      <c:pt idx="115">
                        <c:v>-2.85</c:v>
                      </c:pt>
                      <c:pt idx="116">
                        <c:v>-2.84</c:v>
                      </c:pt>
                      <c:pt idx="117">
                        <c:v>-2.83</c:v>
                      </c:pt>
                      <c:pt idx="118">
                        <c:v>-2.82</c:v>
                      </c:pt>
                      <c:pt idx="119">
                        <c:v>-2.81</c:v>
                      </c:pt>
                      <c:pt idx="120">
                        <c:v>-2.8</c:v>
                      </c:pt>
                      <c:pt idx="121">
                        <c:v>-2.79</c:v>
                      </c:pt>
                      <c:pt idx="122">
                        <c:v>-2.78</c:v>
                      </c:pt>
                      <c:pt idx="123">
                        <c:v>-2.77</c:v>
                      </c:pt>
                      <c:pt idx="124">
                        <c:v>-2.76</c:v>
                      </c:pt>
                      <c:pt idx="125">
                        <c:v>-2.75</c:v>
                      </c:pt>
                      <c:pt idx="126">
                        <c:v>-2.74</c:v>
                      </c:pt>
                      <c:pt idx="127">
                        <c:v>-2.73</c:v>
                      </c:pt>
                      <c:pt idx="128">
                        <c:v>-2.72</c:v>
                      </c:pt>
                      <c:pt idx="129">
                        <c:v>-2.71</c:v>
                      </c:pt>
                      <c:pt idx="130">
                        <c:v>-2.7</c:v>
                      </c:pt>
                      <c:pt idx="131">
                        <c:v>-2.69</c:v>
                      </c:pt>
                      <c:pt idx="132">
                        <c:v>-2.68</c:v>
                      </c:pt>
                      <c:pt idx="133">
                        <c:v>-2.67</c:v>
                      </c:pt>
                      <c:pt idx="134">
                        <c:v>-2.66</c:v>
                      </c:pt>
                      <c:pt idx="135">
                        <c:v>-2.65</c:v>
                      </c:pt>
                      <c:pt idx="136">
                        <c:v>-2.64</c:v>
                      </c:pt>
                      <c:pt idx="137">
                        <c:v>-2.63</c:v>
                      </c:pt>
                      <c:pt idx="138">
                        <c:v>-2.62</c:v>
                      </c:pt>
                      <c:pt idx="139">
                        <c:v>-2.61</c:v>
                      </c:pt>
                      <c:pt idx="140">
                        <c:v>-2.6</c:v>
                      </c:pt>
                      <c:pt idx="141">
                        <c:v>-2.59</c:v>
                      </c:pt>
                      <c:pt idx="142">
                        <c:v>-2.58</c:v>
                      </c:pt>
                      <c:pt idx="143">
                        <c:v>-2.57</c:v>
                      </c:pt>
                      <c:pt idx="144">
                        <c:v>-2.56</c:v>
                      </c:pt>
                      <c:pt idx="145">
                        <c:v>-2.5499999999999998</c:v>
                      </c:pt>
                      <c:pt idx="146">
                        <c:v>-2.54</c:v>
                      </c:pt>
                      <c:pt idx="147">
                        <c:v>-2.5299999999999998</c:v>
                      </c:pt>
                      <c:pt idx="148">
                        <c:v>-2.52</c:v>
                      </c:pt>
                      <c:pt idx="149">
                        <c:v>-2.5099999999999998</c:v>
                      </c:pt>
                      <c:pt idx="150">
                        <c:v>-2.5</c:v>
                      </c:pt>
                      <c:pt idx="151">
                        <c:v>-2.4900000000000002</c:v>
                      </c:pt>
                      <c:pt idx="152">
                        <c:v>-2.48</c:v>
                      </c:pt>
                      <c:pt idx="153">
                        <c:v>-2.4700000000000002</c:v>
                      </c:pt>
                      <c:pt idx="154">
                        <c:v>-2.46</c:v>
                      </c:pt>
                      <c:pt idx="155">
                        <c:v>-2.4500000000000002</c:v>
                      </c:pt>
                      <c:pt idx="156">
                        <c:v>-2.44</c:v>
                      </c:pt>
                      <c:pt idx="157">
                        <c:v>-2.4300000000000002</c:v>
                      </c:pt>
                      <c:pt idx="158">
                        <c:v>-2.42</c:v>
                      </c:pt>
                      <c:pt idx="159">
                        <c:v>-2.41</c:v>
                      </c:pt>
                      <c:pt idx="160">
                        <c:v>-2.4</c:v>
                      </c:pt>
                      <c:pt idx="161">
                        <c:v>-2.39</c:v>
                      </c:pt>
                      <c:pt idx="162">
                        <c:v>-2.38</c:v>
                      </c:pt>
                      <c:pt idx="163">
                        <c:v>-2.37</c:v>
                      </c:pt>
                      <c:pt idx="164">
                        <c:v>-2.36</c:v>
                      </c:pt>
                      <c:pt idx="165">
                        <c:v>-2.35</c:v>
                      </c:pt>
                      <c:pt idx="166">
                        <c:v>-2.34</c:v>
                      </c:pt>
                      <c:pt idx="167">
                        <c:v>-2.33</c:v>
                      </c:pt>
                      <c:pt idx="168">
                        <c:v>-2.3199999999999998</c:v>
                      </c:pt>
                      <c:pt idx="169">
                        <c:v>-2.31</c:v>
                      </c:pt>
                      <c:pt idx="170">
                        <c:v>-2.2999999999999998</c:v>
                      </c:pt>
                      <c:pt idx="171">
                        <c:v>-2.29</c:v>
                      </c:pt>
                      <c:pt idx="172">
                        <c:v>-2.2799999999999998</c:v>
                      </c:pt>
                      <c:pt idx="173">
                        <c:v>-2.27</c:v>
                      </c:pt>
                      <c:pt idx="174">
                        <c:v>-2.2599999999999998</c:v>
                      </c:pt>
                      <c:pt idx="175">
                        <c:v>-2.25</c:v>
                      </c:pt>
                      <c:pt idx="176">
                        <c:v>-2.2400000000000002</c:v>
                      </c:pt>
                      <c:pt idx="177">
                        <c:v>-2.23</c:v>
                      </c:pt>
                      <c:pt idx="178">
                        <c:v>-2.2200000000000002</c:v>
                      </c:pt>
                      <c:pt idx="179">
                        <c:v>-2.21</c:v>
                      </c:pt>
                      <c:pt idx="180">
                        <c:v>-2.2000000000000002</c:v>
                      </c:pt>
                      <c:pt idx="181">
                        <c:v>-2.19</c:v>
                      </c:pt>
                      <c:pt idx="182">
                        <c:v>-2.1800000000000002</c:v>
                      </c:pt>
                      <c:pt idx="183">
                        <c:v>-2.17</c:v>
                      </c:pt>
                      <c:pt idx="184">
                        <c:v>-2.16</c:v>
                      </c:pt>
                      <c:pt idx="185">
                        <c:v>-2.15</c:v>
                      </c:pt>
                      <c:pt idx="186">
                        <c:v>-2.14</c:v>
                      </c:pt>
                      <c:pt idx="187">
                        <c:v>-2.13</c:v>
                      </c:pt>
                      <c:pt idx="188">
                        <c:v>-2.12</c:v>
                      </c:pt>
                      <c:pt idx="189">
                        <c:v>-2.11</c:v>
                      </c:pt>
                      <c:pt idx="190">
                        <c:v>-2.1</c:v>
                      </c:pt>
                      <c:pt idx="191">
                        <c:v>-2.09</c:v>
                      </c:pt>
                      <c:pt idx="192">
                        <c:v>-2.08</c:v>
                      </c:pt>
                      <c:pt idx="193">
                        <c:v>-2.0699999999999998</c:v>
                      </c:pt>
                      <c:pt idx="194">
                        <c:v>-2.06</c:v>
                      </c:pt>
                      <c:pt idx="195">
                        <c:v>-2.0499999999999998</c:v>
                      </c:pt>
                      <c:pt idx="196">
                        <c:v>-2.04</c:v>
                      </c:pt>
                      <c:pt idx="197">
                        <c:v>-2.0299999999999998</c:v>
                      </c:pt>
                      <c:pt idx="198">
                        <c:v>-2.02</c:v>
                      </c:pt>
                      <c:pt idx="199">
                        <c:v>-2.0099999999999998</c:v>
                      </c:pt>
                      <c:pt idx="200">
                        <c:v>-2</c:v>
                      </c:pt>
                      <c:pt idx="201">
                        <c:v>-1.99</c:v>
                      </c:pt>
                      <c:pt idx="202">
                        <c:v>-1.98</c:v>
                      </c:pt>
                      <c:pt idx="203">
                        <c:v>-1.97</c:v>
                      </c:pt>
                      <c:pt idx="204">
                        <c:v>-1.96</c:v>
                      </c:pt>
                      <c:pt idx="205">
                        <c:v>-1.95</c:v>
                      </c:pt>
                      <c:pt idx="206">
                        <c:v>-1.94</c:v>
                      </c:pt>
                      <c:pt idx="207">
                        <c:v>-1.93</c:v>
                      </c:pt>
                      <c:pt idx="208">
                        <c:v>-1.92</c:v>
                      </c:pt>
                      <c:pt idx="209">
                        <c:v>-1.91</c:v>
                      </c:pt>
                      <c:pt idx="210">
                        <c:v>-1.9</c:v>
                      </c:pt>
                      <c:pt idx="211">
                        <c:v>-1.89</c:v>
                      </c:pt>
                      <c:pt idx="212">
                        <c:v>-1.88</c:v>
                      </c:pt>
                      <c:pt idx="213">
                        <c:v>-1.87</c:v>
                      </c:pt>
                      <c:pt idx="214">
                        <c:v>-1.86</c:v>
                      </c:pt>
                      <c:pt idx="215">
                        <c:v>-1.85</c:v>
                      </c:pt>
                      <c:pt idx="216">
                        <c:v>-1.84</c:v>
                      </c:pt>
                      <c:pt idx="217">
                        <c:v>-1.83</c:v>
                      </c:pt>
                      <c:pt idx="218">
                        <c:v>-1.82</c:v>
                      </c:pt>
                      <c:pt idx="219">
                        <c:v>-1.81</c:v>
                      </c:pt>
                      <c:pt idx="220">
                        <c:v>-1.8</c:v>
                      </c:pt>
                      <c:pt idx="221">
                        <c:v>-1.79</c:v>
                      </c:pt>
                      <c:pt idx="222">
                        <c:v>-1.78</c:v>
                      </c:pt>
                      <c:pt idx="223">
                        <c:v>-1.77</c:v>
                      </c:pt>
                      <c:pt idx="224">
                        <c:v>-1.76</c:v>
                      </c:pt>
                      <c:pt idx="225">
                        <c:v>-1.75</c:v>
                      </c:pt>
                      <c:pt idx="226">
                        <c:v>-1.74</c:v>
                      </c:pt>
                      <c:pt idx="227">
                        <c:v>-1.73</c:v>
                      </c:pt>
                      <c:pt idx="228">
                        <c:v>-1.72</c:v>
                      </c:pt>
                      <c:pt idx="229">
                        <c:v>-1.71</c:v>
                      </c:pt>
                      <c:pt idx="230">
                        <c:v>-1.7</c:v>
                      </c:pt>
                      <c:pt idx="231">
                        <c:v>-1.69</c:v>
                      </c:pt>
                      <c:pt idx="232">
                        <c:v>-1.68</c:v>
                      </c:pt>
                      <c:pt idx="233">
                        <c:v>-1.67</c:v>
                      </c:pt>
                      <c:pt idx="234">
                        <c:v>-1.66</c:v>
                      </c:pt>
                      <c:pt idx="235">
                        <c:v>-1.65</c:v>
                      </c:pt>
                      <c:pt idx="236">
                        <c:v>-1.64</c:v>
                      </c:pt>
                      <c:pt idx="237">
                        <c:v>-1.63</c:v>
                      </c:pt>
                      <c:pt idx="238">
                        <c:v>-1.62</c:v>
                      </c:pt>
                      <c:pt idx="239">
                        <c:v>-1.61</c:v>
                      </c:pt>
                      <c:pt idx="240">
                        <c:v>-1.6</c:v>
                      </c:pt>
                      <c:pt idx="241">
                        <c:v>-1.59</c:v>
                      </c:pt>
                      <c:pt idx="242">
                        <c:v>-1.58</c:v>
                      </c:pt>
                      <c:pt idx="243">
                        <c:v>-1.57</c:v>
                      </c:pt>
                      <c:pt idx="244">
                        <c:v>-1.56</c:v>
                      </c:pt>
                      <c:pt idx="245">
                        <c:v>-1.55</c:v>
                      </c:pt>
                      <c:pt idx="246">
                        <c:v>-1.54</c:v>
                      </c:pt>
                      <c:pt idx="247">
                        <c:v>-1.53</c:v>
                      </c:pt>
                      <c:pt idx="248">
                        <c:v>-1.52</c:v>
                      </c:pt>
                      <c:pt idx="249">
                        <c:v>-1.51</c:v>
                      </c:pt>
                      <c:pt idx="250">
                        <c:v>-1.5</c:v>
                      </c:pt>
                      <c:pt idx="251">
                        <c:v>-1.49</c:v>
                      </c:pt>
                      <c:pt idx="252">
                        <c:v>-1.48</c:v>
                      </c:pt>
                      <c:pt idx="253">
                        <c:v>-1.47</c:v>
                      </c:pt>
                      <c:pt idx="254">
                        <c:v>-1.46</c:v>
                      </c:pt>
                      <c:pt idx="255">
                        <c:v>-1.45</c:v>
                      </c:pt>
                      <c:pt idx="256">
                        <c:v>-1.44</c:v>
                      </c:pt>
                      <c:pt idx="257">
                        <c:v>-1.43</c:v>
                      </c:pt>
                      <c:pt idx="258">
                        <c:v>-1.42</c:v>
                      </c:pt>
                      <c:pt idx="259">
                        <c:v>-1.41</c:v>
                      </c:pt>
                      <c:pt idx="260">
                        <c:v>-1.4</c:v>
                      </c:pt>
                      <c:pt idx="261">
                        <c:v>-1.39</c:v>
                      </c:pt>
                      <c:pt idx="262">
                        <c:v>-1.38</c:v>
                      </c:pt>
                      <c:pt idx="263">
                        <c:v>-1.37</c:v>
                      </c:pt>
                      <c:pt idx="264">
                        <c:v>-1.36</c:v>
                      </c:pt>
                      <c:pt idx="265">
                        <c:v>-1.35</c:v>
                      </c:pt>
                      <c:pt idx="266">
                        <c:v>-1.34</c:v>
                      </c:pt>
                      <c:pt idx="267">
                        <c:v>-1.33</c:v>
                      </c:pt>
                      <c:pt idx="268">
                        <c:v>-1.32</c:v>
                      </c:pt>
                      <c:pt idx="269">
                        <c:v>-1.31</c:v>
                      </c:pt>
                      <c:pt idx="270">
                        <c:v>-1.3</c:v>
                      </c:pt>
                      <c:pt idx="271">
                        <c:v>-1.29</c:v>
                      </c:pt>
                      <c:pt idx="272">
                        <c:v>-1.28</c:v>
                      </c:pt>
                      <c:pt idx="273">
                        <c:v>-1.27</c:v>
                      </c:pt>
                      <c:pt idx="274">
                        <c:v>-1.26</c:v>
                      </c:pt>
                      <c:pt idx="275">
                        <c:v>-1.25</c:v>
                      </c:pt>
                      <c:pt idx="276">
                        <c:v>-1.24</c:v>
                      </c:pt>
                      <c:pt idx="277">
                        <c:v>-1.23</c:v>
                      </c:pt>
                      <c:pt idx="278">
                        <c:v>-1.22</c:v>
                      </c:pt>
                      <c:pt idx="279">
                        <c:v>-1.21</c:v>
                      </c:pt>
                      <c:pt idx="280">
                        <c:v>-1.2</c:v>
                      </c:pt>
                      <c:pt idx="281">
                        <c:v>-1.19</c:v>
                      </c:pt>
                      <c:pt idx="282">
                        <c:v>-1.18</c:v>
                      </c:pt>
                      <c:pt idx="283">
                        <c:v>-1.17</c:v>
                      </c:pt>
                      <c:pt idx="284">
                        <c:v>-1.1599999999999999</c:v>
                      </c:pt>
                      <c:pt idx="285">
                        <c:v>-1.1499999999999999</c:v>
                      </c:pt>
                      <c:pt idx="286">
                        <c:v>-1.1399999999999999</c:v>
                      </c:pt>
                      <c:pt idx="287">
                        <c:v>-1.1299999999999999</c:v>
                      </c:pt>
                      <c:pt idx="288">
                        <c:v>-1.1200000000000001</c:v>
                      </c:pt>
                      <c:pt idx="289">
                        <c:v>-1.1100000000000001</c:v>
                      </c:pt>
                      <c:pt idx="290">
                        <c:v>-1.1000000000000001</c:v>
                      </c:pt>
                      <c:pt idx="291">
                        <c:v>-1.0900000000000001</c:v>
                      </c:pt>
                      <c:pt idx="292">
                        <c:v>-1.08</c:v>
                      </c:pt>
                      <c:pt idx="293">
                        <c:v>-1.07</c:v>
                      </c:pt>
                      <c:pt idx="294">
                        <c:v>-1.06</c:v>
                      </c:pt>
                      <c:pt idx="295">
                        <c:v>-1.05</c:v>
                      </c:pt>
                      <c:pt idx="296">
                        <c:v>-1.04</c:v>
                      </c:pt>
                      <c:pt idx="297">
                        <c:v>-1.03</c:v>
                      </c:pt>
                      <c:pt idx="298">
                        <c:v>-1.02</c:v>
                      </c:pt>
                      <c:pt idx="299">
                        <c:v>-1.01</c:v>
                      </c:pt>
                      <c:pt idx="300">
                        <c:v>-1</c:v>
                      </c:pt>
                      <c:pt idx="301">
                        <c:v>-0.99</c:v>
                      </c:pt>
                      <c:pt idx="302">
                        <c:v>-0.98</c:v>
                      </c:pt>
                      <c:pt idx="303">
                        <c:v>-0.97</c:v>
                      </c:pt>
                      <c:pt idx="304">
                        <c:v>-0.96</c:v>
                      </c:pt>
                      <c:pt idx="305">
                        <c:v>-0.95</c:v>
                      </c:pt>
                      <c:pt idx="306">
                        <c:v>-0.94</c:v>
                      </c:pt>
                      <c:pt idx="307">
                        <c:v>-0.93</c:v>
                      </c:pt>
                      <c:pt idx="308">
                        <c:v>-0.92</c:v>
                      </c:pt>
                      <c:pt idx="309">
                        <c:v>-0.91</c:v>
                      </c:pt>
                      <c:pt idx="310">
                        <c:v>-0.9</c:v>
                      </c:pt>
                      <c:pt idx="311">
                        <c:v>-0.89</c:v>
                      </c:pt>
                      <c:pt idx="312">
                        <c:v>-0.88</c:v>
                      </c:pt>
                      <c:pt idx="313">
                        <c:v>-0.87</c:v>
                      </c:pt>
                      <c:pt idx="314">
                        <c:v>-0.86</c:v>
                      </c:pt>
                      <c:pt idx="315">
                        <c:v>-0.85</c:v>
                      </c:pt>
                      <c:pt idx="316">
                        <c:v>-0.84</c:v>
                      </c:pt>
                      <c:pt idx="317">
                        <c:v>-0.83</c:v>
                      </c:pt>
                      <c:pt idx="318">
                        <c:v>-0.82</c:v>
                      </c:pt>
                      <c:pt idx="319">
                        <c:v>-0.81</c:v>
                      </c:pt>
                      <c:pt idx="320">
                        <c:v>-0.8</c:v>
                      </c:pt>
                      <c:pt idx="321">
                        <c:v>-0.79</c:v>
                      </c:pt>
                      <c:pt idx="322">
                        <c:v>-0.78</c:v>
                      </c:pt>
                      <c:pt idx="323">
                        <c:v>-0.77</c:v>
                      </c:pt>
                      <c:pt idx="324">
                        <c:v>-0.76</c:v>
                      </c:pt>
                      <c:pt idx="325">
                        <c:v>-0.75</c:v>
                      </c:pt>
                      <c:pt idx="326">
                        <c:v>-0.74</c:v>
                      </c:pt>
                      <c:pt idx="327">
                        <c:v>-0.73</c:v>
                      </c:pt>
                      <c:pt idx="328">
                        <c:v>-0.72</c:v>
                      </c:pt>
                      <c:pt idx="329">
                        <c:v>-0.71</c:v>
                      </c:pt>
                      <c:pt idx="330">
                        <c:v>-0.7</c:v>
                      </c:pt>
                      <c:pt idx="331">
                        <c:v>-0.69</c:v>
                      </c:pt>
                      <c:pt idx="332">
                        <c:v>-0.68</c:v>
                      </c:pt>
                      <c:pt idx="333">
                        <c:v>-0.67</c:v>
                      </c:pt>
                      <c:pt idx="334">
                        <c:v>-0.66</c:v>
                      </c:pt>
                      <c:pt idx="335">
                        <c:v>-0.65</c:v>
                      </c:pt>
                      <c:pt idx="336">
                        <c:v>-0.64</c:v>
                      </c:pt>
                      <c:pt idx="337">
                        <c:v>-0.63</c:v>
                      </c:pt>
                      <c:pt idx="338">
                        <c:v>-0.62</c:v>
                      </c:pt>
                      <c:pt idx="339">
                        <c:v>-0.61</c:v>
                      </c:pt>
                      <c:pt idx="340">
                        <c:v>-0.6</c:v>
                      </c:pt>
                      <c:pt idx="341">
                        <c:v>-0.59</c:v>
                      </c:pt>
                      <c:pt idx="342">
                        <c:v>-0.57999999999999996</c:v>
                      </c:pt>
                      <c:pt idx="343">
                        <c:v>-0.56999999999999995</c:v>
                      </c:pt>
                      <c:pt idx="344">
                        <c:v>-0.56000000000000005</c:v>
                      </c:pt>
                      <c:pt idx="345">
                        <c:v>-0.55000000000000004</c:v>
                      </c:pt>
                      <c:pt idx="346">
                        <c:v>-0.54</c:v>
                      </c:pt>
                      <c:pt idx="347">
                        <c:v>-0.53</c:v>
                      </c:pt>
                      <c:pt idx="348">
                        <c:v>-0.52</c:v>
                      </c:pt>
                      <c:pt idx="349">
                        <c:v>-0.51</c:v>
                      </c:pt>
                      <c:pt idx="350">
                        <c:v>-0.5</c:v>
                      </c:pt>
                      <c:pt idx="351">
                        <c:v>-0.49</c:v>
                      </c:pt>
                      <c:pt idx="352">
                        <c:v>-0.48</c:v>
                      </c:pt>
                      <c:pt idx="353">
                        <c:v>-0.47</c:v>
                      </c:pt>
                      <c:pt idx="354">
                        <c:v>-0.46</c:v>
                      </c:pt>
                      <c:pt idx="355">
                        <c:v>-0.45</c:v>
                      </c:pt>
                      <c:pt idx="356">
                        <c:v>-0.44</c:v>
                      </c:pt>
                      <c:pt idx="357">
                        <c:v>-0.43</c:v>
                      </c:pt>
                      <c:pt idx="358">
                        <c:v>-0.42</c:v>
                      </c:pt>
                      <c:pt idx="359">
                        <c:v>-0.41</c:v>
                      </c:pt>
                      <c:pt idx="360">
                        <c:v>-0.4</c:v>
                      </c:pt>
                      <c:pt idx="361">
                        <c:v>-0.39</c:v>
                      </c:pt>
                      <c:pt idx="362">
                        <c:v>-0.38</c:v>
                      </c:pt>
                      <c:pt idx="363">
                        <c:v>-0.37</c:v>
                      </c:pt>
                      <c:pt idx="364">
                        <c:v>-0.36</c:v>
                      </c:pt>
                      <c:pt idx="365">
                        <c:v>-0.35</c:v>
                      </c:pt>
                      <c:pt idx="366">
                        <c:v>-0.34</c:v>
                      </c:pt>
                      <c:pt idx="367">
                        <c:v>-0.33</c:v>
                      </c:pt>
                      <c:pt idx="368">
                        <c:v>-0.32</c:v>
                      </c:pt>
                      <c:pt idx="369">
                        <c:v>-0.31</c:v>
                      </c:pt>
                      <c:pt idx="370">
                        <c:v>-0.3</c:v>
                      </c:pt>
                      <c:pt idx="371">
                        <c:v>-0.28999999999999998</c:v>
                      </c:pt>
                      <c:pt idx="372">
                        <c:v>-0.28000000000000003</c:v>
                      </c:pt>
                      <c:pt idx="373">
                        <c:v>-0.27</c:v>
                      </c:pt>
                      <c:pt idx="374">
                        <c:v>-0.26</c:v>
                      </c:pt>
                      <c:pt idx="375">
                        <c:v>-0.25</c:v>
                      </c:pt>
                      <c:pt idx="376">
                        <c:v>-0.24</c:v>
                      </c:pt>
                      <c:pt idx="377">
                        <c:v>-0.23</c:v>
                      </c:pt>
                      <c:pt idx="378">
                        <c:v>-0.22</c:v>
                      </c:pt>
                      <c:pt idx="379">
                        <c:v>-0.21</c:v>
                      </c:pt>
                      <c:pt idx="380">
                        <c:v>-0.2</c:v>
                      </c:pt>
                      <c:pt idx="381">
                        <c:v>-0.19</c:v>
                      </c:pt>
                      <c:pt idx="382">
                        <c:v>-0.18</c:v>
                      </c:pt>
                      <c:pt idx="383">
                        <c:v>-0.17</c:v>
                      </c:pt>
                      <c:pt idx="384">
                        <c:v>-0.16</c:v>
                      </c:pt>
                      <c:pt idx="385">
                        <c:v>-0.15</c:v>
                      </c:pt>
                      <c:pt idx="386">
                        <c:v>-0.14000000000000001</c:v>
                      </c:pt>
                      <c:pt idx="387">
                        <c:v>-0.13</c:v>
                      </c:pt>
                      <c:pt idx="388">
                        <c:v>-0.12</c:v>
                      </c:pt>
                      <c:pt idx="389">
                        <c:v>-0.11</c:v>
                      </c:pt>
                      <c:pt idx="390">
                        <c:v>-0.1</c:v>
                      </c:pt>
                      <c:pt idx="391">
                        <c:v>-0.09</c:v>
                      </c:pt>
                      <c:pt idx="392">
                        <c:v>-0.08</c:v>
                      </c:pt>
                      <c:pt idx="393">
                        <c:v>-7.0000000000000007E-2</c:v>
                      </c:pt>
                      <c:pt idx="394">
                        <c:v>-0.06</c:v>
                      </c:pt>
                      <c:pt idx="395">
                        <c:v>-0.05</c:v>
                      </c:pt>
                      <c:pt idx="396">
                        <c:v>-0.04</c:v>
                      </c:pt>
                      <c:pt idx="397">
                        <c:v>-0.03</c:v>
                      </c:pt>
                      <c:pt idx="398">
                        <c:v>-0.02</c:v>
                      </c:pt>
                      <c:pt idx="399">
                        <c:v>-0.01</c:v>
                      </c:pt>
                      <c:pt idx="400">
                        <c:v>0</c:v>
                      </c:pt>
                      <c:pt idx="401">
                        <c:v>0.01</c:v>
                      </c:pt>
                      <c:pt idx="402">
                        <c:v>0.02</c:v>
                      </c:pt>
                      <c:pt idx="403">
                        <c:v>0.03</c:v>
                      </c:pt>
                      <c:pt idx="404">
                        <c:v>0.04</c:v>
                      </c:pt>
                      <c:pt idx="405">
                        <c:v>0.05</c:v>
                      </c:pt>
                      <c:pt idx="406">
                        <c:v>0.06</c:v>
                      </c:pt>
                      <c:pt idx="407">
                        <c:v>7.0000000000000007E-2</c:v>
                      </c:pt>
                      <c:pt idx="408">
                        <c:v>0.08</c:v>
                      </c:pt>
                      <c:pt idx="409">
                        <c:v>0.09</c:v>
                      </c:pt>
                      <c:pt idx="410">
                        <c:v>0.1</c:v>
                      </c:pt>
                      <c:pt idx="411">
                        <c:v>0.11</c:v>
                      </c:pt>
                      <c:pt idx="412">
                        <c:v>0.12</c:v>
                      </c:pt>
                      <c:pt idx="413">
                        <c:v>0.13</c:v>
                      </c:pt>
                      <c:pt idx="414">
                        <c:v>0.14000000000000001</c:v>
                      </c:pt>
                      <c:pt idx="415">
                        <c:v>0.15</c:v>
                      </c:pt>
                      <c:pt idx="416">
                        <c:v>0.16</c:v>
                      </c:pt>
                      <c:pt idx="417">
                        <c:v>0.17</c:v>
                      </c:pt>
                      <c:pt idx="418">
                        <c:v>0.18</c:v>
                      </c:pt>
                      <c:pt idx="419">
                        <c:v>0.19</c:v>
                      </c:pt>
                      <c:pt idx="420">
                        <c:v>0.2</c:v>
                      </c:pt>
                      <c:pt idx="421">
                        <c:v>0.21</c:v>
                      </c:pt>
                      <c:pt idx="422">
                        <c:v>0.22</c:v>
                      </c:pt>
                      <c:pt idx="423">
                        <c:v>0.23</c:v>
                      </c:pt>
                      <c:pt idx="424">
                        <c:v>0.24</c:v>
                      </c:pt>
                      <c:pt idx="425">
                        <c:v>0.25</c:v>
                      </c:pt>
                      <c:pt idx="426">
                        <c:v>0.26</c:v>
                      </c:pt>
                      <c:pt idx="427">
                        <c:v>0.27</c:v>
                      </c:pt>
                      <c:pt idx="428">
                        <c:v>0.28000000000000003</c:v>
                      </c:pt>
                      <c:pt idx="429">
                        <c:v>0.28999999999999998</c:v>
                      </c:pt>
                      <c:pt idx="430">
                        <c:v>0.3</c:v>
                      </c:pt>
                      <c:pt idx="431">
                        <c:v>0.31</c:v>
                      </c:pt>
                      <c:pt idx="432">
                        <c:v>0.32</c:v>
                      </c:pt>
                      <c:pt idx="433">
                        <c:v>0.33</c:v>
                      </c:pt>
                      <c:pt idx="434">
                        <c:v>0.34</c:v>
                      </c:pt>
                      <c:pt idx="435">
                        <c:v>0.35</c:v>
                      </c:pt>
                      <c:pt idx="436">
                        <c:v>0.36</c:v>
                      </c:pt>
                      <c:pt idx="437">
                        <c:v>0.37</c:v>
                      </c:pt>
                      <c:pt idx="438">
                        <c:v>0.38</c:v>
                      </c:pt>
                      <c:pt idx="439">
                        <c:v>0.39</c:v>
                      </c:pt>
                      <c:pt idx="440">
                        <c:v>0.4</c:v>
                      </c:pt>
                      <c:pt idx="441">
                        <c:v>0.41</c:v>
                      </c:pt>
                      <c:pt idx="442">
                        <c:v>0.42</c:v>
                      </c:pt>
                      <c:pt idx="443">
                        <c:v>0.43</c:v>
                      </c:pt>
                      <c:pt idx="444">
                        <c:v>0.44</c:v>
                      </c:pt>
                      <c:pt idx="445">
                        <c:v>0.45</c:v>
                      </c:pt>
                      <c:pt idx="446">
                        <c:v>0.46</c:v>
                      </c:pt>
                      <c:pt idx="447">
                        <c:v>0.47</c:v>
                      </c:pt>
                      <c:pt idx="448">
                        <c:v>0.48</c:v>
                      </c:pt>
                      <c:pt idx="449">
                        <c:v>0.49</c:v>
                      </c:pt>
                      <c:pt idx="450">
                        <c:v>0.5</c:v>
                      </c:pt>
                      <c:pt idx="451">
                        <c:v>0.51</c:v>
                      </c:pt>
                      <c:pt idx="452">
                        <c:v>0.52</c:v>
                      </c:pt>
                      <c:pt idx="453">
                        <c:v>0.53</c:v>
                      </c:pt>
                      <c:pt idx="454">
                        <c:v>0.54</c:v>
                      </c:pt>
                      <c:pt idx="455">
                        <c:v>0.55000000000000004</c:v>
                      </c:pt>
                      <c:pt idx="456">
                        <c:v>0.56000000000000005</c:v>
                      </c:pt>
                      <c:pt idx="457">
                        <c:v>0.56999999999999995</c:v>
                      </c:pt>
                      <c:pt idx="458">
                        <c:v>0.57999999999999996</c:v>
                      </c:pt>
                      <c:pt idx="459">
                        <c:v>0.59</c:v>
                      </c:pt>
                      <c:pt idx="460">
                        <c:v>0.6</c:v>
                      </c:pt>
                      <c:pt idx="461">
                        <c:v>0.61</c:v>
                      </c:pt>
                      <c:pt idx="462">
                        <c:v>0.62</c:v>
                      </c:pt>
                      <c:pt idx="463">
                        <c:v>0.63</c:v>
                      </c:pt>
                      <c:pt idx="464">
                        <c:v>0.64</c:v>
                      </c:pt>
                      <c:pt idx="465">
                        <c:v>0.65</c:v>
                      </c:pt>
                      <c:pt idx="466">
                        <c:v>0.66</c:v>
                      </c:pt>
                      <c:pt idx="467">
                        <c:v>0.67</c:v>
                      </c:pt>
                      <c:pt idx="468">
                        <c:v>0.68</c:v>
                      </c:pt>
                      <c:pt idx="469">
                        <c:v>0.69</c:v>
                      </c:pt>
                      <c:pt idx="470">
                        <c:v>0.7</c:v>
                      </c:pt>
                      <c:pt idx="471">
                        <c:v>0.71</c:v>
                      </c:pt>
                      <c:pt idx="472">
                        <c:v>0.72</c:v>
                      </c:pt>
                      <c:pt idx="473">
                        <c:v>0.73</c:v>
                      </c:pt>
                      <c:pt idx="474">
                        <c:v>0.74</c:v>
                      </c:pt>
                      <c:pt idx="475">
                        <c:v>0.75</c:v>
                      </c:pt>
                      <c:pt idx="476">
                        <c:v>0.76</c:v>
                      </c:pt>
                      <c:pt idx="477">
                        <c:v>0.77</c:v>
                      </c:pt>
                      <c:pt idx="478">
                        <c:v>0.78</c:v>
                      </c:pt>
                      <c:pt idx="479">
                        <c:v>0.79</c:v>
                      </c:pt>
                      <c:pt idx="480">
                        <c:v>0.8</c:v>
                      </c:pt>
                      <c:pt idx="481">
                        <c:v>0.81</c:v>
                      </c:pt>
                      <c:pt idx="482">
                        <c:v>0.82</c:v>
                      </c:pt>
                      <c:pt idx="483">
                        <c:v>0.83</c:v>
                      </c:pt>
                      <c:pt idx="484">
                        <c:v>0.84</c:v>
                      </c:pt>
                      <c:pt idx="485">
                        <c:v>0.85</c:v>
                      </c:pt>
                      <c:pt idx="486">
                        <c:v>0.86</c:v>
                      </c:pt>
                      <c:pt idx="487">
                        <c:v>0.87</c:v>
                      </c:pt>
                      <c:pt idx="488">
                        <c:v>0.88</c:v>
                      </c:pt>
                      <c:pt idx="489">
                        <c:v>0.89</c:v>
                      </c:pt>
                      <c:pt idx="490">
                        <c:v>0.9</c:v>
                      </c:pt>
                      <c:pt idx="491">
                        <c:v>0.91</c:v>
                      </c:pt>
                      <c:pt idx="492">
                        <c:v>0.92</c:v>
                      </c:pt>
                      <c:pt idx="493">
                        <c:v>0.93</c:v>
                      </c:pt>
                      <c:pt idx="494">
                        <c:v>0.94</c:v>
                      </c:pt>
                      <c:pt idx="495">
                        <c:v>0.95</c:v>
                      </c:pt>
                      <c:pt idx="496">
                        <c:v>0.96</c:v>
                      </c:pt>
                      <c:pt idx="497">
                        <c:v>0.97</c:v>
                      </c:pt>
                      <c:pt idx="498">
                        <c:v>0.98</c:v>
                      </c:pt>
                      <c:pt idx="499">
                        <c:v>0.99</c:v>
                      </c:pt>
                      <c:pt idx="500">
                        <c:v>1</c:v>
                      </c:pt>
                      <c:pt idx="501">
                        <c:v>1.01</c:v>
                      </c:pt>
                      <c:pt idx="502">
                        <c:v>1.02</c:v>
                      </c:pt>
                      <c:pt idx="503">
                        <c:v>1.03</c:v>
                      </c:pt>
                      <c:pt idx="504">
                        <c:v>1.04</c:v>
                      </c:pt>
                      <c:pt idx="505">
                        <c:v>1.05</c:v>
                      </c:pt>
                      <c:pt idx="506">
                        <c:v>1.06</c:v>
                      </c:pt>
                      <c:pt idx="507">
                        <c:v>1.07</c:v>
                      </c:pt>
                      <c:pt idx="508">
                        <c:v>1.08</c:v>
                      </c:pt>
                      <c:pt idx="509">
                        <c:v>1.0900000000000001</c:v>
                      </c:pt>
                      <c:pt idx="510">
                        <c:v>1.1000000000000001</c:v>
                      </c:pt>
                      <c:pt idx="511">
                        <c:v>1.1100000000000001</c:v>
                      </c:pt>
                      <c:pt idx="512">
                        <c:v>1.1200000000000001</c:v>
                      </c:pt>
                      <c:pt idx="513">
                        <c:v>1.1299999999999999</c:v>
                      </c:pt>
                      <c:pt idx="514">
                        <c:v>1.1399999999999999</c:v>
                      </c:pt>
                      <c:pt idx="515">
                        <c:v>1.1499999999999999</c:v>
                      </c:pt>
                      <c:pt idx="516">
                        <c:v>1.1599999999999999</c:v>
                      </c:pt>
                      <c:pt idx="517">
                        <c:v>1.17</c:v>
                      </c:pt>
                      <c:pt idx="518">
                        <c:v>1.18</c:v>
                      </c:pt>
                      <c:pt idx="519">
                        <c:v>1.19</c:v>
                      </c:pt>
                      <c:pt idx="520">
                        <c:v>1.2</c:v>
                      </c:pt>
                      <c:pt idx="521">
                        <c:v>1.21</c:v>
                      </c:pt>
                      <c:pt idx="522">
                        <c:v>1.22</c:v>
                      </c:pt>
                      <c:pt idx="523">
                        <c:v>1.23</c:v>
                      </c:pt>
                      <c:pt idx="524">
                        <c:v>1.24</c:v>
                      </c:pt>
                      <c:pt idx="525">
                        <c:v>1.25</c:v>
                      </c:pt>
                      <c:pt idx="526">
                        <c:v>1.26</c:v>
                      </c:pt>
                      <c:pt idx="527">
                        <c:v>1.27</c:v>
                      </c:pt>
                      <c:pt idx="528">
                        <c:v>1.28</c:v>
                      </c:pt>
                      <c:pt idx="529">
                        <c:v>1.29</c:v>
                      </c:pt>
                      <c:pt idx="530">
                        <c:v>1.3</c:v>
                      </c:pt>
                      <c:pt idx="531">
                        <c:v>1.31</c:v>
                      </c:pt>
                      <c:pt idx="532">
                        <c:v>1.32</c:v>
                      </c:pt>
                      <c:pt idx="533">
                        <c:v>1.33</c:v>
                      </c:pt>
                      <c:pt idx="534">
                        <c:v>1.34</c:v>
                      </c:pt>
                      <c:pt idx="535">
                        <c:v>1.35</c:v>
                      </c:pt>
                      <c:pt idx="536">
                        <c:v>1.36</c:v>
                      </c:pt>
                      <c:pt idx="537">
                        <c:v>1.37</c:v>
                      </c:pt>
                      <c:pt idx="538">
                        <c:v>1.38</c:v>
                      </c:pt>
                      <c:pt idx="539">
                        <c:v>1.39</c:v>
                      </c:pt>
                      <c:pt idx="540">
                        <c:v>1.4</c:v>
                      </c:pt>
                      <c:pt idx="541">
                        <c:v>1.41</c:v>
                      </c:pt>
                      <c:pt idx="542">
                        <c:v>1.42</c:v>
                      </c:pt>
                      <c:pt idx="543">
                        <c:v>1.43</c:v>
                      </c:pt>
                      <c:pt idx="544">
                        <c:v>1.44</c:v>
                      </c:pt>
                      <c:pt idx="545">
                        <c:v>1.45</c:v>
                      </c:pt>
                      <c:pt idx="546">
                        <c:v>1.46</c:v>
                      </c:pt>
                      <c:pt idx="547">
                        <c:v>1.47</c:v>
                      </c:pt>
                      <c:pt idx="548">
                        <c:v>1.48</c:v>
                      </c:pt>
                      <c:pt idx="549">
                        <c:v>1.49</c:v>
                      </c:pt>
                      <c:pt idx="550">
                        <c:v>1.5</c:v>
                      </c:pt>
                      <c:pt idx="551">
                        <c:v>1.51</c:v>
                      </c:pt>
                      <c:pt idx="552">
                        <c:v>1.52</c:v>
                      </c:pt>
                      <c:pt idx="553">
                        <c:v>1.53</c:v>
                      </c:pt>
                      <c:pt idx="554">
                        <c:v>1.54</c:v>
                      </c:pt>
                      <c:pt idx="555">
                        <c:v>1.55</c:v>
                      </c:pt>
                      <c:pt idx="556">
                        <c:v>1.56</c:v>
                      </c:pt>
                      <c:pt idx="557">
                        <c:v>1.57</c:v>
                      </c:pt>
                      <c:pt idx="558">
                        <c:v>1.58</c:v>
                      </c:pt>
                      <c:pt idx="559">
                        <c:v>1.59</c:v>
                      </c:pt>
                      <c:pt idx="560">
                        <c:v>1.6</c:v>
                      </c:pt>
                      <c:pt idx="561">
                        <c:v>1.61</c:v>
                      </c:pt>
                      <c:pt idx="562">
                        <c:v>1.62</c:v>
                      </c:pt>
                      <c:pt idx="563">
                        <c:v>1.63</c:v>
                      </c:pt>
                      <c:pt idx="564">
                        <c:v>1.64</c:v>
                      </c:pt>
                      <c:pt idx="565">
                        <c:v>1.65</c:v>
                      </c:pt>
                      <c:pt idx="566">
                        <c:v>1.66</c:v>
                      </c:pt>
                      <c:pt idx="567">
                        <c:v>1.67</c:v>
                      </c:pt>
                      <c:pt idx="568">
                        <c:v>1.68</c:v>
                      </c:pt>
                      <c:pt idx="569">
                        <c:v>1.69</c:v>
                      </c:pt>
                      <c:pt idx="570">
                        <c:v>1.7</c:v>
                      </c:pt>
                      <c:pt idx="571">
                        <c:v>1.71</c:v>
                      </c:pt>
                      <c:pt idx="572">
                        <c:v>1.72</c:v>
                      </c:pt>
                      <c:pt idx="573">
                        <c:v>1.73</c:v>
                      </c:pt>
                      <c:pt idx="574">
                        <c:v>1.74</c:v>
                      </c:pt>
                      <c:pt idx="575">
                        <c:v>1.75</c:v>
                      </c:pt>
                      <c:pt idx="576">
                        <c:v>1.76</c:v>
                      </c:pt>
                      <c:pt idx="577">
                        <c:v>1.77</c:v>
                      </c:pt>
                      <c:pt idx="578">
                        <c:v>1.78</c:v>
                      </c:pt>
                      <c:pt idx="579">
                        <c:v>1.79</c:v>
                      </c:pt>
                      <c:pt idx="580">
                        <c:v>1.8</c:v>
                      </c:pt>
                      <c:pt idx="581">
                        <c:v>1.81</c:v>
                      </c:pt>
                      <c:pt idx="582">
                        <c:v>1.82</c:v>
                      </c:pt>
                      <c:pt idx="583">
                        <c:v>1.83</c:v>
                      </c:pt>
                      <c:pt idx="584">
                        <c:v>1.84</c:v>
                      </c:pt>
                      <c:pt idx="585">
                        <c:v>1.85</c:v>
                      </c:pt>
                      <c:pt idx="586">
                        <c:v>1.86</c:v>
                      </c:pt>
                      <c:pt idx="587">
                        <c:v>1.87</c:v>
                      </c:pt>
                      <c:pt idx="588">
                        <c:v>1.88</c:v>
                      </c:pt>
                      <c:pt idx="589">
                        <c:v>1.89</c:v>
                      </c:pt>
                      <c:pt idx="590">
                        <c:v>1.9</c:v>
                      </c:pt>
                      <c:pt idx="591">
                        <c:v>1.91</c:v>
                      </c:pt>
                      <c:pt idx="592">
                        <c:v>1.92</c:v>
                      </c:pt>
                      <c:pt idx="593">
                        <c:v>1.93</c:v>
                      </c:pt>
                      <c:pt idx="594">
                        <c:v>1.94</c:v>
                      </c:pt>
                      <c:pt idx="595">
                        <c:v>1.95</c:v>
                      </c:pt>
                      <c:pt idx="596">
                        <c:v>1.96</c:v>
                      </c:pt>
                      <c:pt idx="597">
                        <c:v>1.97</c:v>
                      </c:pt>
                      <c:pt idx="598">
                        <c:v>1.98</c:v>
                      </c:pt>
                      <c:pt idx="599">
                        <c:v>1.99</c:v>
                      </c:pt>
                      <c:pt idx="600">
                        <c:v>2</c:v>
                      </c:pt>
                      <c:pt idx="601">
                        <c:v>2.0099999999999998</c:v>
                      </c:pt>
                      <c:pt idx="602">
                        <c:v>2.02</c:v>
                      </c:pt>
                      <c:pt idx="603">
                        <c:v>2.0299999999999998</c:v>
                      </c:pt>
                      <c:pt idx="604">
                        <c:v>2.04</c:v>
                      </c:pt>
                      <c:pt idx="605">
                        <c:v>2.0499999999999998</c:v>
                      </c:pt>
                      <c:pt idx="606">
                        <c:v>2.06</c:v>
                      </c:pt>
                      <c:pt idx="607">
                        <c:v>2.0699999999999998</c:v>
                      </c:pt>
                      <c:pt idx="608">
                        <c:v>2.08</c:v>
                      </c:pt>
                      <c:pt idx="609">
                        <c:v>2.09</c:v>
                      </c:pt>
                      <c:pt idx="610">
                        <c:v>2.1</c:v>
                      </c:pt>
                      <c:pt idx="611">
                        <c:v>2.11</c:v>
                      </c:pt>
                      <c:pt idx="612">
                        <c:v>2.12</c:v>
                      </c:pt>
                      <c:pt idx="613">
                        <c:v>2.13</c:v>
                      </c:pt>
                      <c:pt idx="614">
                        <c:v>2.14</c:v>
                      </c:pt>
                      <c:pt idx="615">
                        <c:v>2.15</c:v>
                      </c:pt>
                      <c:pt idx="616">
                        <c:v>2.16</c:v>
                      </c:pt>
                      <c:pt idx="617">
                        <c:v>2.17</c:v>
                      </c:pt>
                      <c:pt idx="618">
                        <c:v>2.1800000000000002</c:v>
                      </c:pt>
                      <c:pt idx="619">
                        <c:v>2.19</c:v>
                      </c:pt>
                      <c:pt idx="620">
                        <c:v>2.2000000000000002</c:v>
                      </c:pt>
                      <c:pt idx="621">
                        <c:v>2.21</c:v>
                      </c:pt>
                      <c:pt idx="622">
                        <c:v>2.2200000000000002</c:v>
                      </c:pt>
                      <c:pt idx="623">
                        <c:v>2.23</c:v>
                      </c:pt>
                      <c:pt idx="624">
                        <c:v>2.2400000000000002</c:v>
                      </c:pt>
                      <c:pt idx="625">
                        <c:v>2.25</c:v>
                      </c:pt>
                      <c:pt idx="626">
                        <c:v>2.2599999999999998</c:v>
                      </c:pt>
                      <c:pt idx="627">
                        <c:v>2.27</c:v>
                      </c:pt>
                      <c:pt idx="628">
                        <c:v>2.2799999999999998</c:v>
                      </c:pt>
                      <c:pt idx="629">
                        <c:v>2.29</c:v>
                      </c:pt>
                      <c:pt idx="630">
                        <c:v>2.2999999999999998</c:v>
                      </c:pt>
                      <c:pt idx="631">
                        <c:v>2.31</c:v>
                      </c:pt>
                      <c:pt idx="632">
                        <c:v>2.3199999999999998</c:v>
                      </c:pt>
                      <c:pt idx="633">
                        <c:v>2.33</c:v>
                      </c:pt>
                      <c:pt idx="634">
                        <c:v>2.34</c:v>
                      </c:pt>
                      <c:pt idx="635">
                        <c:v>2.35</c:v>
                      </c:pt>
                      <c:pt idx="636">
                        <c:v>2.36</c:v>
                      </c:pt>
                      <c:pt idx="637">
                        <c:v>2.37</c:v>
                      </c:pt>
                      <c:pt idx="638">
                        <c:v>2.38</c:v>
                      </c:pt>
                      <c:pt idx="639">
                        <c:v>2.39</c:v>
                      </c:pt>
                      <c:pt idx="640">
                        <c:v>2.4</c:v>
                      </c:pt>
                      <c:pt idx="641">
                        <c:v>2.41</c:v>
                      </c:pt>
                      <c:pt idx="642">
                        <c:v>2.42</c:v>
                      </c:pt>
                      <c:pt idx="643">
                        <c:v>2.4300000000000002</c:v>
                      </c:pt>
                      <c:pt idx="644">
                        <c:v>2.44</c:v>
                      </c:pt>
                      <c:pt idx="645">
                        <c:v>2.4500000000000002</c:v>
                      </c:pt>
                      <c:pt idx="646">
                        <c:v>2.46</c:v>
                      </c:pt>
                      <c:pt idx="647">
                        <c:v>2.4700000000000002</c:v>
                      </c:pt>
                      <c:pt idx="648">
                        <c:v>2.48</c:v>
                      </c:pt>
                      <c:pt idx="649">
                        <c:v>2.4900000000000002</c:v>
                      </c:pt>
                      <c:pt idx="650">
                        <c:v>2.5</c:v>
                      </c:pt>
                      <c:pt idx="651">
                        <c:v>2.5099999999999998</c:v>
                      </c:pt>
                      <c:pt idx="652">
                        <c:v>2.52</c:v>
                      </c:pt>
                      <c:pt idx="653">
                        <c:v>2.5299999999999998</c:v>
                      </c:pt>
                      <c:pt idx="654">
                        <c:v>2.54</c:v>
                      </c:pt>
                      <c:pt idx="655">
                        <c:v>2.5499999999999998</c:v>
                      </c:pt>
                      <c:pt idx="656">
                        <c:v>2.56</c:v>
                      </c:pt>
                      <c:pt idx="657">
                        <c:v>2.57</c:v>
                      </c:pt>
                      <c:pt idx="658">
                        <c:v>2.58</c:v>
                      </c:pt>
                      <c:pt idx="659">
                        <c:v>2.59</c:v>
                      </c:pt>
                      <c:pt idx="660">
                        <c:v>2.6</c:v>
                      </c:pt>
                      <c:pt idx="661">
                        <c:v>2.61</c:v>
                      </c:pt>
                      <c:pt idx="662">
                        <c:v>2.62</c:v>
                      </c:pt>
                      <c:pt idx="663">
                        <c:v>2.63</c:v>
                      </c:pt>
                      <c:pt idx="664">
                        <c:v>2.64</c:v>
                      </c:pt>
                      <c:pt idx="665">
                        <c:v>2.65</c:v>
                      </c:pt>
                      <c:pt idx="666">
                        <c:v>2.66</c:v>
                      </c:pt>
                      <c:pt idx="667">
                        <c:v>2.67</c:v>
                      </c:pt>
                      <c:pt idx="668">
                        <c:v>2.68</c:v>
                      </c:pt>
                      <c:pt idx="669">
                        <c:v>2.69</c:v>
                      </c:pt>
                      <c:pt idx="670">
                        <c:v>2.7</c:v>
                      </c:pt>
                      <c:pt idx="671">
                        <c:v>2.71</c:v>
                      </c:pt>
                      <c:pt idx="672">
                        <c:v>2.72</c:v>
                      </c:pt>
                      <c:pt idx="673">
                        <c:v>2.73</c:v>
                      </c:pt>
                      <c:pt idx="674">
                        <c:v>2.74</c:v>
                      </c:pt>
                      <c:pt idx="675">
                        <c:v>2.75</c:v>
                      </c:pt>
                      <c:pt idx="676">
                        <c:v>2.76</c:v>
                      </c:pt>
                      <c:pt idx="677">
                        <c:v>2.77</c:v>
                      </c:pt>
                      <c:pt idx="678">
                        <c:v>2.78</c:v>
                      </c:pt>
                      <c:pt idx="679">
                        <c:v>2.79</c:v>
                      </c:pt>
                      <c:pt idx="680">
                        <c:v>2.8</c:v>
                      </c:pt>
                      <c:pt idx="681">
                        <c:v>2.81</c:v>
                      </c:pt>
                      <c:pt idx="682">
                        <c:v>2.82</c:v>
                      </c:pt>
                      <c:pt idx="683">
                        <c:v>2.83</c:v>
                      </c:pt>
                      <c:pt idx="684">
                        <c:v>2.84</c:v>
                      </c:pt>
                      <c:pt idx="685">
                        <c:v>2.85</c:v>
                      </c:pt>
                      <c:pt idx="686">
                        <c:v>2.86</c:v>
                      </c:pt>
                      <c:pt idx="687">
                        <c:v>2.87</c:v>
                      </c:pt>
                      <c:pt idx="688">
                        <c:v>2.88</c:v>
                      </c:pt>
                      <c:pt idx="689">
                        <c:v>2.89</c:v>
                      </c:pt>
                      <c:pt idx="690">
                        <c:v>2.9</c:v>
                      </c:pt>
                      <c:pt idx="691">
                        <c:v>2.91</c:v>
                      </c:pt>
                      <c:pt idx="692">
                        <c:v>2.92</c:v>
                      </c:pt>
                      <c:pt idx="693">
                        <c:v>2.93</c:v>
                      </c:pt>
                      <c:pt idx="694">
                        <c:v>2.94</c:v>
                      </c:pt>
                      <c:pt idx="695">
                        <c:v>2.95</c:v>
                      </c:pt>
                      <c:pt idx="696">
                        <c:v>2.96</c:v>
                      </c:pt>
                      <c:pt idx="697">
                        <c:v>2.97</c:v>
                      </c:pt>
                      <c:pt idx="698">
                        <c:v>2.98</c:v>
                      </c:pt>
                      <c:pt idx="699">
                        <c:v>2.99</c:v>
                      </c:pt>
                      <c:pt idx="700">
                        <c:v>3</c:v>
                      </c:pt>
                      <c:pt idx="701">
                        <c:v>3.01</c:v>
                      </c:pt>
                      <c:pt idx="702">
                        <c:v>3.02</c:v>
                      </c:pt>
                      <c:pt idx="703">
                        <c:v>3.03</c:v>
                      </c:pt>
                      <c:pt idx="704">
                        <c:v>3.04</c:v>
                      </c:pt>
                      <c:pt idx="705">
                        <c:v>3.05</c:v>
                      </c:pt>
                      <c:pt idx="706">
                        <c:v>3.06</c:v>
                      </c:pt>
                      <c:pt idx="707">
                        <c:v>3.07</c:v>
                      </c:pt>
                      <c:pt idx="708">
                        <c:v>3.08</c:v>
                      </c:pt>
                      <c:pt idx="709">
                        <c:v>3.09</c:v>
                      </c:pt>
                      <c:pt idx="710">
                        <c:v>3.1</c:v>
                      </c:pt>
                      <c:pt idx="711">
                        <c:v>3.11</c:v>
                      </c:pt>
                      <c:pt idx="712">
                        <c:v>3.12</c:v>
                      </c:pt>
                      <c:pt idx="713">
                        <c:v>3.13</c:v>
                      </c:pt>
                      <c:pt idx="714">
                        <c:v>3.14</c:v>
                      </c:pt>
                      <c:pt idx="715">
                        <c:v>3.15</c:v>
                      </c:pt>
                      <c:pt idx="716">
                        <c:v>3.16</c:v>
                      </c:pt>
                      <c:pt idx="717">
                        <c:v>3.17</c:v>
                      </c:pt>
                      <c:pt idx="718">
                        <c:v>3.18</c:v>
                      </c:pt>
                      <c:pt idx="719">
                        <c:v>3.19</c:v>
                      </c:pt>
                      <c:pt idx="720">
                        <c:v>3.2</c:v>
                      </c:pt>
                      <c:pt idx="721">
                        <c:v>3.21</c:v>
                      </c:pt>
                      <c:pt idx="722">
                        <c:v>3.22</c:v>
                      </c:pt>
                      <c:pt idx="723">
                        <c:v>3.23</c:v>
                      </c:pt>
                      <c:pt idx="724">
                        <c:v>3.24</c:v>
                      </c:pt>
                      <c:pt idx="725">
                        <c:v>3.25</c:v>
                      </c:pt>
                      <c:pt idx="726">
                        <c:v>3.26</c:v>
                      </c:pt>
                      <c:pt idx="727">
                        <c:v>3.27</c:v>
                      </c:pt>
                      <c:pt idx="728">
                        <c:v>3.28</c:v>
                      </c:pt>
                      <c:pt idx="729">
                        <c:v>3.29</c:v>
                      </c:pt>
                      <c:pt idx="730">
                        <c:v>3.3</c:v>
                      </c:pt>
                      <c:pt idx="731">
                        <c:v>3.31</c:v>
                      </c:pt>
                      <c:pt idx="732">
                        <c:v>3.32</c:v>
                      </c:pt>
                      <c:pt idx="733">
                        <c:v>3.33</c:v>
                      </c:pt>
                      <c:pt idx="734">
                        <c:v>3.34</c:v>
                      </c:pt>
                      <c:pt idx="735">
                        <c:v>3.35</c:v>
                      </c:pt>
                      <c:pt idx="736">
                        <c:v>3.36</c:v>
                      </c:pt>
                      <c:pt idx="737">
                        <c:v>3.37</c:v>
                      </c:pt>
                      <c:pt idx="738">
                        <c:v>3.38</c:v>
                      </c:pt>
                      <c:pt idx="739">
                        <c:v>3.39</c:v>
                      </c:pt>
                      <c:pt idx="740">
                        <c:v>3.4</c:v>
                      </c:pt>
                      <c:pt idx="741">
                        <c:v>3.41</c:v>
                      </c:pt>
                      <c:pt idx="742">
                        <c:v>3.42</c:v>
                      </c:pt>
                      <c:pt idx="743">
                        <c:v>3.43</c:v>
                      </c:pt>
                      <c:pt idx="744">
                        <c:v>3.44</c:v>
                      </c:pt>
                      <c:pt idx="745">
                        <c:v>3.45</c:v>
                      </c:pt>
                      <c:pt idx="746">
                        <c:v>3.46</c:v>
                      </c:pt>
                      <c:pt idx="747">
                        <c:v>3.47</c:v>
                      </c:pt>
                      <c:pt idx="748">
                        <c:v>3.48</c:v>
                      </c:pt>
                      <c:pt idx="749">
                        <c:v>3.49</c:v>
                      </c:pt>
                      <c:pt idx="750">
                        <c:v>3.5</c:v>
                      </c:pt>
                      <c:pt idx="751">
                        <c:v>3.51</c:v>
                      </c:pt>
                      <c:pt idx="752">
                        <c:v>3.52</c:v>
                      </c:pt>
                      <c:pt idx="753">
                        <c:v>3.53</c:v>
                      </c:pt>
                      <c:pt idx="754">
                        <c:v>3.54</c:v>
                      </c:pt>
                      <c:pt idx="755">
                        <c:v>3.55</c:v>
                      </c:pt>
                      <c:pt idx="756">
                        <c:v>3.56</c:v>
                      </c:pt>
                      <c:pt idx="757">
                        <c:v>3.57</c:v>
                      </c:pt>
                      <c:pt idx="758">
                        <c:v>3.58</c:v>
                      </c:pt>
                      <c:pt idx="759">
                        <c:v>3.59</c:v>
                      </c:pt>
                      <c:pt idx="760">
                        <c:v>3.6</c:v>
                      </c:pt>
                      <c:pt idx="761">
                        <c:v>3.61</c:v>
                      </c:pt>
                      <c:pt idx="762">
                        <c:v>3.62</c:v>
                      </c:pt>
                      <c:pt idx="763">
                        <c:v>3.63</c:v>
                      </c:pt>
                      <c:pt idx="764">
                        <c:v>3.64</c:v>
                      </c:pt>
                      <c:pt idx="765">
                        <c:v>3.65</c:v>
                      </c:pt>
                      <c:pt idx="766">
                        <c:v>3.66</c:v>
                      </c:pt>
                      <c:pt idx="767">
                        <c:v>3.67</c:v>
                      </c:pt>
                      <c:pt idx="768">
                        <c:v>3.68</c:v>
                      </c:pt>
                      <c:pt idx="769">
                        <c:v>3.69</c:v>
                      </c:pt>
                      <c:pt idx="770">
                        <c:v>3.7</c:v>
                      </c:pt>
                      <c:pt idx="771">
                        <c:v>3.71</c:v>
                      </c:pt>
                      <c:pt idx="772">
                        <c:v>3.72</c:v>
                      </c:pt>
                      <c:pt idx="773">
                        <c:v>3.73</c:v>
                      </c:pt>
                      <c:pt idx="774">
                        <c:v>3.74</c:v>
                      </c:pt>
                      <c:pt idx="775">
                        <c:v>3.75</c:v>
                      </c:pt>
                      <c:pt idx="776">
                        <c:v>3.76</c:v>
                      </c:pt>
                      <c:pt idx="777">
                        <c:v>3.77</c:v>
                      </c:pt>
                      <c:pt idx="778">
                        <c:v>3.78</c:v>
                      </c:pt>
                      <c:pt idx="779">
                        <c:v>3.79</c:v>
                      </c:pt>
                      <c:pt idx="780">
                        <c:v>3.8</c:v>
                      </c:pt>
                      <c:pt idx="781">
                        <c:v>3.81</c:v>
                      </c:pt>
                      <c:pt idx="782">
                        <c:v>3.82</c:v>
                      </c:pt>
                      <c:pt idx="783">
                        <c:v>3.83</c:v>
                      </c:pt>
                      <c:pt idx="784">
                        <c:v>3.84</c:v>
                      </c:pt>
                      <c:pt idx="785">
                        <c:v>3.85</c:v>
                      </c:pt>
                      <c:pt idx="786">
                        <c:v>3.86</c:v>
                      </c:pt>
                      <c:pt idx="787">
                        <c:v>3.87</c:v>
                      </c:pt>
                      <c:pt idx="788">
                        <c:v>3.88</c:v>
                      </c:pt>
                      <c:pt idx="789">
                        <c:v>3.89</c:v>
                      </c:pt>
                      <c:pt idx="790">
                        <c:v>3.9</c:v>
                      </c:pt>
                      <c:pt idx="791">
                        <c:v>3.91</c:v>
                      </c:pt>
                      <c:pt idx="792">
                        <c:v>3.92</c:v>
                      </c:pt>
                      <c:pt idx="793">
                        <c:v>3.93</c:v>
                      </c:pt>
                      <c:pt idx="794">
                        <c:v>3.94</c:v>
                      </c:pt>
                      <c:pt idx="795">
                        <c:v>3.95</c:v>
                      </c:pt>
                      <c:pt idx="796">
                        <c:v>3.96</c:v>
                      </c:pt>
                      <c:pt idx="797">
                        <c:v>3.97</c:v>
                      </c:pt>
                      <c:pt idx="798">
                        <c:v>3.98</c:v>
                      </c:pt>
                      <c:pt idx="799">
                        <c:v>3.99</c:v>
                      </c:pt>
                      <c:pt idx="800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Лист1!$Z$3:$Z$803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5.8440944333451469E-2</c:v>
                      </c:pt>
                      <c:pt idx="205">
                        <c:v>5.9594706068816075E-2</c:v>
                      </c:pt>
                      <c:pt idx="206">
                        <c:v>6.0765168954564776E-2</c:v>
                      </c:pt>
                      <c:pt idx="207">
                        <c:v>6.1952424628105164E-2</c:v>
                      </c:pt>
                      <c:pt idx="208">
                        <c:v>6.3156561435198655E-2</c:v>
                      </c:pt>
                      <c:pt idx="209">
                        <c:v>6.4377664329969359E-2</c:v>
                      </c:pt>
                      <c:pt idx="210">
                        <c:v>6.5615814774676595E-2</c:v>
                      </c:pt>
                      <c:pt idx="211">
                        <c:v>6.6871090639307157E-2</c:v>
                      </c:pt>
                      <c:pt idx="212">
                        <c:v>6.8143566101044578E-2</c:v>
                      </c:pt>
                      <c:pt idx="213">
                        <c:v>6.9433311543674187E-2</c:v>
                      </c:pt>
                      <c:pt idx="214">
                        <c:v>7.074039345698338E-2</c:v>
                      </c:pt>
                      <c:pt idx="215">
                        <c:v>7.2064874336217985E-2</c:v>
                      </c:pt>
                      <c:pt idx="216">
                        <c:v>7.3406812581656891E-2</c:v>
                      </c:pt>
                      <c:pt idx="217">
                        <c:v>7.4766262398367603E-2</c:v>
                      </c:pt>
                      <c:pt idx="218">
                        <c:v>7.6143273696207311E-2</c:v>
                      </c:pt>
                      <c:pt idx="219">
                        <c:v>7.7537891990133986E-2</c:v>
                      </c:pt>
                      <c:pt idx="220">
                        <c:v>7.8950158300894149E-2</c:v>
                      </c:pt>
                      <c:pt idx="221">
                        <c:v>8.038010905615417E-2</c:v>
                      </c:pt>
                      <c:pt idx="222">
                        <c:v>8.1827775992142804E-2</c:v>
                      </c:pt>
                      <c:pt idx="223">
                        <c:v>8.3293186055874463E-2</c:v>
                      </c:pt>
                      <c:pt idx="224">
                        <c:v>8.4776361308022227E-2</c:v>
                      </c:pt>
                      <c:pt idx="225">
                        <c:v>8.6277318826511532E-2</c:v>
                      </c:pt>
                      <c:pt idx="226">
                        <c:v>8.7796070610905622E-2</c:v>
                      </c:pt>
                      <c:pt idx="227">
                        <c:v>8.9332623487655E-2</c:v>
                      </c:pt>
                      <c:pt idx="228">
                        <c:v>9.0886979016282871E-2</c:v>
                      </c:pt>
                      <c:pt idx="229">
                        <c:v>9.2459133396580684E-2</c:v>
                      </c:pt>
                      <c:pt idx="230">
                        <c:v>9.4049077376886947E-2</c:v>
                      </c:pt>
                      <c:pt idx="231">
                        <c:v>9.5656796163524016E-2</c:v>
                      </c:pt>
                      <c:pt idx="232">
                        <c:v>9.7282269331467511E-2</c:v>
                      </c:pt>
                      <c:pt idx="233">
                        <c:v>9.8925470736323712E-2</c:v>
                      </c:pt>
                      <c:pt idx="234">
                        <c:v>0.10058636842769057</c:v>
                      </c:pt>
                      <c:pt idx="235">
                        <c:v>0.10226492456397804</c:v>
                      </c:pt>
                      <c:pt idx="236">
                        <c:v>0.10396109532876423</c:v>
                      </c:pt>
                      <c:pt idx="237">
                        <c:v>0.10567483084876363</c:v>
                      </c:pt>
                      <c:pt idx="238">
                        <c:v>0.1074060751134838</c:v>
                      </c:pt>
                      <c:pt idx="239">
                        <c:v>0.10915476589664735</c:v>
                      </c:pt>
                      <c:pt idx="240">
                        <c:v>0.11092083467945554</c:v>
                      </c:pt>
                      <c:pt idx="241">
                        <c:v>0.11270420657577056</c:v>
                      </c:pt>
                      <c:pt idx="242">
                        <c:v>0.11450480025929236</c:v>
                      </c:pt>
                      <c:pt idx="243">
                        <c:v>0.11632252789280709</c:v>
                      </c:pt>
                      <c:pt idx="244">
                        <c:v>0.11815729505958227</c:v>
                      </c:pt>
                      <c:pt idx="245">
                        <c:v>0.12000900069698558</c:v>
                      </c:pt>
                      <c:pt idx="246">
                        <c:v>0.12187753703240178</c:v>
                      </c:pt>
                      <c:pt idx="247">
                        <c:v>0.12376278952152313</c:v>
                      </c:pt>
                      <c:pt idx="248">
                        <c:v>0.12566463678908815</c:v>
                      </c:pt>
                      <c:pt idx="249">
                        <c:v>0.12758295057214186</c:v>
                      </c:pt>
                      <c:pt idx="250">
                        <c:v>0.12951759566589174</c:v>
                      </c:pt>
                      <c:pt idx="251">
                        <c:v>0.13146842987223104</c:v>
                      </c:pt>
                      <c:pt idx="252">
                        <c:v>0.13343530395100231</c:v>
                      </c:pt>
                      <c:pt idx="253">
                        <c:v>0.1354180615740713</c:v>
                      </c:pt>
                      <c:pt idx="254">
                        <c:v>0.13741653928228179</c:v>
                      </c:pt>
                      <c:pt idx="255">
                        <c:v>0.13943056644536028</c:v>
                      </c:pt>
                      <c:pt idx="256">
                        <c:v>0.14145996522483878</c:v>
                      </c:pt>
                      <c:pt idx="257">
                        <c:v>0.14350455054006242</c:v>
                      </c:pt>
                      <c:pt idx="258">
                        <c:v>0.14556413003734761</c:v>
                      </c:pt>
                      <c:pt idx="259">
                        <c:v>0.14763850406235574</c:v>
                      </c:pt>
                      <c:pt idx="260">
                        <c:v>0.14972746563574488</c:v>
                      </c:pt>
                      <c:pt idx="261">
                        <c:v>0.15183080043216168</c:v>
                      </c:pt>
                      <c:pt idx="262">
                        <c:v>0.15394828676263372</c:v>
                      </c:pt>
                      <c:pt idx="263">
                        <c:v>0.15607969556042084</c:v>
                      </c:pt>
                      <c:pt idx="264">
                        <c:v>0.15822479037038303</c:v>
                      </c:pt>
                      <c:pt idx="265">
                        <c:v>0.1603833273419196</c:v>
                      </c:pt>
                      <c:pt idx="266">
                        <c:v>0.16255505522553412</c:v>
                      </c:pt>
                      <c:pt idx="267">
                        <c:v>0.1647397153730768</c:v>
                      </c:pt>
                      <c:pt idx="268">
                        <c:v>0.16693704174171381</c:v>
                      </c:pt>
                      <c:pt idx="269">
                        <c:v>0.16914676090167238</c:v>
                      </c:pt>
                      <c:pt idx="270">
                        <c:v>0.17136859204780736</c:v>
                      </c:pt>
                      <c:pt idx="271">
                        <c:v>0.17360224701503299</c:v>
                      </c:pt>
                      <c:pt idx="272">
                        <c:v>0.17584743029766237</c:v>
                      </c:pt>
                      <c:pt idx="273">
                        <c:v>0.17810383907269359</c:v>
                      </c:pt>
                      <c:pt idx="274">
                        <c:v>0.18037116322708033</c:v>
                      </c:pt>
                      <c:pt idx="275">
                        <c:v>0.18264908538902191</c:v>
                      </c:pt>
                      <c:pt idx="276">
                        <c:v>0.18493728096330531</c:v>
                      </c:pt>
                      <c:pt idx="277">
                        <c:v>0.18723541817072956</c:v>
                      </c:pt>
                      <c:pt idx="278">
                        <c:v>0.18954315809164024</c:v>
                      </c:pt>
                      <c:pt idx="279">
                        <c:v>0.19186015471359938</c:v>
                      </c:pt>
                      <c:pt idx="280">
                        <c:v>0.19418605498321295</c:v>
                      </c:pt>
                      <c:pt idx="281">
                        <c:v>0.19652049886213654</c:v>
                      </c:pt>
                      <c:pt idx="282">
                        <c:v>0.19886311938727591</c:v>
                      </c:pt>
                      <c:pt idx="283">
                        <c:v>0.2012135427351974</c:v>
                      </c:pt>
                      <c:pt idx="284">
                        <c:v>0.20357138829075944</c:v>
                      </c:pt>
                      <c:pt idx="285">
                        <c:v>0.20593626871997478</c:v>
                      </c:pt>
                      <c:pt idx="286">
                        <c:v>0.20830779004710837</c:v>
                      </c:pt>
                      <c:pt idx="287">
                        <c:v>0.21068555173601533</c:v>
                      </c:pt>
                      <c:pt idx="288">
                        <c:v>0.21306914677571784</c:v>
                      </c:pt>
                      <c:pt idx="289">
                        <c:v>0.21545816177021967</c:v>
                      </c:pt>
                      <c:pt idx="290">
                        <c:v>0.21785217703255053</c:v>
                      </c:pt>
                      <c:pt idx="291">
                        <c:v>0.22025076668303326</c:v>
                      </c:pt>
                      <c:pt idx="292">
                        <c:v>0.22265349875176113</c:v>
                      </c:pt>
                      <c:pt idx="293">
                        <c:v>0.22505993528526966</c:v>
                      </c:pt>
                      <c:pt idx="294">
                        <c:v>0.22746963245738591</c:v>
                      </c:pt>
                      <c:pt idx="295">
                        <c:v>0.22988214068423302</c:v>
                      </c:pt>
                      <c:pt idx="296">
                        <c:v>0.2322970047433662</c:v>
                      </c:pt>
                      <c:pt idx="297">
                        <c:v>0.23471376389701182</c:v>
                      </c:pt>
                      <c:pt idx="298">
                        <c:v>0.23713195201937959</c:v>
                      </c:pt>
                      <c:pt idx="299">
                        <c:v>0.23955109772801336</c:v>
                      </c:pt>
                      <c:pt idx="300">
                        <c:v>0.24197072451914337</c:v>
                      </c:pt>
                      <c:pt idx="301">
                        <c:v>0.24439035090699956</c:v>
                      </c:pt>
                      <c:pt idx="302">
                        <c:v>0.24680949056704274</c:v>
                      </c:pt>
                      <c:pt idx="303">
                        <c:v>0.24922765248306594</c:v>
                      </c:pt>
                      <c:pt idx="304">
                        <c:v>0.25164434109811712</c:v>
                      </c:pt>
                      <c:pt idx="305">
                        <c:v>0.25405905646918903</c:v>
                      </c:pt>
                      <c:pt idx="306">
                        <c:v>0.25647129442562033</c:v>
                      </c:pt>
                      <c:pt idx="307">
                        <c:v>0.2588805467311488</c:v>
                      </c:pt>
                      <c:pt idx="308">
                        <c:v>0.26128630124955315</c:v>
                      </c:pt>
                      <c:pt idx="309">
                        <c:v>0.26368804211381813</c:v>
                      </c:pt>
                      <c:pt idx="310">
                        <c:v>0.26608524989875482</c:v>
                      </c:pt>
                      <c:pt idx="311">
                        <c:v>0.26847740179700241</c:v>
                      </c:pt>
                      <c:pt idx="312">
                        <c:v>0.27086397179833799</c:v>
                      </c:pt>
                      <c:pt idx="313">
                        <c:v>0.27324443087221623</c:v>
                      </c:pt>
                      <c:pt idx="314">
                        <c:v>0.27561824715345667</c:v>
                      </c:pt>
                      <c:pt idx="315">
                        <c:v>0.27798488613099648</c:v>
                      </c:pt>
                      <c:pt idx="316">
                        <c:v>0.28034381083962062</c:v>
                      </c:pt>
                      <c:pt idx="317">
                        <c:v>0.28269448205458025</c:v>
                      </c:pt>
                      <c:pt idx="318">
                        <c:v>0.28503635848900727</c:v>
                      </c:pt>
                      <c:pt idx="319">
                        <c:v>0.28736889699402829</c:v>
                      </c:pt>
                      <c:pt idx="320">
                        <c:v>0.28969155276148273</c:v>
                      </c:pt>
                      <c:pt idx="321">
                        <c:v>0.29200377952914142</c:v>
                      </c:pt>
                      <c:pt idx="322">
                        <c:v>0.29430502978832512</c:v>
                      </c:pt>
                      <c:pt idx="323">
                        <c:v>0.29659475499381571</c:v>
                      </c:pt>
                      <c:pt idx="324">
                        <c:v>0.29887240577595275</c:v>
                      </c:pt>
                      <c:pt idx="325">
                        <c:v>0.30113743215480443</c:v>
                      </c:pt>
                      <c:pt idx="326">
                        <c:v>0.30338928375630014</c:v>
                      </c:pt>
                      <c:pt idx="327">
                        <c:v>0.30562741003020988</c:v>
                      </c:pt>
                      <c:pt idx="328">
                        <c:v>0.30785126046985295</c:v>
                      </c:pt>
                      <c:pt idx="329">
                        <c:v>0.31006028483341613</c:v>
                      </c:pt>
                      <c:pt idx="330">
                        <c:v>0.31225393336676127</c:v>
                      </c:pt>
                      <c:pt idx="331">
                        <c:v>0.31443165702759734</c:v>
                      </c:pt>
                      <c:pt idx="332">
                        <c:v>0.31659290771089277</c:v>
                      </c:pt>
                      <c:pt idx="333">
                        <c:v>0.31873713847540153</c:v>
                      </c:pt>
                      <c:pt idx="334">
                        <c:v>0.32086380377117252</c:v>
                      </c:pt>
                      <c:pt idx="335">
                        <c:v>0.32297235966791427</c:v>
                      </c:pt>
                      <c:pt idx="336">
                        <c:v>0.32506226408408218</c:v>
                      </c:pt>
                      <c:pt idx="337">
                        <c:v>0.32713297701655447</c:v>
                      </c:pt>
                      <c:pt idx="338">
                        <c:v>0.32918396077076478</c:v>
                      </c:pt>
                      <c:pt idx="339">
                        <c:v>0.33121468019115297</c:v>
                      </c:pt>
                      <c:pt idx="340">
                        <c:v>0.33322460289179967</c:v>
                      </c:pt>
                      <c:pt idx="341">
                        <c:v>0.33521319948710609</c:v>
                      </c:pt>
                      <c:pt idx="342">
                        <c:v>0.33717994382238059</c:v>
                      </c:pt>
                      <c:pt idx="343">
                        <c:v>0.33912431320419223</c:v>
                      </c:pt>
                      <c:pt idx="344">
                        <c:v>0.34104578863035256</c:v>
                      </c:pt>
                      <c:pt idx="345">
                        <c:v>0.3429438550193839</c:v>
                      </c:pt>
                      <c:pt idx="346">
                        <c:v>0.34481800143933333</c:v>
                      </c:pt>
                      <c:pt idx="347">
                        <c:v>0.34666772133579166</c:v>
                      </c:pt>
                      <c:pt idx="348">
                        <c:v>0.34849251275897447</c:v>
                      </c:pt>
                      <c:pt idx="349">
                        <c:v>0.35029187858972582</c:v>
                      </c:pt>
                      <c:pt idx="350">
                        <c:v>0.35206532676429952</c:v>
                      </c:pt>
                      <c:pt idx="351">
                        <c:v>0.35381237049777969</c:v>
                      </c:pt>
                      <c:pt idx="352">
                        <c:v>0.35553252850599709</c:v>
                      </c:pt>
                      <c:pt idx="353">
                        <c:v>0.35722532522580086</c:v>
                      </c:pt>
                      <c:pt idx="354">
                        <c:v>0.35889029103354464</c:v>
                      </c:pt>
                      <c:pt idx="355">
                        <c:v>0.36052696246164795</c:v>
                      </c:pt>
                      <c:pt idx="356">
                        <c:v>0.36213488241309222</c:v>
                      </c:pt>
                      <c:pt idx="357">
                        <c:v>0.36371360037371342</c:v>
                      </c:pt>
                      <c:pt idx="358">
                        <c:v>0.36526267262215389</c:v>
                      </c:pt>
                      <c:pt idx="359">
                        <c:v>0.36678166243733612</c:v>
                      </c:pt>
                      <c:pt idx="360">
                        <c:v>0.36827014030332333</c:v>
                      </c:pt>
                      <c:pt idx="361">
                        <c:v>0.36972768411143236</c:v>
                      </c:pt>
                      <c:pt idx="362">
                        <c:v>0.37115387935946603</c:v>
                      </c:pt>
                      <c:pt idx="363">
                        <c:v>0.37254831934793342</c:v>
                      </c:pt>
                      <c:pt idx="364">
                        <c:v>0.37391060537312842</c:v>
                      </c:pt>
                      <c:pt idx="365">
                        <c:v>0.37524034691693792</c:v>
                      </c:pt>
                      <c:pt idx="366">
                        <c:v>0.37653716183325392</c:v>
                      </c:pt>
                      <c:pt idx="367">
                        <c:v>0.37780067653086458</c:v>
                      </c:pt>
                      <c:pt idx="368">
                        <c:v>0.37903052615270166</c:v>
                      </c:pt>
                      <c:pt idx="369">
                        <c:v>0.38022635475132494</c:v>
                      </c:pt>
                      <c:pt idx="370">
                        <c:v>0.38138781546052414</c:v>
                      </c:pt>
                      <c:pt idx="371">
                        <c:v>0.38251457066292405</c:v>
                      </c:pt>
                      <c:pt idx="372">
                        <c:v>0.38360629215347858</c:v>
                      </c:pt>
                      <c:pt idx="373">
                        <c:v>0.38466266129874283</c:v>
                      </c:pt>
                      <c:pt idx="374">
                        <c:v>0.38568336919181612</c:v>
                      </c:pt>
                      <c:pt idx="375">
                        <c:v>0.38666811680284924</c:v>
                      </c:pt>
                      <c:pt idx="376">
                        <c:v>0.38761661512501416</c:v>
                      </c:pt>
                      <c:pt idx="377">
                        <c:v>0.38852858531583589</c:v>
                      </c:pt>
                      <c:pt idx="378">
                        <c:v>0.38940375883379041</c:v>
                      </c:pt>
                      <c:pt idx="379">
                        <c:v>0.39024187757007428</c:v>
                      </c:pt>
                      <c:pt idx="380">
                        <c:v>0.39104269397545588</c:v>
                      </c:pt>
                      <c:pt idx="381">
                        <c:v>0.39180597118212113</c:v>
                      </c:pt>
                      <c:pt idx="382">
                        <c:v>0.3925314831204289</c:v>
                      </c:pt>
                      <c:pt idx="383">
                        <c:v>0.39321901463049719</c:v>
                      </c:pt>
                      <c:pt idx="384">
                        <c:v>0.39386836156854083</c:v>
                      </c:pt>
                      <c:pt idx="385">
                        <c:v>0.39447933090788895</c:v>
                      </c:pt>
                      <c:pt idx="386">
                        <c:v>0.39505174083461125</c:v>
                      </c:pt>
                      <c:pt idx="387">
                        <c:v>0.39558542083768738</c:v>
                      </c:pt>
                      <c:pt idx="388">
                        <c:v>0.3960802117936561</c:v>
                      </c:pt>
                      <c:pt idx="389">
                        <c:v>0.39653596604568575</c:v>
                      </c:pt>
                      <c:pt idx="390">
                        <c:v>0.39695254747701181</c:v>
                      </c:pt>
                      <c:pt idx="391">
                        <c:v>0.39732983157868834</c:v>
                      </c:pt>
                      <c:pt idx="392">
                        <c:v>0.39766770551160885</c:v>
                      </c:pt>
                      <c:pt idx="393">
                        <c:v>0.39796606816275104</c:v>
                      </c:pt>
                      <c:pt idx="394">
                        <c:v>0.39822483019560695</c:v>
                      </c:pt>
                      <c:pt idx="395">
                        <c:v>0.39844391409476404</c:v>
                      </c:pt>
                      <c:pt idx="396">
                        <c:v>0.39862325420460504</c:v>
                      </c:pt>
                      <c:pt idx="397">
                        <c:v>0.39876279676209969</c:v>
                      </c:pt>
                      <c:pt idx="398">
                        <c:v>0.39886249992366613</c:v>
                      </c:pt>
                      <c:pt idx="399">
                        <c:v>0.39892233378608216</c:v>
                      </c:pt>
                      <c:pt idx="400">
                        <c:v>0.3989422804014327</c:v>
                      </c:pt>
                      <c:pt idx="401">
                        <c:v>0.39892233378608216</c:v>
                      </c:pt>
                      <c:pt idx="402">
                        <c:v>0.39886249992366613</c:v>
                      </c:pt>
                      <c:pt idx="403">
                        <c:v>0.39876279676209969</c:v>
                      </c:pt>
                      <c:pt idx="404">
                        <c:v>0.39862325420460504</c:v>
                      </c:pt>
                      <c:pt idx="405">
                        <c:v>0.39844391409476404</c:v>
                      </c:pt>
                      <c:pt idx="406">
                        <c:v>0.39822483019560695</c:v>
                      </c:pt>
                      <c:pt idx="407">
                        <c:v>0.39796606816275104</c:v>
                      </c:pt>
                      <c:pt idx="408">
                        <c:v>0.39766770551160885</c:v>
                      </c:pt>
                      <c:pt idx="409">
                        <c:v>0.39732983157868834</c:v>
                      </c:pt>
                      <c:pt idx="410">
                        <c:v>0.39695254747701181</c:v>
                      </c:pt>
                      <c:pt idx="411">
                        <c:v>0.39653596604568575</c:v>
                      </c:pt>
                      <c:pt idx="412">
                        <c:v>0.3960802117936561</c:v>
                      </c:pt>
                      <c:pt idx="413">
                        <c:v>0.39558542083768738</c:v>
                      </c:pt>
                      <c:pt idx="414">
                        <c:v>0.39505174083461125</c:v>
                      </c:pt>
                      <c:pt idx="415">
                        <c:v>0.39447933090788895</c:v>
                      </c:pt>
                      <c:pt idx="416">
                        <c:v>0.39386836156854083</c:v>
                      </c:pt>
                      <c:pt idx="417">
                        <c:v>0.39321901463049719</c:v>
                      </c:pt>
                      <c:pt idx="418">
                        <c:v>0.3925314831204289</c:v>
                      </c:pt>
                      <c:pt idx="419">
                        <c:v>0.39180597118212113</c:v>
                      </c:pt>
                      <c:pt idx="420">
                        <c:v>0.39104269397545588</c:v>
                      </c:pt>
                      <c:pt idx="421">
                        <c:v>0.39024187757007428</c:v>
                      </c:pt>
                      <c:pt idx="422">
                        <c:v>0.38940375883379041</c:v>
                      </c:pt>
                      <c:pt idx="423">
                        <c:v>0.38852858531583589</c:v>
                      </c:pt>
                      <c:pt idx="424">
                        <c:v>0.38761661512501416</c:v>
                      </c:pt>
                      <c:pt idx="425">
                        <c:v>0.38666811680284924</c:v>
                      </c:pt>
                      <c:pt idx="426">
                        <c:v>0.38568336919181612</c:v>
                      </c:pt>
                      <c:pt idx="427">
                        <c:v>0.38466266129874283</c:v>
                      </c:pt>
                      <c:pt idx="428">
                        <c:v>0.38360629215347858</c:v>
                      </c:pt>
                      <c:pt idx="429">
                        <c:v>0.38251457066292405</c:v>
                      </c:pt>
                      <c:pt idx="430">
                        <c:v>0.38138781546052414</c:v>
                      </c:pt>
                      <c:pt idx="431">
                        <c:v>0.38022635475132494</c:v>
                      </c:pt>
                      <c:pt idx="432">
                        <c:v>0.37903052615270166</c:v>
                      </c:pt>
                      <c:pt idx="433">
                        <c:v>0.37780067653086458</c:v>
                      </c:pt>
                      <c:pt idx="434">
                        <c:v>0.37653716183325392</c:v>
                      </c:pt>
                      <c:pt idx="435">
                        <c:v>0.37524034691693792</c:v>
                      </c:pt>
                      <c:pt idx="436">
                        <c:v>0.37391060537312842</c:v>
                      </c:pt>
                      <c:pt idx="437">
                        <c:v>0.37254831934793342</c:v>
                      </c:pt>
                      <c:pt idx="438">
                        <c:v>0.37115387935946603</c:v>
                      </c:pt>
                      <c:pt idx="439">
                        <c:v>0.36972768411143236</c:v>
                      </c:pt>
                      <c:pt idx="440">
                        <c:v>0.36827014030332333</c:v>
                      </c:pt>
                      <c:pt idx="441">
                        <c:v>0.36678166243733612</c:v>
                      </c:pt>
                      <c:pt idx="442">
                        <c:v>0.36526267262215389</c:v>
                      </c:pt>
                      <c:pt idx="443">
                        <c:v>0.36371360037371342</c:v>
                      </c:pt>
                      <c:pt idx="444">
                        <c:v>0.36213488241309222</c:v>
                      </c:pt>
                      <c:pt idx="445">
                        <c:v>0.36052696246164795</c:v>
                      </c:pt>
                      <c:pt idx="446">
                        <c:v>0.35889029103354464</c:v>
                      </c:pt>
                      <c:pt idx="447">
                        <c:v>0.35722532522580086</c:v>
                      </c:pt>
                      <c:pt idx="448">
                        <c:v>0.35553252850599709</c:v>
                      </c:pt>
                      <c:pt idx="449">
                        <c:v>0.35381237049777969</c:v>
                      </c:pt>
                      <c:pt idx="450">
                        <c:v>0.35206532676429952</c:v>
                      </c:pt>
                      <c:pt idx="451">
                        <c:v>0.35029187858972582</c:v>
                      </c:pt>
                      <c:pt idx="452">
                        <c:v>0.34849251275897447</c:v>
                      </c:pt>
                      <c:pt idx="453">
                        <c:v>0.34666772133579166</c:v>
                      </c:pt>
                      <c:pt idx="454">
                        <c:v>0.34481800143933333</c:v>
                      </c:pt>
                      <c:pt idx="455">
                        <c:v>0.3429438550193839</c:v>
                      </c:pt>
                      <c:pt idx="456">
                        <c:v>0.34104578863035256</c:v>
                      </c:pt>
                      <c:pt idx="457">
                        <c:v>0.33912431320419223</c:v>
                      </c:pt>
                      <c:pt idx="458">
                        <c:v>0.33717994382238059</c:v>
                      </c:pt>
                      <c:pt idx="459">
                        <c:v>0.33521319948710609</c:v>
                      </c:pt>
                      <c:pt idx="460">
                        <c:v>0.33322460289179967</c:v>
                      </c:pt>
                      <c:pt idx="461">
                        <c:v>0.33121468019115297</c:v>
                      </c:pt>
                      <c:pt idx="462">
                        <c:v>0.32918396077076478</c:v>
                      </c:pt>
                      <c:pt idx="463">
                        <c:v>0.32713297701655447</c:v>
                      </c:pt>
                      <c:pt idx="464">
                        <c:v>0.32506226408408218</c:v>
                      </c:pt>
                      <c:pt idx="465">
                        <c:v>0.32297235966791427</c:v>
                      </c:pt>
                      <c:pt idx="466">
                        <c:v>0.32086380377117252</c:v>
                      </c:pt>
                      <c:pt idx="467">
                        <c:v>0.31873713847540153</c:v>
                      </c:pt>
                      <c:pt idx="468">
                        <c:v>0.31659290771089277</c:v>
                      </c:pt>
                      <c:pt idx="469">
                        <c:v>0.31443165702759734</c:v>
                      </c:pt>
                      <c:pt idx="470">
                        <c:v>0.31225393336676127</c:v>
                      </c:pt>
                      <c:pt idx="471">
                        <c:v>0.31006028483341613</c:v>
                      </c:pt>
                      <c:pt idx="472">
                        <c:v>0.30785126046985295</c:v>
                      </c:pt>
                      <c:pt idx="473">
                        <c:v>0.30562741003020988</c:v>
                      </c:pt>
                      <c:pt idx="474">
                        <c:v>0.30338928375630014</c:v>
                      </c:pt>
                      <c:pt idx="475">
                        <c:v>0.30113743215480443</c:v>
                      </c:pt>
                      <c:pt idx="476">
                        <c:v>0.29887240577595275</c:v>
                      </c:pt>
                      <c:pt idx="477">
                        <c:v>0.29659475499381571</c:v>
                      </c:pt>
                      <c:pt idx="478">
                        <c:v>0.29430502978832512</c:v>
                      </c:pt>
                      <c:pt idx="479">
                        <c:v>0.29200377952914142</c:v>
                      </c:pt>
                      <c:pt idx="480">
                        <c:v>0.28969155276148273</c:v>
                      </c:pt>
                      <c:pt idx="481">
                        <c:v>0.28736889699402829</c:v>
                      </c:pt>
                      <c:pt idx="482">
                        <c:v>0.28503635848900727</c:v>
                      </c:pt>
                      <c:pt idx="483">
                        <c:v>0.28269448205458025</c:v>
                      </c:pt>
                      <c:pt idx="484">
                        <c:v>0.28034381083962062</c:v>
                      </c:pt>
                      <c:pt idx="485">
                        <c:v>0.27798488613099648</c:v>
                      </c:pt>
                      <c:pt idx="486">
                        <c:v>0.27561824715345667</c:v>
                      </c:pt>
                      <c:pt idx="487">
                        <c:v>0.27324443087221623</c:v>
                      </c:pt>
                      <c:pt idx="488">
                        <c:v>0.27086397179833799</c:v>
                      </c:pt>
                      <c:pt idx="489">
                        <c:v>0.26847740179700241</c:v>
                      </c:pt>
                      <c:pt idx="490">
                        <c:v>0.26608524989875482</c:v>
                      </c:pt>
                      <c:pt idx="491">
                        <c:v>0.26368804211381813</c:v>
                      </c:pt>
                      <c:pt idx="492">
                        <c:v>0.26128630124955315</c:v>
                      </c:pt>
                      <c:pt idx="493">
                        <c:v>0.2588805467311488</c:v>
                      </c:pt>
                      <c:pt idx="494">
                        <c:v>0.25647129442562033</c:v>
                      </c:pt>
                      <c:pt idx="495">
                        <c:v>0.25405905646918903</c:v>
                      </c:pt>
                      <c:pt idx="496">
                        <c:v>0.25164434109811712</c:v>
                      </c:pt>
                      <c:pt idx="497">
                        <c:v>0.24922765248306594</c:v>
                      </c:pt>
                      <c:pt idx="498">
                        <c:v>0.24680949056704274</c:v>
                      </c:pt>
                      <c:pt idx="499">
                        <c:v>0.24439035090699956</c:v>
                      </c:pt>
                      <c:pt idx="500">
                        <c:v>0.24197072451914337</c:v>
                      </c:pt>
                      <c:pt idx="501">
                        <c:v>0.23955109772801336</c:v>
                      </c:pt>
                      <c:pt idx="502">
                        <c:v>0.23713195201937959</c:v>
                      </c:pt>
                      <c:pt idx="503">
                        <c:v>0.23471376389701182</c:v>
                      </c:pt>
                      <c:pt idx="504">
                        <c:v>0.2322970047433662</c:v>
                      </c:pt>
                      <c:pt idx="505">
                        <c:v>0.22988214068423302</c:v>
                      </c:pt>
                      <c:pt idx="506">
                        <c:v>0.22746963245738591</c:v>
                      </c:pt>
                      <c:pt idx="507">
                        <c:v>0.22505993528526966</c:v>
                      </c:pt>
                      <c:pt idx="508">
                        <c:v>0.22265349875176113</c:v>
                      </c:pt>
                      <c:pt idx="509">
                        <c:v>0.22025076668303326</c:v>
                      </c:pt>
                      <c:pt idx="510">
                        <c:v>0.21785217703255053</c:v>
                      </c:pt>
                      <c:pt idx="511">
                        <c:v>0.21545816177021967</c:v>
                      </c:pt>
                      <c:pt idx="512">
                        <c:v>0.21306914677571784</c:v>
                      </c:pt>
                      <c:pt idx="513">
                        <c:v>0.21068555173601533</c:v>
                      </c:pt>
                      <c:pt idx="514">
                        <c:v>0.20830779004710837</c:v>
                      </c:pt>
                      <c:pt idx="515">
                        <c:v>0.20593626871997478</c:v>
                      </c:pt>
                      <c:pt idx="516">
                        <c:v>0.20357138829075944</c:v>
                      </c:pt>
                      <c:pt idx="517">
                        <c:v>0.2012135427351974</c:v>
                      </c:pt>
                      <c:pt idx="518">
                        <c:v>0.19886311938727591</c:v>
                      </c:pt>
                      <c:pt idx="519">
                        <c:v>0.19652049886213654</c:v>
                      </c:pt>
                      <c:pt idx="520">
                        <c:v>0.19418605498321295</c:v>
                      </c:pt>
                      <c:pt idx="521">
                        <c:v>0.19186015471359938</c:v>
                      </c:pt>
                      <c:pt idx="522">
                        <c:v>0.18954315809164024</c:v>
                      </c:pt>
                      <c:pt idx="523">
                        <c:v>0.18723541817072956</c:v>
                      </c:pt>
                      <c:pt idx="524">
                        <c:v>0.18493728096330531</c:v>
                      </c:pt>
                      <c:pt idx="525">
                        <c:v>0.18264908538902191</c:v>
                      </c:pt>
                      <c:pt idx="526">
                        <c:v>0.18037116322708033</c:v>
                      </c:pt>
                      <c:pt idx="527">
                        <c:v>0.17810383907269359</c:v>
                      </c:pt>
                      <c:pt idx="528">
                        <c:v>0.17584743029766237</c:v>
                      </c:pt>
                      <c:pt idx="529">
                        <c:v>0.17360224701503299</c:v>
                      </c:pt>
                      <c:pt idx="530">
                        <c:v>0.17136859204780736</c:v>
                      </c:pt>
                      <c:pt idx="531">
                        <c:v>0.16914676090167238</c:v>
                      </c:pt>
                      <c:pt idx="532">
                        <c:v>0.16693704174171381</c:v>
                      </c:pt>
                      <c:pt idx="533">
                        <c:v>0.1647397153730768</c:v>
                      </c:pt>
                      <c:pt idx="534">
                        <c:v>0.16255505522553412</c:v>
                      </c:pt>
                      <c:pt idx="535">
                        <c:v>0.1603833273419196</c:v>
                      </c:pt>
                      <c:pt idx="536">
                        <c:v>0.15822479037038303</c:v>
                      </c:pt>
                      <c:pt idx="537">
                        <c:v>0.15607969556042084</c:v>
                      </c:pt>
                      <c:pt idx="538">
                        <c:v>0.15394828676263372</c:v>
                      </c:pt>
                      <c:pt idx="539">
                        <c:v>0.15183080043216168</c:v>
                      </c:pt>
                      <c:pt idx="540">
                        <c:v>0.14972746563574488</c:v>
                      </c:pt>
                      <c:pt idx="541">
                        <c:v>0.14763850406235574</c:v>
                      </c:pt>
                      <c:pt idx="542">
                        <c:v>0.14556413003734761</c:v>
                      </c:pt>
                      <c:pt idx="543">
                        <c:v>0.14350455054006242</c:v>
                      </c:pt>
                      <c:pt idx="544">
                        <c:v>0.14145996522483878</c:v>
                      </c:pt>
                      <c:pt idx="545">
                        <c:v>0.13943056644536028</c:v>
                      </c:pt>
                      <c:pt idx="546">
                        <c:v>0.13741653928228179</c:v>
                      </c:pt>
                      <c:pt idx="547">
                        <c:v>0.1354180615740713</c:v>
                      </c:pt>
                      <c:pt idx="548">
                        <c:v>0.13343530395100231</c:v>
                      </c:pt>
                      <c:pt idx="549">
                        <c:v>0.13146842987223104</c:v>
                      </c:pt>
                      <c:pt idx="550">
                        <c:v>0.12951759566589174</c:v>
                      </c:pt>
                      <c:pt idx="551">
                        <c:v>0.12758295057214186</c:v>
                      </c:pt>
                      <c:pt idx="552">
                        <c:v>0.12566463678908815</c:v>
                      </c:pt>
                      <c:pt idx="553">
                        <c:v>0.12376278952152313</c:v>
                      </c:pt>
                      <c:pt idx="554">
                        <c:v>0.12187753703240178</c:v>
                      </c:pt>
                      <c:pt idx="555">
                        <c:v>0.12000900069698558</c:v>
                      </c:pt>
                      <c:pt idx="556">
                        <c:v>0.11815729505958227</c:v>
                      </c:pt>
                      <c:pt idx="557">
                        <c:v>0.11632252789280709</c:v>
                      </c:pt>
                      <c:pt idx="558">
                        <c:v>0.11450480025929236</c:v>
                      </c:pt>
                      <c:pt idx="559">
                        <c:v>0.11270420657577056</c:v>
                      </c:pt>
                      <c:pt idx="560">
                        <c:v>0.11092083467945554</c:v>
                      </c:pt>
                      <c:pt idx="561">
                        <c:v>0.10915476589664735</c:v>
                      </c:pt>
                      <c:pt idx="562">
                        <c:v>0.1074060751134838</c:v>
                      </c:pt>
                      <c:pt idx="563">
                        <c:v>0.10567483084876363</c:v>
                      </c:pt>
                      <c:pt idx="564">
                        <c:v>0.10396109532876423</c:v>
                      </c:pt>
                      <c:pt idx="565">
                        <c:v>0.10226492456397804</c:v>
                      </c:pt>
                      <c:pt idx="566">
                        <c:v>0.10058636842769057</c:v>
                      </c:pt>
                      <c:pt idx="567">
                        <c:v>9.8925470736323712E-2</c:v>
                      </c:pt>
                      <c:pt idx="568">
                        <c:v>9.7282269331467511E-2</c:v>
                      </c:pt>
                      <c:pt idx="569">
                        <c:v>9.5656796163524016E-2</c:v>
                      </c:pt>
                      <c:pt idx="570">
                        <c:v>9.4049077376886947E-2</c:v>
                      </c:pt>
                      <c:pt idx="571">
                        <c:v>9.2459133396580684E-2</c:v>
                      </c:pt>
                      <c:pt idx="572">
                        <c:v>9.0886979016282871E-2</c:v>
                      </c:pt>
                      <c:pt idx="573">
                        <c:v>8.9332623487655E-2</c:v>
                      </c:pt>
                      <c:pt idx="574">
                        <c:v>8.7796070610905622E-2</c:v>
                      </c:pt>
                      <c:pt idx="575">
                        <c:v>8.6277318826511532E-2</c:v>
                      </c:pt>
                      <c:pt idx="576">
                        <c:v>8.4776361308022227E-2</c:v>
                      </c:pt>
                      <c:pt idx="577">
                        <c:v>8.3293186055874463E-2</c:v>
                      </c:pt>
                      <c:pt idx="578">
                        <c:v>8.1827775992142804E-2</c:v>
                      </c:pt>
                      <c:pt idx="579">
                        <c:v>8.038010905615417E-2</c:v>
                      </c:pt>
                      <c:pt idx="580">
                        <c:v>7.8950158300894149E-2</c:v>
                      </c:pt>
                      <c:pt idx="581">
                        <c:v>7.7537891990133986E-2</c:v>
                      </c:pt>
                      <c:pt idx="582">
                        <c:v>7.6143273696207311E-2</c:v>
                      </c:pt>
                      <c:pt idx="583">
                        <c:v>7.4766262398367603E-2</c:v>
                      </c:pt>
                      <c:pt idx="584">
                        <c:v>7.3406812581656891E-2</c:v>
                      </c:pt>
                      <c:pt idx="585">
                        <c:v>7.2064874336217985E-2</c:v>
                      </c:pt>
                      <c:pt idx="586">
                        <c:v>7.074039345698338E-2</c:v>
                      </c:pt>
                      <c:pt idx="587">
                        <c:v>6.9433311543674187E-2</c:v>
                      </c:pt>
                      <c:pt idx="588">
                        <c:v>6.8143566101044578E-2</c:v>
                      </c:pt>
                      <c:pt idx="589">
                        <c:v>6.6871090639307157E-2</c:v>
                      </c:pt>
                      <c:pt idx="590">
                        <c:v>6.5615814774676595E-2</c:v>
                      </c:pt>
                      <c:pt idx="591">
                        <c:v>6.4377664329969359E-2</c:v>
                      </c:pt>
                      <c:pt idx="592">
                        <c:v>6.3156561435198655E-2</c:v>
                      </c:pt>
                      <c:pt idx="593">
                        <c:v>6.1952424628105164E-2</c:v>
                      </c:pt>
                      <c:pt idx="594">
                        <c:v>6.0765168954564776E-2</c:v>
                      </c:pt>
                      <c:pt idx="595">
                        <c:v>5.9594706068816075E-2</c:v>
                      </c:pt>
                      <c:pt idx="596">
                        <c:v>5.8440944333451469E-2</c:v>
                      </c:pt>
                      <c:pt idx="597">
                        <c:v>#N/A</c:v>
                      </c:pt>
                      <c:pt idx="598">
                        <c:v>#N/A</c:v>
                      </c:pt>
                      <c:pt idx="599">
                        <c:v>#N/A</c:v>
                      </c:pt>
                      <c:pt idx="600">
                        <c:v>#N/A</c:v>
                      </c:pt>
                      <c:pt idx="601">
                        <c:v>#N/A</c:v>
                      </c:pt>
                      <c:pt idx="602">
                        <c:v>#N/A</c:v>
                      </c:pt>
                      <c:pt idx="603">
                        <c:v>#N/A</c:v>
                      </c:pt>
                      <c:pt idx="604">
                        <c:v>#N/A</c:v>
                      </c:pt>
                      <c:pt idx="605">
                        <c:v>#N/A</c:v>
                      </c:pt>
                      <c:pt idx="606">
                        <c:v>#N/A</c:v>
                      </c:pt>
                      <c:pt idx="607">
                        <c:v>#N/A</c:v>
                      </c:pt>
                      <c:pt idx="608">
                        <c:v>#N/A</c:v>
                      </c:pt>
                      <c:pt idx="609">
                        <c:v>#N/A</c:v>
                      </c:pt>
                      <c:pt idx="610">
                        <c:v>#N/A</c:v>
                      </c:pt>
                      <c:pt idx="611">
                        <c:v>#N/A</c:v>
                      </c:pt>
                      <c:pt idx="612">
                        <c:v>#N/A</c:v>
                      </c:pt>
                      <c:pt idx="613">
                        <c:v>#N/A</c:v>
                      </c:pt>
                      <c:pt idx="614">
                        <c:v>#N/A</c:v>
                      </c:pt>
                      <c:pt idx="615">
                        <c:v>#N/A</c:v>
                      </c:pt>
                      <c:pt idx="616">
                        <c:v>#N/A</c:v>
                      </c:pt>
                      <c:pt idx="617">
                        <c:v>#N/A</c:v>
                      </c:pt>
                      <c:pt idx="618">
                        <c:v>#N/A</c:v>
                      </c:pt>
                      <c:pt idx="619">
                        <c:v>#N/A</c:v>
                      </c:pt>
                      <c:pt idx="620">
                        <c:v>#N/A</c:v>
                      </c:pt>
                      <c:pt idx="621">
                        <c:v>#N/A</c:v>
                      </c:pt>
                      <c:pt idx="622">
                        <c:v>#N/A</c:v>
                      </c:pt>
                      <c:pt idx="623">
                        <c:v>#N/A</c:v>
                      </c:pt>
                      <c:pt idx="624">
                        <c:v>#N/A</c:v>
                      </c:pt>
                      <c:pt idx="625">
                        <c:v>#N/A</c:v>
                      </c:pt>
                      <c:pt idx="626">
                        <c:v>#N/A</c:v>
                      </c:pt>
                      <c:pt idx="627">
                        <c:v>#N/A</c:v>
                      </c:pt>
                      <c:pt idx="628">
                        <c:v>#N/A</c:v>
                      </c:pt>
                      <c:pt idx="629">
                        <c:v>#N/A</c:v>
                      </c:pt>
                      <c:pt idx="630">
                        <c:v>#N/A</c:v>
                      </c:pt>
                      <c:pt idx="631">
                        <c:v>#N/A</c:v>
                      </c:pt>
                      <c:pt idx="632">
                        <c:v>#N/A</c:v>
                      </c:pt>
                      <c:pt idx="633">
                        <c:v>#N/A</c:v>
                      </c:pt>
                      <c:pt idx="634">
                        <c:v>#N/A</c:v>
                      </c:pt>
                      <c:pt idx="635">
                        <c:v>#N/A</c:v>
                      </c:pt>
                      <c:pt idx="636">
                        <c:v>#N/A</c:v>
                      </c:pt>
                      <c:pt idx="637">
                        <c:v>#N/A</c:v>
                      </c:pt>
                      <c:pt idx="638">
                        <c:v>#N/A</c:v>
                      </c:pt>
                      <c:pt idx="639">
                        <c:v>#N/A</c:v>
                      </c:pt>
                      <c:pt idx="640">
                        <c:v>#N/A</c:v>
                      </c:pt>
                      <c:pt idx="641">
                        <c:v>#N/A</c:v>
                      </c:pt>
                      <c:pt idx="642">
                        <c:v>#N/A</c:v>
                      </c:pt>
                      <c:pt idx="643">
                        <c:v>#N/A</c:v>
                      </c:pt>
                      <c:pt idx="644">
                        <c:v>#N/A</c:v>
                      </c:pt>
                      <c:pt idx="645">
                        <c:v>#N/A</c:v>
                      </c:pt>
                      <c:pt idx="646">
                        <c:v>#N/A</c:v>
                      </c:pt>
                      <c:pt idx="647">
                        <c:v>#N/A</c:v>
                      </c:pt>
                      <c:pt idx="648">
                        <c:v>#N/A</c:v>
                      </c:pt>
                      <c:pt idx="649">
                        <c:v>#N/A</c:v>
                      </c:pt>
                      <c:pt idx="650">
                        <c:v>#N/A</c:v>
                      </c:pt>
                      <c:pt idx="651">
                        <c:v>#N/A</c:v>
                      </c:pt>
                      <c:pt idx="652">
                        <c:v>#N/A</c:v>
                      </c:pt>
                      <c:pt idx="653">
                        <c:v>#N/A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  <c:pt idx="699">
                        <c:v>#N/A</c:v>
                      </c:pt>
                      <c:pt idx="700">
                        <c:v>#N/A</c:v>
                      </c:pt>
                      <c:pt idx="701">
                        <c:v>#N/A</c:v>
                      </c:pt>
                      <c:pt idx="702">
                        <c:v>#N/A</c:v>
                      </c:pt>
                      <c:pt idx="703">
                        <c:v>#N/A</c:v>
                      </c:pt>
                      <c:pt idx="704">
                        <c:v>#N/A</c:v>
                      </c:pt>
                      <c:pt idx="705">
                        <c:v>#N/A</c:v>
                      </c:pt>
                      <c:pt idx="706">
                        <c:v>#N/A</c:v>
                      </c:pt>
                      <c:pt idx="707">
                        <c:v>#N/A</c:v>
                      </c:pt>
                      <c:pt idx="708">
                        <c:v>#N/A</c:v>
                      </c:pt>
                      <c:pt idx="709">
                        <c:v>#N/A</c:v>
                      </c:pt>
                      <c:pt idx="710">
                        <c:v>#N/A</c:v>
                      </c:pt>
                      <c:pt idx="711">
                        <c:v>#N/A</c:v>
                      </c:pt>
                      <c:pt idx="712">
                        <c:v>#N/A</c:v>
                      </c:pt>
                      <c:pt idx="713">
                        <c:v>#N/A</c:v>
                      </c:pt>
                      <c:pt idx="714">
                        <c:v>#N/A</c:v>
                      </c:pt>
                      <c:pt idx="715">
                        <c:v>#N/A</c:v>
                      </c:pt>
                      <c:pt idx="716">
                        <c:v>#N/A</c:v>
                      </c:pt>
                      <c:pt idx="717">
                        <c:v>#N/A</c:v>
                      </c:pt>
                      <c:pt idx="718">
                        <c:v>#N/A</c:v>
                      </c:pt>
                      <c:pt idx="719">
                        <c:v>#N/A</c:v>
                      </c:pt>
                      <c:pt idx="720">
                        <c:v>#N/A</c:v>
                      </c:pt>
                      <c:pt idx="721">
                        <c:v>#N/A</c:v>
                      </c:pt>
                      <c:pt idx="722">
                        <c:v>#N/A</c:v>
                      </c:pt>
                      <c:pt idx="723">
                        <c:v>#N/A</c:v>
                      </c:pt>
                      <c:pt idx="724">
                        <c:v>#N/A</c:v>
                      </c:pt>
                      <c:pt idx="725">
                        <c:v>#N/A</c:v>
                      </c:pt>
                      <c:pt idx="726">
                        <c:v>#N/A</c:v>
                      </c:pt>
                      <c:pt idx="727">
                        <c:v>#N/A</c:v>
                      </c:pt>
                      <c:pt idx="728">
                        <c:v>#N/A</c:v>
                      </c:pt>
                      <c:pt idx="729">
                        <c:v>#N/A</c:v>
                      </c:pt>
                      <c:pt idx="730">
                        <c:v>#N/A</c:v>
                      </c:pt>
                      <c:pt idx="731">
                        <c:v>#N/A</c:v>
                      </c:pt>
                      <c:pt idx="732">
                        <c:v>#N/A</c:v>
                      </c:pt>
                      <c:pt idx="733">
                        <c:v>#N/A</c:v>
                      </c:pt>
                      <c:pt idx="734">
                        <c:v>#N/A</c:v>
                      </c:pt>
                      <c:pt idx="735">
                        <c:v>#N/A</c:v>
                      </c:pt>
                      <c:pt idx="736">
                        <c:v>#N/A</c:v>
                      </c:pt>
                      <c:pt idx="737">
                        <c:v>#N/A</c:v>
                      </c:pt>
                      <c:pt idx="738">
                        <c:v>#N/A</c:v>
                      </c:pt>
                      <c:pt idx="739">
                        <c:v>#N/A</c:v>
                      </c:pt>
                      <c:pt idx="740">
                        <c:v>#N/A</c:v>
                      </c:pt>
                      <c:pt idx="741">
                        <c:v>#N/A</c:v>
                      </c:pt>
                      <c:pt idx="742">
                        <c:v>#N/A</c:v>
                      </c:pt>
                      <c:pt idx="743">
                        <c:v>#N/A</c:v>
                      </c:pt>
                      <c:pt idx="744">
                        <c:v>#N/A</c:v>
                      </c:pt>
                      <c:pt idx="745">
                        <c:v>#N/A</c:v>
                      </c:pt>
                      <c:pt idx="746">
                        <c:v>#N/A</c:v>
                      </c:pt>
                      <c:pt idx="747">
                        <c:v>#N/A</c:v>
                      </c:pt>
                      <c:pt idx="748">
                        <c:v>#N/A</c:v>
                      </c:pt>
                      <c:pt idx="749">
                        <c:v>#N/A</c:v>
                      </c:pt>
                      <c:pt idx="750">
                        <c:v>#N/A</c:v>
                      </c:pt>
                      <c:pt idx="751">
                        <c:v>#N/A</c:v>
                      </c:pt>
                      <c:pt idx="752">
                        <c:v>#N/A</c:v>
                      </c:pt>
                      <c:pt idx="753">
                        <c:v>#N/A</c:v>
                      </c:pt>
                      <c:pt idx="754">
                        <c:v>#N/A</c:v>
                      </c:pt>
                      <c:pt idx="755">
                        <c:v>#N/A</c:v>
                      </c:pt>
                      <c:pt idx="756">
                        <c:v>#N/A</c:v>
                      </c:pt>
                      <c:pt idx="757">
                        <c:v>#N/A</c:v>
                      </c:pt>
                      <c:pt idx="758">
                        <c:v>#N/A</c:v>
                      </c:pt>
                      <c:pt idx="759">
                        <c:v>#N/A</c:v>
                      </c:pt>
                      <c:pt idx="760">
                        <c:v>#N/A</c:v>
                      </c:pt>
                      <c:pt idx="761">
                        <c:v>#N/A</c:v>
                      </c:pt>
                      <c:pt idx="762">
                        <c:v>#N/A</c:v>
                      </c:pt>
                      <c:pt idx="763">
                        <c:v>#N/A</c:v>
                      </c:pt>
                      <c:pt idx="764">
                        <c:v>#N/A</c:v>
                      </c:pt>
                      <c:pt idx="765">
                        <c:v>#N/A</c:v>
                      </c:pt>
                      <c:pt idx="766">
                        <c:v>#N/A</c:v>
                      </c:pt>
                      <c:pt idx="767">
                        <c:v>#N/A</c:v>
                      </c:pt>
                      <c:pt idx="768">
                        <c:v>#N/A</c:v>
                      </c:pt>
                      <c:pt idx="769">
                        <c:v>#N/A</c:v>
                      </c:pt>
                      <c:pt idx="770">
                        <c:v>#N/A</c:v>
                      </c:pt>
                      <c:pt idx="771">
                        <c:v>#N/A</c:v>
                      </c:pt>
                      <c:pt idx="772">
                        <c:v>#N/A</c:v>
                      </c:pt>
                      <c:pt idx="773">
                        <c:v>#N/A</c:v>
                      </c:pt>
                      <c:pt idx="774">
                        <c:v>#N/A</c:v>
                      </c:pt>
                      <c:pt idx="775">
                        <c:v>#N/A</c:v>
                      </c:pt>
                      <c:pt idx="776">
                        <c:v>#N/A</c:v>
                      </c:pt>
                      <c:pt idx="777">
                        <c:v>#N/A</c:v>
                      </c:pt>
                      <c:pt idx="778">
                        <c:v>#N/A</c:v>
                      </c:pt>
                      <c:pt idx="779">
                        <c:v>#N/A</c:v>
                      </c:pt>
                      <c:pt idx="780">
                        <c:v>#N/A</c:v>
                      </c:pt>
                      <c:pt idx="781">
                        <c:v>#N/A</c:v>
                      </c:pt>
                      <c:pt idx="782">
                        <c:v>#N/A</c:v>
                      </c:pt>
                      <c:pt idx="783">
                        <c:v>#N/A</c:v>
                      </c:pt>
                      <c:pt idx="784">
                        <c:v>#N/A</c:v>
                      </c:pt>
                      <c:pt idx="785">
                        <c:v>#N/A</c:v>
                      </c:pt>
                      <c:pt idx="786">
                        <c:v>#N/A</c:v>
                      </c:pt>
                      <c:pt idx="787">
                        <c:v>#N/A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  <c:pt idx="799">
                        <c:v>#N/A</c:v>
                      </c:pt>
                      <c:pt idx="800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CD9-45B5-B76A-036A086D3282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Лист1!$W$2</c:f>
              <c:strCache>
                <c:ptCount val="1"/>
                <c:pt idx="0">
                  <c:v>График плотности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Лист1!$V$3:$V$803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Лист1!$W$3:$W$803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5.7303788919117131E-2</c:v>
                </c:pt>
                <c:pt idx="598">
                  <c:v>5.6183141903868049E-2</c:v>
                </c:pt>
                <c:pt idx="599">
                  <c:v>5.5078902372125767E-2</c:v>
                </c:pt>
                <c:pt idx="600">
                  <c:v>5.3990966513188063E-2</c:v>
                </c:pt>
                <c:pt idx="601">
                  <c:v>5.2919227719240312E-2</c:v>
                </c:pt>
                <c:pt idx="602">
                  <c:v>5.1863576682820565E-2</c:v>
                </c:pt>
                <c:pt idx="603">
                  <c:v>5.0823901493691204E-2</c:v>
                </c:pt>
                <c:pt idx="604">
                  <c:v>4.9800087735070775E-2</c:v>
                </c:pt>
                <c:pt idx="605">
                  <c:v>4.8792018579182764E-2</c:v>
                </c:pt>
                <c:pt idx="606">
                  <c:v>4.7799574882077034E-2</c:v>
                </c:pt>
                <c:pt idx="607">
                  <c:v>4.6822635277683163E-2</c:v>
                </c:pt>
                <c:pt idx="608">
                  <c:v>4.5861076271054887E-2</c:v>
                </c:pt>
                <c:pt idx="609">
                  <c:v>4.49147723307671E-2</c:v>
                </c:pt>
                <c:pt idx="610">
                  <c:v>4.3983595980427191E-2</c:v>
                </c:pt>
                <c:pt idx="611">
                  <c:v>4.3067417889265734E-2</c:v>
                </c:pt>
                <c:pt idx="612">
                  <c:v>4.2166106961770311E-2</c:v>
                </c:pt>
                <c:pt idx="613">
                  <c:v>4.1279530426330417E-2</c:v>
                </c:pt>
                <c:pt idx="614">
                  <c:v>4.0407553922860308E-2</c:v>
                </c:pt>
                <c:pt idx="615">
                  <c:v>3.955004158937022E-2</c:v>
                </c:pt>
                <c:pt idx="616">
                  <c:v>3.8706856147455608E-2</c:v>
                </c:pt>
                <c:pt idx="617">
                  <c:v>3.7877858986677483E-2</c:v>
                </c:pt>
                <c:pt idx="618">
                  <c:v>3.7062910247806474E-2</c:v>
                </c:pt>
                <c:pt idx="619">
                  <c:v>3.6261868904906222E-2</c:v>
                </c:pt>
                <c:pt idx="620">
                  <c:v>3.5474592846231424E-2</c:v>
                </c:pt>
                <c:pt idx="621">
                  <c:v>3.470093895391882E-2</c:v>
                </c:pt>
                <c:pt idx="622">
                  <c:v>3.3940763182449186E-2</c:v>
                </c:pt>
                <c:pt idx="623">
                  <c:v>3.3193920635861122E-2</c:v>
                </c:pt>
                <c:pt idx="624">
                  <c:v>3.2460265643697445E-2</c:v>
                </c:pt>
                <c:pt idx="625">
                  <c:v>3.1739651835667418E-2</c:v>
                </c:pt>
                <c:pt idx="626">
                  <c:v>3.103193221500827E-2</c:v>
                </c:pt>
                <c:pt idx="627">
                  <c:v>3.0336959230531636E-2</c:v>
                </c:pt>
                <c:pt idx="628">
                  <c:v>2.9654584847341278E-2</c:v>
                </c:pt>
                <c:pt idx="629">
                  <c:v>2.8984660616209412E-2</c:v>
                </c:pt>
                <c:pt idx="630">
                  <c:v>2.8327037741601186E-2</c:v>
                </c:pt>
                <c:pt idx="631">
                  <c:v>2.7681567148336573E-2</c:v>
                </c:pt>
                <c:pt idx="632">
                  <c:v>2.7048099546881785E-2</c:v>
                </c:pt>
                <c:pt idx="633">
                  <c:v>2.6426485497261721E-2</c:v>
                </c:pt>
                <c:pt idx="634">
                  <c:v>2.581657547158769E-2</c:v>
                </c:pt>
                <c:pt idx="635">
                  <c:v>2.5218219915194382E-2</c:v>
                </c:pt>
                <c:pt idx="636">
                  <c:v>2.4631269306382507E-2</c:v>
                </c:pt>
                <c:pt idx="637">
                  <c:v>2.4055574214762971E-2</c:v>
                </c:pt>
                <c:pt idx="638">
                  <c:v>2.3490985358201363E-2</c:v>
                </c:pt>
                <c:pt idx="639">
                  <c:v>2.2937353658360693E-2</c:v>
                </c:pt>
                <c:pt idx="640">
                  <c:v>2.2394530294842899E-2</c:v>
                </c:pt>
                <c:pt idx="641">
                  <c:v>2.1862366757929387E-2</c:v>
                </c:pt>
                <c:pt idx="642">
                  <c:v>2.1340714899922782E-2</c:v>
                </c:pt>
                <c:pt idx="643">
                  <c:v>2.0829426985092186E-2</c:v>
                </c:pt>
                <c:pt idx="644">
                  <c:v>2.0328355738225837E-2</c:v>
                </c:pt>
                <c:pt idx="645">
                  <c:v>1.9837354391795313E-2</c:v>
                </c:pt>
                <c:pt idx="646">
                  <c:v>1.9356276731736961E-2</c:v>
                </c:pt>
                <c:pt idx="647">
                  <c:v>1.8884977141856163E-2</c:v>
                </c:pt>
                <c:pt idx="648">
                  <c:v>1.8423310646862048E-2</c:v>
                </c:pt>
                <c:pt idx="649">
                  <c:v>1.7971132954039633E-2</c:v>
                </c:pt>
                <c:pt idx="650">
                  <c:v>1.752830049356854E-2</c:v>
                </c:pt>
                <c:pt idx="651">
                  <c:v>1.7094670457496956E-2</c:v>
                </c:pt>
                <c:pt idx="652">
                  <c:v>1.6670100837381057E-2</c:v>
                </c:pt>
                <c:pt idx="653">
                  <c:v>1.6254450460600506E-2</c:v>
                </c:pt>
                <c:pt idx="654">
                  <c:v>1.5847579025360818E-2</c:v>
                </c:pt>
                <c:pt idx="655">
                  <c:v>1.5449347134395174E-2</c:v>
                </c:pt>
                <c:pt idx="656">
                  <c:v>1.5059616327377449E-2</c:v>
                </c:pt>
                <c:pt idx="657">
                  <c:v>1.4678249112060044E-2</c:v>
                </c:pt>
                <c:pt idx="658">
                  <c:v>1.430510899414969E-2</c:v>
                </c:pt>
                <c:pt idx="659">
                  <c:v>1.3940060505935825E-2</c:v>
                </c:pt>
                <c:pt idx="660">
                  <c:v>1.3582969233685613E-2</c:v>
                </c:pt>
                <c:pt idx="661">
                  <c:v>1.3233701843821374E-2</c:v>
                </c:pt>
                <c:pt idx="662">
                  <c:v>1.2892126107895304E-2</c:v>
                </c:pt>
                <c:pt idx="663">
                  <c:v>1.2558110926378211E-2</c:v>
                </c:pt>
                <c:pt idx="664">
                  <c:v>1.2231526351277971E-2</c:v>
                </c:pt>
                <c:pt idx="665">
                  <c:v>1.1912243607605179E-2</c:v>
                </c:pt>
                <c:pt idx="666">
                  <c:v>1.1600135113702561E-2</c:v>
                </c:pt>
                <c:pt idx="667">
                  <c:v>1.1295074500456135E-2</c:v>
                </c:pt>
                <c:pt idx="668">
                  <c:v>1.0996936629405572E-2</c:v>
                </c:pt>
                <c:pt idx="669">
                  <c:v>1.0705597609772187E-2</c:v>
                </c:pt>
                <c:pt idx="670">
                  <c:v>1.0420934814422592E-2</c:v>
                </c:pt>
                <c:pt idx="671">
                  <c:v>1.0142826894787077E-2</c:v>
                </c:pt>
                <c:pt idx="672">
                  <c:v>9.8711537947511301E-3</c:v>
                </c:pt>
                <c:pt idx="673">
                  <c:v>9.6057967635395872E-3</c:v>
                </c:pt>
                <c:pt idx="674">
                  <c:v>9.3466383676122835E-3</c:v>
                </c:pt>
                <c:pt idx="675">
                  <c:v>9.0935625015910529E-3</c:v>
                </c:pt>
                <c:pt idx="676">
                  <c:v>8.8464543982372315E-3</c:v>
                </c:pt>
                <c:pt idx="677">
                  <c:v>8.6052006374996715E-3</c:v>
                </c:pt>
                <c:pt idx="678">
                  <c:v>8.369689154653033E-3</c:v>
                </c:pt>
                <c:pt idx="679">
                  <c:v>8.1398092475460215E-3</c:v>
                </c:pt>
                <c:pt idx="680">
                  <c:v>7.9154515829799686E-3</c:v>
                </c:pt>
                <c:pt idx="681">
                  <c:v>7.6965082022373218E-3</c:v>
                </c:pt>
                <c:pt idx="682">
                  <c:v>7.4828725257805638E-3</c:v>
                </c:pt>
                <c:pt idx="683">
                  <c:v>7.2744393571412182E-3</c:v>
                </c:pt>
                <c:pt idx="684">
                  <c:v>7.0711048860194487E-3</c:v>
                </c:pt>
                <c:pt idx="685">
                  <c:v>6.8727666906139712E-3</c:v>
                </c:pt>
                <c:pt idx="686">
                  <c:v>6.6793237392026202E-3</c:v>
                </c:pt>
                <c:pt idx="687">
                  <c:v>6.4906763909933643E-3</c:v>
                </c:pt>
                <c:pt idx="688">
                  <c:v>6.3067263962659275E-3</c:v>
                </c:pt>
                <c:pt idx="689">
                  <c:v>6.1273768958236873E-3</c:v>
                </c:pt>
                <c:pt idx="690">
                  <c:v>5.9525324197758538E-3</c:v>
                </c:pt>
                <c:pt idx="691">
                  <c:v>5.7820988856694729E-3</c:v>
                </c:pt>
                <c:pt idx="692">
                  <c:v>5.615983595990969E-3</c:v>
                </c:pt>
                <c:pt idx="693">
                  <c:v>5.4540952350565454E-3</c:v>
                </c:pt>
                <c:pt idx="694">
                  <c:v>5.2963438653110201E-3</c:v>
                </c:pt>
                <c:pt idx="695">
                  <c:v>5.1426409230539392E-3</c:v>
                </c:pt>
                <c:pt idx="696">
                  <c:v>4.9928992136123763E-3</c:v>
                </c:pt>
                <c:pt idx="697">
                  <c:v>4.847032905978944E-3</c:v>
                </c:pt>
                <c:pt idx="698">
                  <c:v>4.7049575269339792E-3</c:v>
                </c:pt>
                <c:pt idx="699">
                  <c:v>4.5665899546701444E-3</c:v>
                </c:pt>
                <c:pt idx="700">
                  <c:v>4.4318484119380075E-3</c:v>
                </c:pt>
                <c:pt idx="701">
                  <c:v>4.3006524587304498E-3</c:v>
                </c:pt>
                <c:pt idx="702">
                  <c:v>4.1729229845239623E-3</c:v>
                </c:pt>
                <c:pt idx="703">
                  <c:v>4.04858220009443E-3</c:v>
                </c:pt>
                <c:pt idx="704">
                  <c:v>3.9275536289247789E-3</c:v>
                </c:pt>
                <c:pt idx="705">
                  <c:v>3.8097620982218104E-3</c:v>
                </c:pt>
                <c:pt idx="706">
                  <c:v>3.6951337295590349E-3</c:v>
                </c:pt>
                <c:pt idx="707">
                  <c:v>3.5835959291623614E-3</c:v>
                </c:pt>
                <c:pt idx="708">
                  <c:v>3.4750773778549375E-3</c:v>
                </c:pt>
                <c:pt idx="709">
                  <c:v>3.3695080206774812E-3</c:v>
                </c:pt>
                <c:pt idx="710">
                  <c:v>3.2668190561999182E-3</c:v>
                </c:pt>
                <c:pt idx="711">
                  <c:v>3.1669429255400811E-3</c:v>
                </c:pt>
                <c:pt idx="712">
                  <c:v>3.0698133011047403E-3</c:v>
                </c:pt>
                <c:pt idx="713">
                  <c:v>2.9753650750682535E-3</c:v>
                </c:pt>
                <c:pt idx="714">
                  <c:v>2.8835343476034392E-3</c:v>
                </c:pt>
                <c:pt idx="715">
                  <c:v>2.7942584148794472E-3</c:v>
                </c:pt>
                <c:pt idx="716">
                  <c:v>2.7074757568406999E-3</c:v>
                </c:pt>
                <c:pt idx="717">
                  <c:v>2.6231260247810244E-3</c:v>
                </c:pt>
                <c:pt idx="718">
                  <c:v>2.5411500287265214E-3</c:v>
                </c:pt>
                <c:pt idx="719">
                  <c:v>2.4614897246407006E-3</c:v>
                </c:pt>
                <c:pt idx="720">
                  <c:v>2.3840882014648404E-3</c:v>
                </c:pt>
                <c:pt idx="721">
                  <c:v>2.3088896680064958E-3</c:v>
                </c:pt>
                <c:pt idx="722">
                  <c:v>2.2358394396885385E-3</c:v>
                </c:pt>
                <c:pt idx="723">
                  <c:v>2.164883925171062E-3</c:v>
                </c:pt>
                <c:pt idx="724">
                  <c:v>2.0959706128579419E-3</c:v>
                </c:pt>
                <c:pt idx="725">
                  <c:v>2.0290480572997681E-3</c:v>
                </c:pt>
                <c:pt idx="726">
                  <c:v>1.9640658655043761E-3</c:v>
                </c:pt>
                <c:pt idx="727">
                  <c:v>1.9009746831660803E-3</c:v>
                </c:pt>
                <c:pt idx="728">
                  <c:v>1.839726180824281E-3</c:v>
                </c:pt>
                <c:pt idx="729">
                  <c:v>1.7802730399618786E-3</c:v>
                </c:pt>
                <c:pt idx="730">
                  <c:v>1.7225689390536812E-3</c:v>
                </c:pt>
                <c:pt idx="731">
                  <c:v>1.6665685395745797E-3</c:v>
                </c:pt>
                <c:pt idx="732">
                  <c:v>1.6122274719771244E-3</c:v>
                </c:pt>
                <c:pt idx="733">
                  <c:v>1.5595023216476915E-3</c:v>
                </c:pt>
                <c:pt idx="734">
                  <c:v>1.5083506148503073E-3</c:v>
                </c:pt>
                <c:pt idx="735">
                  <c:v>1.4587308046667459E-3</c:v>
                </c:pt>
                <c:pt idx="736">
                  <c:v>1.4106022569413848E-3</c:v>
                </c:pt>
                <c:pt idx="737">
                  <c:v>1.3639252362389036E-3</c:v>
                </c:pt>
                <c:pt idx="738">
                  <c:v>1.3186608918227423E-3</c:v>
                </c:pt>
                <c:pt idx="739">
                  <c:v>1.2747712436618327E-3</c:v>
                </c:pt>
                <c:pt idx="740">
                  <c:v>1.2322191684730199E-3</c:v>
                </c:pt>
                <c:pt idx="741">
                  <c:v>1.1909683858061166E-3</c:v>
                </c:pt>
                <c:pt idx="742">
                  <c:v>1.1509834441784845E-3</c:v>
                </c:pt>
                <c:pt idx="743">
                  <c:v>1.1122297072655649E-3</c:v>
                </c:pt>
                <c:pt idx="744">
                  <c:v>1.0746733401537356E-3</c:v>
                </c:pt>
                <c:pt idx="745">
                  <c:v>1.0382812956614103E-3</c:v>
                </c:pt>
                <c:pt idx="746">
                  <c:v>1.0030213007342376E-3</c:v>
                </c:pt>
                <c:pt idx="747">
                  <c:v>9.6886184291984591E-4</c:v>
                </c:pt>
                <c:pt idx="748">
                  <c:v>9.3577215692747977E-4</c:v>
                </c:pt>
                <c:pt idx="749">
                  <c:v>9.0372221127752448E-4</c:v>
                </c:pt>
                <c:pt idx="750">
                  <c:v>8.7268269504576015E-4</c:v>
                </c:pt>
                <c:pt idx="751">
                  <c:v>8.4262500470690268E-4</c:v>
                </c:pt>
                <c:pt idx="752">
                  <c:v>8.1352123108180841E-4</c:v>
                </c:pt>
                <c:pt idx="753">
                  <c:v>7.8534414639246997E-4</c:v>
                </c:pt>
                <c:pt idx="754">
                  <c:v>7.580671914287103E-4</c:v>
                </c:pt>
                <c:pt idx="755">
                  <c:v>7.3166446283031089E-4</c:v>
                </c:pt>
                <c:pt idx="756">
                  <c:v>7.061107004880362E-4</c:v>
                </c:pt>
                <c:pt idx="757">
                  <c:v>6.8138127506689212E-4</c:v>
                </c:pt>
                <c:pt idx="758">
                  <c:v>6.5745217565467645E-4</c:v>
                </c:pt>
                <c:pt idx="759">
                  <c:v>6.342999975387576E-4</c:v>
                </c:pt>
                <c:pt idx="760">
                  <c:v>6.119019301137719E-4</c:v>
                </c:pt>
                <c:pt idx="761">
                  <c:v>5.9023574492278561E-4</c:v>
                </c:pt>
                <c:pt idx="762">
                  <c:v>5.6927978383425261E-4</c:v>
                </c:pt>
                <c:pt idx="763">
                  <c:v>5.490129473569587E-4</c:v>
                </c:pt>
                <c:pt idx="764">
                  <c:v>5.2941468309493475E-4</c:v>
                </c:pt>
                <c:pt idx="765">
                  <c:v>5.104649743441856E-4</c:v>
                </c:pt>
                <c:pt idx="766">
                  <c:v>4.9214432883289312E-4</c:v>
                </c:pt>
                <c:pt idx="767">
                  <c:v>4.7443376760662064E-4</c:v>
                </c:pt>
                <c:pt idx="768">
                  <c:v>4.5731481405985675E-4</c:v>
                </c:pt>
                <c:pt idx="769">
                  <c:v>4.4076948311513252E-4</c:v>
                </c:pt>
                <c:pt idx="770">
                  <c:v>4.2478027055075143E-4</c:v>
                </c:pt>
                <c:pt idx="771">
                  <c:v>4.0933014247807883E-4</c:v>
                </c:pt>
                <c:pt idx="772">
                  <c:v>3.9440252496915622E-4</c:v>
                </c:pt>
                <c:pt idx="773">
                  <c:v>3.7998129383532141E-4</c:v>
                </c:pt>
                <c:pt idx="774">
                  <c:v>3.6605076455733496E-4</c:v>
                </c:pt>
                <c:pt idx="775">
                  <c:v>3.5259568236744541E-4</c:v>
                </c:pt>
                <c:pt idx="776">
                  <c:v>3.3960121248365478E-4</c:v>
                </c:pt>
                <c:pt idx="777">
                  <c:v>3.2705293049637498E-4</c:v>
                </c:pt>
                <c:pt idx="778">
                  <c:v>3.1493681290752188E-4</c:v>
                </c:pt>
                <c:pt idx="779">
                  <c:v>3.0323922782200417E-4</c:v>
                </c:pt>
                <c:pt idx="780">
                  <c:v>2.9194692579146027E-4</c:v>
                </c:pt>
                <c:pt idx="781">
                  <c:v>2.8104703080998632E-4</c:v>
                </c:pt>
                <c:pt idx="782">
                  <c:v>2.70527031461521E-4</c:v>
                </c:pt>
                <c:pt idx="783">
                  <c:v>2.6037477221844247E-4</c:v>
                </c:pt>
                <c:pt idx="784">
                  <c:v>2.5057844489086075E-4</c:v>
                </c:pt>
                <c:pt idx="785">
                  <c:v>2.4112658022599324E-4</c:v>
                </c:pt>
                <c:pt idx="786">
                  <c:v>2.3200803965694238E-4</c:v>
                </c:pt>
                <c:pt idx="787">
                  <c:v>2.2321200720010206E-4</c:v>
                </c:pt>
                <c:pt idx="788">
                  <c:v>2.1472798150036704E-4</c:v>
                </c:pt>
                <c:pt idx="789">
                  <c:v>2.0654576802322548E-4</c:v>
                </c:pt>
                <c:pt idx="790">
                  <c:v>1.9865547139277272E-4</c:v>
                </c:pt>
                <c:pt idx="791">
                  <c:v>1.9104748787459762E-4</c:v>
                </c:pt>
                <c:pt idx="792">
                  <c:v>1.8371249800245711E-4</c:v>
                </c:pt>
                <c:pt idx="793">
                  <c:v>1.7664145934757092E-4</c:v>
                </c:pt>
                <c:pt idx="794">
                  <c:v>1.6982559942934359E-4</c:v>
                </c:pt>
                <c:pt idx="795">
                  <c:v>1.6325640876624199E-4</c:v>
                </c:pt>
                <c:pt idx="796">
                  <c:v>1.5692563406553226E-4</c:v>
                </c:pt>
                <c:pt idx="797">
                  <c:v>1.508252715505178E-4</c:v>
                </c:pt>
                <c:pt idx="798">
                  <c:v>1.4494756042389106E-4</c:v>
                </c:pt>
                <c:pt idx="799">
                  <c:v>1.3928497646575994E-4</c:v>
                </c:pt>
                <c:pt idx="800">
                  <c:v>1.3383022576488537E-4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D9-45B5-B76A-036A086D3282}"/>
            </c:ext>
          </c:extLst>
        </c:ser>
        <c:ser>
          <c:idx val="2"/>
          <c:order val="2"/>
          <c:tx>
            <c:v>Точка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cat>
            <c:numRef>
              <c:f>Лист1!$V$3:$V$803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  <c:extLst xmlns:c15="http://schemas.microsoft.com/office/drawing/2012/chart"/>
            </c:numRef>
          </c:cat>
          <c:val>
            <c:numRef>
              <c:f>Лист1!$X$3:$X$803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5.8440944333451469E-2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CD9-45B5-B76A-036A086D3282}"/>
            </c:ext>
          </c:extLst>
        </c:ser>
        <c:ser>
          <c:idx val="4"/>
          <c:order val="4"/>
          <c:tx>
            <c:v>ноль</c:v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Лист1!$AA$403</c:f>
                <c:numCache>
                  <c:formatCode>General</c:formatCode>
                  <c:ptCount val="1"/>
                  <c:pt idx="0">
                    <c:v>0.3989422804014327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</c:errBars>
          <c:cat>
            <c:numRef>
              <c:f>Лист1!$V$3:$V$803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Лист1!$AA$3:$AA$803</c:f>
              <c:numCache>
                <c:formatCode>General</c:formatCode>
                <c:ptCount val="801"/>
                <c:pt idx="400">
                  <c:v>0.3989422804014327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1-467E-A5F9-347AB8207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051960"/>
        <c:axId val="658052944"/>
        <c:extLst/>
      </c:lineChart>
      <c:catAx>
        <c:axId val="65805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2944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658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v>Отклонение</c:v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cat>
            <c:numRef>
              <c:f>'Лист1 (6)'!$V$3:$V$803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(6)'!$Z$3:$Z$803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7C4-4F05-B6C1-8F57D23A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51960"/>
        <c:axId val="658052944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'Лист1 (6)'!$Y$2</c15:sqref>
                        </c15:formulaRef>
                      </c:ext>
                    </c:extLst>
                    <c:strCache>
                      <c:ptCount val="1"/>
                      <c:pt idx="0">
                        <c:v>F(z)</c:v>
                      </c:pt>
                    </c:strCache>
                  </c:strRef>
                </c:tx>
                <c:spPr>
                  <a:solidFill>
                    <a:schemeClr val="accent1">
                      <a:shade val="76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'Лист1 (6)'!$V$3:$V$803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-4</c:v>
                      </c:pt>
                      <c:pt idx="1">
                        <c:v>-3.99</c:v>
                      </c:pt>
                      <c:pt idx="2">
                        <c:v>-3.98</c:v>
                      </c:pt>
                      <c:pt idx="3">
                        <c:v>-3.97</c:v>
                      </c:pt>
                      <c:pt idx="4">
                        <c:v>-3.96</c:v>
                      </c:pt>
                      <c:pt idx="5">
                        <c:v>-3.95</c:v>
                      </c:pt>
                      <c:pt idx="6">
                        <c:v>-3.94</c:v>
                      </c:pt>
                      <c:pt idx="7">
                        <c:v>-3.93</c:v>
                      </c:pt>
                      <c:pt idx="8">
                        <c:v>-3.92</c:v>
                      </c:pt>
                      <c:pt idx="9">
                        <c:v>-3.91</c:v>
                      </c:pt>
                      <c:pt idx="10">
                        <c:v>-3.9</c:v>
                      </c:pt>
                      <c:pt idx="11">
                        <c:v>-3.89</c:v>
                      </c:pt>
                      <c:pt idx="12">
                        <c:v>-3.88</c:v>
                      </c:pt>
                      <c:pt idx="13">
                        <c:v>-3.87</c:v>
                      </c:pt>
                      <c:pt idx="14">
                        <c:v>-3.86</c:v>
                      </c:pt>
                      <c:pt idx="15">
                        <c:v>-3.85</c:v>
                      </c:pt>
                      <c:pt idx="16">
                        <c:v>-3.84</c:v>
                      </c:pt>
                      <c:pt idx="17">
                        <c:v>-3.83</c:v>
                      </c:pt>
                      <c:pt idx="18">
                        <c:v>-3.82</c:v>
                      </c:pt>
                      <c:pt idx="19">
                        <c:v>-3.81</c:v>
                      </c:pt>
                      <c:pt idx="20">
                        <c:v>-3.8</c:v>
                      </c:pt>
                      <c:pt idx="21">
                        <c:v>-3.79</c:v>
                      </c:pt>
                      <c:pt idx="22">
                        <c:v>-3.78</c:v>
                      </c:pt>
                      <c:pt idx="23">
                        <c:v>-3.77</c:v>
                      </c:pt>
                      <c:pt idx="24">
                        <c:v>-3.76</c:v>
                      </c:pt>
                      <c:pt idx="25">
                        <c:v>-3.75</c:v>
                      </c:pt>
                      <c:pt idx="26">
                        <c:v>-3.74</c:v>
                      </c:pt>
                      <c:pt idx="27">
                        <c:v>-3.73</c:v>
                      </c:pt>
                      <c:pt idx="28">
                        <c:v>-3.72</c:v>
                      </c:pt>
                      <c:pt idx="29">
                        <c:v>-3.71</c:v>
                      </c:pt>
                      <c:pt idx="30">
                        <c:v>-3.7</c:v>
                      </c:pt>
                      <c:pt idx="31">
                        <c:v>-3.69</c:v>
                      </c:pt>
                      <c:pt idx="32">
                        <c:v>-3.68</c:v>
                      </c:pt>
                      <c:pt idx="33">
                        <c:v>-3.67</c:v>
                      </c:pt>
                      <c:pt idx="34">
                        <c:v>-3.66</c:v>
                      </c:pt>
                      <c:pt idx="35">
                        <c:v>-3.65</c:v>
                      </c:pt>
                      <c:pt idx="36">
                        <c:v>-3.64</c:v>
                      </c:pt>
                      <c:pt idx="37">
                        <c:v>-3.63</c:v>
                      </c:pt>
                      <c:pt idx="38">
                        <c:v>-3.62</c:v>
                      </c:pt>
                      <c:pt idx="39">
                        <c:v>-3.61</c:v>
                      </c:pt>
                      <c:pt idx="40">
                        <c:v>-3.6</c:v>
                      </c:pt>
                      <c:pt idx="41">
                        <c:v>-3.59</c:v>
                      </c:pt>
                      <c:pt idx="42">
                        <c:v>-3.58</c:v>
                      </c:pt>
                      <c:pt idx="43">
                        <c:v>-3.57</c:v>
                      </c:pt>
                      <c:pt idx="44">
                        <c:v>-3.56</c:v>
                      </c:pt>
                      <c:pt idx="45">
                        <c:v>-3.55</c:v>
                      </c:pt>
                      <c:pt idx="46">
                        <c:v>-3.54</c:v>
                      </c:pt>
                      <c:pt idx="47">
                        <c:v>-3.53</c:v>
                      </c:pt>
                      <c:pt idx="48">
                        <c:v>-3.52</c:v>
                      </c:pt>
                      <c:pt idx="49">
                        <c:v>-3.51</c:v>
                      </c:pt>
                      <c:pt idx="50">
                        <c:v>-3.5</c:v>
                      </c:pt>
                      <c:pt idx="51">
                        <c:v>-3.49</c:v>
                      </c:pt>
                      <c:pt idx="52">
                        <c:v>-3.48</c:v>
                      </c:pt>
                      <c:pt idx="53">
                        <c:v>-3.47</c:v>
                      </c:pt>
                      <c:pt idx="54">
                        <c:v>-3.46</c:v>
                      </c:pt>
                      <c:pt idx="55">
                        <c:v>-3.45</c:v>
                      </c:pt>
                      <c:pt idx="56">
                        <c:v>-3.44</c:v>
                      </c:pt>
                      <c:pt idx="57">
                        <c:v>-3.43</c:v>
                      </c:pt>
                      <c:pt idx="58">
                        <c:v>-3.42</c:v>
                      </c:pt>
                      <c:pt idx="59">
                        <c:v>-3.41</c:v>
                      </c:pt>
                      <c:pt idx="60">
                        <c:v>-3.4</c:v>
                      </c:pt>
                      <c:pt idx="61">
                        <c:v>-3.39</c:v>
                      </c:pt>
                      <c:pt idx="62">
                        <c:v>-3.38</c:v>
                      </c:pt>
                      <c:pt idx="63">
                        <c:v>-3.37</c:v>
                      </c:pt>
                      <c:pt idx="64">
                        <c:v>-3.36</c:v>
                      </c:pt>
                      <c:pt idx="65">
                        <c:v>-3.35</c:v>
                      </c:pt>
                      <c:pt idx="66">
                        <c:v>-3.34</c:v>
                      </c:pt>
                      <c:pt idx="67">
                        <c:v>-3.33</c:v>
                      </c:pt>
                      <c:pt idx="68">
                        <c:v>-3.32</c:v>
                      </c:pt>
                      <c:pt idx="69">
                        <c:v>-3.31</c:v>
                      </c:pt>
                      <c:pt idx="70">
                        <c:v>-3.3</c:v>
                      </c:pt>
                      <c:pt idx="71">
                        <c:v>-3.29</c:v>
                      </c:pt>
                      <c:pt idx="72">
                        <c:v>-3.28</c:v>
                      </c:pt>
                      <c:pt idx="73">
                        <c:v>-3.27</c:v>
                      </c:pt>
                      <c:pt idx="74">
                        <c:v>-3.26</c:v>
                      </c:pt>
                      <c:pt idx="75">
                        <c:v>-3.25</c:v>
                      </c:pt>
                      <c:pt idx="76">
                        <c:v>-3.24</c:v>
                      </c:pt>
                      <c:pt idx="77">
                        <c:v>-3.23</c:v>
                      </c:pt>
                      <c:pt idx="78">
                        <c:v>-3.22</c:v>
                      </c:pt>
                      <c:pt idx="79">
                        <c:v>-3.21</c:v>
                      </c:pt>
                      <c:pt idx="80">
                        <c:v>-3.2</c:v>
                      </c:pt>
                      <c:pt idx="81">
                        <c:v>-3.19</c:v>
                      </c:pt>
                      <c:pt idx="82">
                        <c:v>-3.18</c:v>
                      </c:pt>
                      <c:pt idx="83">
                        <c:v>-3.17</c:v>
                      </c:pt>
                      <c:pt idx="84">
                        <c:v>-3.16</c:v>
                      </c:pt>
                      <c:pt idx="85">
                        <c:v>-3.15</c:v>
                      </c:pt>
                      <c:pt idx="86">
                        <c:v>-3.14</c:v>
                      </c:pt>
                      <c:pt idx="87">
                        <c:v>-3.13</c:v>
                      </c:pt>
                      <c:pt idx="88">
                        <c:v>-3.12</c:v>
                      </c:pt>
                      <c:pt idx="89">
                        <c:v>-3.11</c:v>
                      </c:pt>
                      <c:pt idx="90">
                        <c:v>-3.1</c:v>
                      </c:pt>
                      <c:pt idx="91">
                        <c:v>-3.09</c:v>
                      </c:pt>
                      <c:pt idx="92">
                        <c:v>-3.08</c:v>
                      </c:pt>
                      <c:pt idx="93">
                        <c:v>-3.07</c:v>
                      </c:pt>
                      <c:pt idx="94">
                        <c:v>-3.06</c:v>
                      </c:pt>
                      <c:pt idx="95">
                        <c:v>-3.05</c:v>
                      </c:pt>
                      <c:pt idx="96">
                        <c:v>-3.04</c:v>
                      </c:pt>
                      <c:pt idx="97">
                        <c:v>-3.03</c:v>
                      </c:pt>
                      <c:pt idx="98">
                        <c:v>-3.02</c:v>
                      </c:pt>
                      <c:pt idx="99">
                        <c:v>-3.01</c:v>
                      </c:pt>
                      <c:pt idx="100">
                        <c:v>-3</c:v>
                      </c:pt>
                      <c:pt idx="101">
                        <c:v>-2.99</c:v>
                      </c:pt>
                      <c:pt idx="102">
                        <c:v>-2.98</c:v>
                      </c:pt>
                      <c:pt idx="103">
                        <c:v>-2.97</c:v>
                      </c:pt>
                      <c:pt idx="104">
                        <c:v>-2.96</c:v>
                      </c:pt>
                      <c:pt idx="105">
                        <c:v>-2.95</c:v>
                      </c:pt>
                      <c:pt idx="106">
                        <c:v>-2.94</c:v>
                      </c:pt>
                      <c:pt idx="107">
                        <c:v>-2.93</c:v>
                      </c:pt>
                      <c:pt idx="108">
                        <c:v>-2.92</c:v>
                      </c:pt>
                      <c:pt idx="109">
                        <c:v>-2.91</c:v>
                      </c:pt>
                      <c:pt idx="110">
                        <c:v>-2.9</c:v>
                      </c:pt>
                      <c:pt idx="111">
                        <c:v>-2.89</c:v>
                      </c:pt>
                      <c:pt idx="112">
                        <c:v>-2.88</c:v>
                      </c:pt>
                      <c:pt idx="113">
                        <c:v>-2.87</c:v>
                      </c:pt>
                      <c:pt idx="114">
                        <c:v>-2.86</c:v>
                      </c:pt>
                      <c:pt idx="115">
                        <c:v>-2.85</c:v>
                      </c:pt>
                      <c:pt idx="116">
                        <c:v>-2.84</c:v>
                      </c:pt>
                      <c:pt idx="117">
                        <c:v>-2.83</c:v>
                      </c:pt>
                      <c:pt idx="118">
                        <c:v>-2.82</c:v>
                      </c:pt>
                      <c:pt idx="119">
                        <c:v>-2.81</c:v>
                      </c:pt>
                      <c:pt idx="120">
                        <c:v>-2.8</c:v>
                      </c:pt>
                      <c:pt idx="121">
                        <c:v>-2.79</c:v>
                      </c:pt>
                      <c:pt idx="122">
                        <c:v>-2.78</c:v>
                      </c:pt>
                      <c:pt idx="123">
                        <c:v>-2.77</c:v>
                      </c:pt>
                      <c:pt idx="124">
                        <c:v>-2.76</c:v>
                      </c:pt>
                      <c:pt idx="125">
                        <c:v>-2.75</c:v>
                      </c:pt>
                      <c:pt idx="126">
                        <c:v>-2.74</c:v>
                      </c:pt>
                      <c:pt idx="127">
                        <c:v>-2.73</c:v>
                      </c:pt>
                      <c:pt idx="128">
                        <c:v>-2.72</c:v>
                      </c:pt>
                      <c:pt idx="129">
                        <c:v>-2.71</c:v>
                      </c:pt>
                      <c:pt idx="130">
                        <c:v>-2.7</c:v>
                      </c:pt>
                      <c:pt idx="131">
                        <c:v>-2.69</c:v>
                      </c:pt>
                      <c:pt idx="132">
                        <c:v>-2.68</c:v>
                      </c:pt>
                      <c:pt idx="133">
                        <c:v>-2.67</c:v>
                      </c:pt>
                      <c:pt idx="134">
                        <c:v>-2.66</c:v>
                      </c:pt>
                      <c:pt idx="135">
                        <c:v>-2.65</c:v>
                      </c:pt>
                      <c:pt idx="136">
                        <c:v>-2.64</c:v>
                      </c:pt>
                      <c:pt idx="137">
                        <c:v>-2.63</c:v>
                      </c:pt>
                      <c:pt idx="138">
                        <c:v>-2.62</c:v>
                      </c:pt>
                      <c:pt idx="139">
                        <c:v>-2.61</c:v>
                      </c:pt>
                      <c:pt idx="140">
                        <c:v>-2.6</c:v>
                      </c:pt>
                      <c:pt idx="141">
                        <c:v>-2.59</c:v>
                      </c:pt>
                      <c:pt idx="142">
                        <c:v>-2.58</c:v>
                      </c:pt>
                      <c:pt idx="143">
                        <c:v>-2.57</c:v>
                      </c:pt>
                      <c:pt idx="144">
                        <c:v>-2.56</c:v>
                      </c:pt>
                      <c:pt idx="145">
                        <c:v>-2.5499999999999998</c:v>
                      </c:pt>
                      <c:pt idx="146">
                        <c:v>-2.54</c:v>
                      </c:pt>
                      <c:pt idx="147">
                        <c:v>-2.5299999999999998</c:v>
                      </c:pt>
                      <c:pt idx="148">
                        <c:v>-2.52</c:v>
                      </c:pt>
                      <c:pt idx="149">
                        <c:v>-2.5099999999999998</c:v>
                      </c:pt>
                      <c:pt idx="150">
                        <c:v>-2.5</c:v>
                      </c:pt>
                      <c:pt idx="151">
                        <c:v>-2.4900000000000002</c:v>
                      </c:pt>
                      <c:pt idx="152">
                        <c:v>-2.48</c:v>
                      </c:pt>
                      <c:pt idx="153">
                        <c:v>-2.4700000000000002</c:v>
                      </c:pt>
                      <c:pt idx="154">
                        <c:v>-2.46</c:v>
                      </c:pt>
                      <c:pt idx="155">
                        <c:v>-2.4500000000000002</c:v>
                      </c:pt>
                      <c:pt idx="156">
                        <c:v>-2.44</c:v>
                      </c:pt>
                      <c:pt idx="157">
                        <c:v>-2.4300000000000002</c:v>
                      </c:pt>
                      <c:pt idx="158">
                        <c:v>-2.42</c:v>
                      </c:pt>
                      <c:pt idx="159">
                        <c:v>-2.41</c:v>
                      </c:pt>
                      <c:pt idx="160">
                        <c:v>-2.4</c:v>
                      </c:pt>
                      <c:pt idx="161">
                        <c:v>-2.39</c:v>
                      </c:pt>
                      <c:pt idx="162">
                        <c:v>-2.38</c:v>
                      </c:pt>
                      <c:pt idx="163">
                        <c:v>-2.37</c:v>
                      </c:pt>
                      <c:pt idx="164">
                        <c:v>-2.36</c:v>
                      </c:pt>
                      <c:pt idx="165">
                        <c:v>-2.35</c:v>
                      </c:pt>
                      <c:pt idx="166">
                        <c:v>-2.34</c:v>
                      </c:pt>
                      <c:pt idx="167">
                        <c:v>-2.33</c:v>
                      </c:pt>
                      <c:pt idx="168">
                        <c:v>-2.3199999999999998</c:v>
                      </c:pt>
                      <c:pt idx="169">
                        <c:v>-2.31</c:v>
                      </c:pt>
                      <c:pt idx="170">
                        <c:v>-2.2999999999999998</c:v>
                      </c:pt>
                      <c:pt idx="171">
                        <c:v>-2.29</c:v>
                      </c:pt>
                      <c:pt idx="172">
                        <c:v>-2.2799999999999998</c:v>
                      </c:pt>
                      <c:pt idx="173">
                        <c:v>-2.27</c:v>
                      </c:pt>
                      <c:pt idx="174">
                        <c:v>-2.2599999999999998</c:v>
                      </c:pt>
                      <c:pt idx="175">
                        <c:v>-2.25</c:v>
                      </c:pt>
                      <c:pt idx="176">
                        <c:v>-2.2400000000000002</c:v>
                      </c:pt>
                      <c:pt idx="177">
                        <c:v>-2.23</c:v>
                      </c:pt>
                      <c:pt idx="178">
                        <c:v>-2.2200000000000002</c:v>
                      </c:pt>
                      <c:pt idx="179">
                        <c:v>-2.21</c:v>
                      </c:pt>
                      <c:pt idx="180">
                        <c:v>-2.2000000000000002</c:v>
                      </c:pt>
                      <c:pt idx="181">
                        <c:v>-2.19</c:v>
                      </c:pt>
                      <c:pt idx="182">
                        <c:v>-2.1800000000000002</c:v>
                      </c:pt>
                      <c:pt idx="183">
                        <c:v>-2.17</c:v>
                      </c:pt>
                      <c:pt idx="184">
                        <c:v>-2.16</c:v>
                      </c:pt>
                      <c:pt idx="185">
                        <c:v>-2.15</c:v>
                      </c:pt>
                      <c:pt idx="186">
                        <c:v>-2.14</c:v>
                      </c:pt>
                      <c:pt idx="187">
                        <c:v>-2.13</c:v>
                      </c:pt>
                      <c:pt idx="188">
                        <c:v>-2.12</c:v>
                      </c:pt>
                      <c:pt idx="189">
                        <c:v>-2.11</c:v>
                      </c:pt>
                      <c:pt idx="190">
                        <c:v>-2.1</c:v>
                      </c:pt>
                      <c:pt idx="191">
                        <c:v>-2.09</c:v>
                      </c:pt>
                      <c:pt idx="192">
                        <c:v>-2.08</c:v>
                      </c:pt>
                      <c:pt idx="193">
                        <c:v>-2.0699999999999998</c:v>
                      </c:pt>
                      <c:pt idx="194">
                        <c:v>-2.06</c:v>
                      </c:pt>
                      <c:pt idx="195">
                        <c:v>-2.0499999999999998</c:v>
                      </c:pt>
                      <c:pt idx="196">
                        <c:v>-2.04</c:v>
                      </c:pt>
                      <c:pt idx="197">
                        <c:v>-2.0299999999999998</c:v>
                      </c:pt>
                      <c:pt idx="198">
                        <c:v>-2.02</c:v>
                      </c:pt>
                      <c:pt idx="199">
                        <c:v>-2.0099999999999998</c:v>
                      </c:pt>
                      <c:pt idx="200">
                        <c:v>-2</c:v>
                      </c:pt>
                      <c:pt idx="201">
                        <c:v>-1.99</c:v>
                      </c:pt>
                      <c:pt idx="202">
                        <c:v>-1.98</c:v>
                      </c:pt>
                      <c:pt idx="203">
                        <c:v>-1.97</c:v>
                      </c:pt>
                      <c:pt idx="204">
                        <c:v>-1.96</c:v>
                      </c:pt>
                      <c:pt idx="205">
                        <c:v>-1.95</c:v>
                      </c:pt>
                      <c:pt idx="206">
                        <c:v>-1.94</c:v>
                      </c:pt>
                      <c:pt idx="207">
                        <c:v>-1.93</c:v>
                      </c:pt>
                      <c:pt idx="208">
                        <c:v>-1.92</c:v>
                      </c:pt>
                      <c:pt idx="209">
                        <c:v>-1.91</c:v>
                      </c:pt>
                      <c:pt idx="210">
                        <c:v>-1.9</c:v>
                      </c:pt>
                      <c:pt idx="211">
                        <c:v>-1.89</c:v>
                      </c:pt>
                      <c:pt idx="212">
                        <c:v>-1.88</c:v>
                      </c:pt>
                      <c:pt idx="213">
                        <c:v>-1.87</c:v>
                      </c:pt>
                      <c:pt idx="214">
                        <c:v>-1.86</c:v>
                      </c:pt>
                      <c:pt idx="215">
                        <c:v>-1.85</c:v>
                      </c:pt>
                      <c:pt idx="216">
                        <c:v>-1.84</c:v>
                      </c:pt>
                      <c:pt idx="217">
                        <c:v>-1.83</c:v>
                      </c:pt>
                      <c:pt idx="218">
                        <c:v>-1.82</c:v>
                      </c:pt>
                      <c:pt idx="219">
                        <c:v>-1.81</c:v>
                      </c:pt>
                      <c:pt idx="220">
                        <c:v>-1.8</c:v>
                      </c:pt>
                      <c:pt idx="221">
                        <c:v>-1.79</c:v>
                      </c:pt>
                      <c:pt idx="222">
                        <c:v>-1.78</c:v>
                      </c:pt>
                      <c:pt idx="223">
                        <c:v>-1.77</c:v>
                      </c:pt>
                      <c:pt idx="224">
                        <c:v>-1.76</c:v>
                      </c:pt>
                      <c:pt idx="225">
                        <c:v>-1.75</c:v>
                      </c:pt>
                      <c:pt idx="226">
                        <c:v>-1.74</c:v>
                      </c:pt>
                      <c:pt idx="227">
                        <c:v>-1.73</c:v>
                      </c:pt>
                      <c:pt idx="228">
                        <c:v>-1.72</c:v>
                      </c:pt>
                      <c:pt idx="229">
                        <c:v>-1.71</c:v>
                      </c:pt>
                      <c:pt idx="230">
                        <c:v>-1.7</c:v>
                      </c:pt>
                      <c:pt idx="231">
                        <c:v>-1.69</c:v>
                      </c:pt>
                      <c:pt idx="232">
                        <c:v>-1.68</c:v>
                      </c:pt>
                      <c:pt idx="233">
                        <c:v>-1.67</c:v>
                      </c:pt>
                      <c:pt idx="234">
                        <c:v>-1.66</c:v>
                      </c:pt>
                      <c:pt idx="235">
                        <c:v>-1.65</c:v>
                      </c:pt>
                      <c:pt idx="236">
                        <c:v>-1.64</c:v>
                      </c:pt>
                      <c:pt idx="237">
                        <c:v>-1.63</c:v>
                      </c:pt>
                      <c:pt idx="238">
                        <c:v>-1.62</c:v>
                      </c:pt>
                      <c:pt idx="239">
                        <c:v>-1.61</c:v>
                      </c:pt>
                      <c:pt idx="240">
                        <c:v>-1.6</c:v>
                      </c:pt>
                      <c:pt idx="241">
                        <c:v>-1.59</c:v>
                      </c:pt>
                      <c:pt idx="242">
                        <c:v>-1.58</c:v>
                      </c:pt>
                      <c:pt idx="243">
                        <c:v>-1.57</c:v>
                      </c:pt>
                      <c:pt idx="244">
                        <c:v>-1.56</c:v>
                      </c:pt>
                      <c:pt idx="245">
                        <c:v>-1.55</c:v>
                      </c:pt>
                      <c:pt idx="246">
                        <c:v>-1.54</c:v>
                      </c:pt>
                      <c:pt idx="247">
                        <c:v>-1.53</c:v>
                      </c:pt>
                      <c:pt idx="248">
                        <c:v>-1.52</c:v>
                      </c:pt>
                      <c:pt idx="249">
                        <c:v>-1.51</c:v>
                      </c:pt>
                      <c:pt idx="250">
                        <c:v>-1.5</c:v>
                      </c:pt>
                      <c:pt idx="251">
                        <c:v>-1.49</c:v>
                      </c:pt>
                      <c:pt idx="252">
                        <c:v>-1.48</c:v>
                      </c:pt>
                      <c:pt idx="253">
                        <c:v>-1.47</c:v>
                      </c:pt>
                      <c:pt idx="254">
                        <c:v>-1.46</c:v>
                      </c:pt>
                      <c:pt idx="255">
                        <c:v>-1.45</c:v>
                      </c:pt>
                      <c:pt idx="256">
                        <c:v>-1.44</c:v>
                      </c:pt>
                      <c:pt idx="257">
                        <c:v>-1.43</c:v>
                      </c:pt>
                      <c:pt idx="258">
                        <c:v>-1.42</c:v>
                      </c:pt>
                      <c:pt idx="259">
                        <c:v>-1.41</c:v>
                      </c:pt>
                      <c:pt idx="260">
                        <c:v>-1.4</c:v>
                      </c:pt>
                      <c:pt idx="261">
                        <c:v>-1.39</c:v>
                      </c:pt>
                      <c:pt idx="262">
                        <c:v>-1.38</c:v>
                      </c:pt>
                      <c:pt idx="263">
                        <c:v>-1.37</c:v>
                      </c:pt>
                      <c:pt idx="264">
                        <c:v>-1.36</c:v>
                      </c:pt>
                      <c:pt idx="265">
                        <c:v>-1.35</c:v>
                      </c:pt>
                      <c:pt idx="266">
                        <c:v>-1.34</c:v>
                      </c:pt>
                      <c:pt idx="267">
                        <c:v>-1.33</c:v>
                      </c:pt>
                      <c:pt idx="268">
                        <c:v>-1.32</c:v>
                      </c:pt>
                      <c:pt idx="269">
                        <c:v>-1.31</c:v>
                      </c:pt>
                      <c:pt idx="270">
                        <c:v>-1.3</c:v>
                      </c:pt>
                      <c:pt idx="271">
                        <c:v>-1.29</c:v>
                      </c:pt>
                      <c:pt idx="272">
                        <c:v>-1.28</c:v>
                      </c:pt>
                      <c:pt idx="273">
                        <c:v>-1.27</c:v>
                      </c:pt>
                      <c:pt idx="274">
                        <c:v>-1.26</c:v>
                      </c:pt>
                      <c:pt idx="275">
                        <c:v>-1.25</c:v>
                      </c:pt>
                      <c:pt idx="276">
                        <c:v>-1.24</c:v>
                      </c:pt>
                      <c:pt idx="277">
                        <c:v>-1.23</c:v>
                      </c:pt>
                      <c:pt idx="278">
                        <c:v>-1.22</c:v>
                      </c:pt>
                      <c:pt idx="279">
                        <c:v>-1.21</c:v>
                      </c:pt>
                      <c:pt idx="280">
                        <c:v>-1.2</c:v>
                      </c:pt>
                      <c:pt idx="281">
                        <c:v>-1.19</c:v>
                      </c:pt>
                      <c:pt idx="282">
                        <c:v>-1.18</c:v>
                      </c:pt>
                      <c:pt idx="283">
                        <c:v>-1.17</c:v>
                      </c:pt>
                      <c:pt idx="284">
                        <c:v>-1.1599999999999999</c:v>
                      </c:pt>
                      <c:pt idx="285">
                        <c:v>-1.1499999999999999</c:v>
                      </c:pt>
                      <c:pt idx="286">
                        <c:v>-1.1399999999999999</c:v>
                      </c:pt>
                      <c:pt idx="287">
                        <c:v>-1.1299999999999999</c:v>
                      </c:pt>
                      <c:pt idx="288">
                        <c:v>-1.1200000000000001</c:v>
                      </c:pt>
                      <c:pt idx="289">
                        <c:v>-1.1100000000000001</c:v>
                      </c:pt>
                      <c:pt idx="290">
                        <c:v>-1.1000000000000001</c:v>
                      </c:pt>
                      <c:pt idx="291">
                        <c:v>-1.0900000000000001</c:v>
                      </c:pt>
                      <c:pt idx="292">
                        <c:v>-1.08</c:v>
                      </c:pt>
                      <c:pt idx="293">
                        <c:v>-1.07</c:v>
                      </c:pt>
                      <c:pt idx="294">
                        <c:v>-1.06</c:v>
                      </c:pt>
                      <c:pt idx="295">
                        <c:v>-1.05</c:v>
                      </c:pt>
                      <c:pt idx="296">
                        <c:v>-1.04</c:v>
                      </c:pt>
                      <c:pt idx="297">
                        <c:v>-1.03</c:v>
                      </c:pt>
                      <c:pt idx="298">
                        <c:v>-1.02</c:v>
                      </c:pt>
                      <c:pt idx="299">
                        <c:v>-1.01</c:v>
                      </c:pt>
                      <c:pt idx="300">
                        <c:v>-1</c:v>
                      </c:pt>
                      <c:pt idx="301">
                        <c:v>-0.99</c:v>
                      </c:pt>
                      <c:pt idx="302">
                        <c:v>-0.98</c:v>
                      </c:pt>
                      <c:pt idx="303">
                        <c:v>-0.97</c:v>
                      </c:pt>
                      <c:pt idx="304">
                        <c:v>-0.96</c:v>
                      </c:pt>
                      <c:pt idx="305">
                        <c:v>-0.95</c:v>
                      </c:pt>
                      <c:pt idx="306">
                        <c:v>-0.94</c:v>
                      </c:pt>
                      <c:pt idx="307">
                        <c:v>-0.93</c:v>
                      </c:pt>
                      <c:pt idx="308">
                        <c:v>-0.92</c:v>
                      </c:pt>
                      <c:pt idx="309">
                        <c:v>-0.91</c:v>
                      </c:pt>
                      <c:pt idx="310">
                        <c:v>-0.9</c:v>
                      </c:pt>
                      <c:pt idx="311">
                        <c:v>-0.89</c:v>
                      </c:pt>
                      <c:pt idx="312">
                        <c:v>-0.88</c:v>
                      </c:pt>
                      <c:pt idx="313">
                        <c:v>-0.87</c:v>
                      </c:pt>
                      <c:pt idx="314">
                        <c:v>-0.86</c:v>
                      </c:pt>
                      <c:pt idx="315">
                        <c:v>-0.85</c:v>
                      </c:pt>
                      <c:pt idx="316">
                        <c:v>-0.84</c:v>
                      </c:pt>
                      <c:pt idx="317">
                        <c:v>-0.83</c:v>
                      </c:pt>
                      <c:pt idx="318">
                        <c:v>-0.82</c:v>
                      </c:pt>
                      <c:pt idx="319">
                        <c:v>-0.81</c:v>
                      </c:pt>
                      <c:pt idx="320">
                        <c:v>-0.8</c:v>
                      </c:pt>
                      <c:pt idx="321">
                        <c:v>-0.79</c:v>
                      </c:pt>
                      <c:pt idx="322">
                        <c:v>-0.78</c:v>
                      </c:pt>
                      <c:pt idx="323">
                        <c:v>-0.77</c:v>
                      </c:pt>
                      <c:pt idx="324">
                        <c:v>-0.76</c:v>
                      </c:pt>
                      <c:pt idx="325">
                        <c:v>-0.75</c:v>
                      </c:pt>
                      <c:pt idx="326">
                        <c:v>-0.74</c:v>
                      </c:pt>
                      <c:pt idx="327">
                        <c:v>-0.73</c:v>
                      </c:pt>
                      <c:pt idx="328">
                        <c:v>-0.72</c:v>
                      </c:pt>
                      <c:pt idx="329">
                        <c:v>-0.71</c:v>
                      </c:pt>
                      <c:pt idx="330">
                        <c:v>-0.7</c:v>
                      </c:pt>
                      <c:pt idx="331">
                        <c:v>-0.69</c:v>
                      </c:pt>
                      <c:pt idx="332">
                        <c:v>-0.68</c:v>
                      </c:pt>
                      <c:pt idx="333">
                        <c:v>-0.67</c:v>
                      </c:pt>
                      <c:pt idx="334">
                        <c:v>-0.66</c:v>
                      </c:pt>
                      <c:pt idx="335">
                        <c:v>-0.65</c:v>
                      </c:pt>
                      <c:pt idx="336">
                        <c:v>-0.64</c:v>
                      </c:pt>
                      <c:pt idx="337">
                        <c:v>-0.63</c:v>
                      </c:pt>
                      <c:pt idx="338">
                        <c:v>-0.62</c:v>
                      </c:pt>
                      <c:pt idx="339">
                        <c:v>-0.61</c:v>
                      </c:pt>
                      <c:pt idx="340">
                        <c:v>-0.6</c:v>
                      </c:pt>
                      <c:pt idx="341">
                        <c:v>-0.59</c:v>
                      </c:pt>
                      <c:pt idx="342">
                        <c:v>-0.57999999999999996</c:v>
                      </c:pt>
                      <c:pt idx="343">
                        <c:v>-0.56999999999999995</c:v>
                      </c:pt>
                      <c:pt idx="344">
                        <c:v>-0.56000000000000005</c:v>
                      </c:pt>
                      <c:pt idx="345">
                        <c:v>-0.55000000000000004</c:v>
                      </c:pt>
                      <c:pt idx="346">
                        <c:v>-0.54</c:v>
                      </c:pt>
                      <c:pt idx="347">
                        <c:v>-0.53</c:v>
                      </c:pt>
                      <c:pt idx="348">
                        <c:v>-0.52</c:v>
                      </c:pt>
                      <c:pt idx="349">
                        <c:v>-0.51</c:v>
                      </c:pt>
                      <c:pt idx="350">
                        <c:v>-0.5</c:v>
                      </c:pt>
                      <c:pt idx="351">
                        <c:v>-0.49</c:v>
                      </c:pt>
                      <c:pt idx="352">
                        <c:v>-0.48</c:v>
                      </c:pt>
                      <c:pt idx="353">
                        <c:v>-0.47</c:v>
                      </c:pt>
                      <c:pt idx="354">
                        <c:v>-0.46</c:v>
                      </c:pt>
                      <c:pt idx="355">
                        <c:v>-0.45</c:v>
                      </c:pt>
                      <c:pt idx="356">
                        <c:v>-0.44</c:v>
                      </c:pt>
                      <c:pt idx="357">
                        <c:v>-0.43</c:v>
                      </c:pt>
                      <c:pt idx="358">
                        <c:v>-0.42</c:v>
                      </c:pt>
                      <c:pt idx="359">
                        <c:v>-0.41</c:v>
                      </c:pt>
                      <c:pt idx="360">
                        <c:v>-0.4</c:v>
                      </c:pt>
                      <c:pt idx="361">
                        <c:v>-0.39</c:v>
                      </c:pt>
                      <c:pt idx="362">
                        <c:v>-0.38</c:v>
                      </c:pt>
                      <c:pt idx="363">
                        <c:v>-0.37</c:v>
                      </c:pt>
                      <c:pt idx="364">
                        <c:v>-0.36</c:v>
                      </c:pt>
                      <c:pt idx="365">
                        <c:v>-0.35</c:v>
                      </c:pt>
                      <c:pt idx="366">
                        <c:v>-0.34</c:v>
                      </c:pt>
                      <c:pt idx="367">
                        <c:v>-0.33</c:v>
                      </c:pt>
                      <c:pt idx="368">
                        <c:v>-0.32</c:v>
                      </c:pt>
                      <c:pt idx="369">
                        <c:v>-0.31</c:v>
                      </c:pt>
                      <c:pt idx="370">
                        <c:v>-0.3</c:v>
                      </c:pt>
                      <c:pt idx="371">
                        <c:v>-0.28999999999999998</c:v>
                      </c:pt>
                      <c:pt idx="372">
                        <c:v>-0.28000000000000003</c:v>
                      </c:pt>
                      <c:pt idx="373">
                        <c:v>-0.27</c:v>
                      </c:pt>
                      <c:pt idx="374">
                        <c:v>-0.26</c:v>
                      </c:pt>
                      <c:pt idx="375">
                        <c:v>-0.25</c:v>
                      </c:pt>
                      <c:pt idx="376">
                        <c:v>-0.24</c:v>
                      </c:pt>
                      <c:pt idx="377">
                        <c:v>-0.23</c:v>
                      </c:pt>
                      <c:pt idx="378">
                        <c:v>-0.22</c:v>
                      </c:pt>
                      <c:pt idx="379">
                        <c:v>-0.21</c:v>
                      </c:pt>
                      <c:pt idx="380">
                        <c:v>-0.2</c:v>
                      </c:pt>
                      <c:pt idx="381">
                        <c:v>-0.19</c:v>
                      </c:pt>
                      <c:pt idx="382">
                        <c:v>-0.18</c:v>
                      </c:pt>
                      <c:pt idx="383">
                        <c:v>-0.17</c:v>
                      </c:pt>
                      <c:pt idx="384">
                        <c:v>-0.16</c:v>
                      </c:pt>
                      <c:pt idx="385">
                        <c:v>-0.15</c:v>
                      </c:pt>
                      <c:pt idx="386">
                        <c:v>-0.14000000000000001</c:v>
                      </c:pt>
                      <c:pt idx="387">
                        <c:v>-0.13</c:v>
                      </c:pt>
                      <c:pt idx="388">
                        <c:v>-0.12</c:v>
                      </c:pt>
                      <c:pt idx="389">
                        <c:v>-0.11</c:v>
                      </c:pt>
                      <c:pt idx="390">
                        <c:v>-0.1</c:v>
                      </c:pt>
                      <c:pt idx="391">
                        <c:v>-0.09</c:v>
                      </c:pt>
                      <c:pt idx="392">
                        <c:v>-0.08</c:v>
                      </c:pt>
                      <c:pt idx="393">
                        <c:v>-7.0000000000000007E-2</c:v>
                      </c:pt>
                      <c:pt idx="394">
                        <c:v>-0.06</c:v>
                      </c:pt>
                      <c:pt idx="395">
                        <c:v>-0.05</c:v>
                      </c:pt>
                      <c:pt idx="396">
                        <c:v>-0.04</c:v>
                      </c:pt>
                      <c:pt idx="397">
                        <c:v>-0.03</c:v>
                      </c:pt>
                      <c:pt idx="398">
                        <c:v>-0.02</c:v>
                      </c:pt>
                      <c:pt idx="399">
                        <c:v>-0.01</c:v>
                      </c:pt>
                      <c:pt idx="400">
                        <c:v>0</c:v>
                      </c:pt>
                      <c:pt idx="401">
                        <c:v>0.01</c:v>
                      </c:pt>
                      <c:pt idx="402">
                        <c:v>0.02</c:v>
                      </c:pt>
                      <c:pt idx="403">
                        <c:v>0.03</c:v>
                      </c:pt>
                      <c:pt idx="404">
                        <c:v>0.04</c:v>
                      </c:pt>
                      <c:pt idx="405">
                        <c:v>0.05</c:v>
                      </c:pt>
                      <c:pt idx="406">
                        <c:v>0.06</c:v>
                      </c:pt>
                      <c:pt idx="407">
                        <c:v>7.0000000000000007E-2</c:v>
                      </c:pt>
                      <c:pt idx="408">
                        <c:v>0.08</c:v>
                      </c:pt>
                      <c:pt idx="409">
                        <c:v>0.09</c:v>
                      </c:pt>
                      <c:pt idx="410">
                        <c:v>0.1</c:v>
                      </c:pt>
                      <c:pt idx="411">
                        <c:v>0.11</c:v>
                      </c:pt>
                      <c:pt idx="412">
                        <c:v>0.12</c:v>
                      </c:pt>
                      <c:pt idx="413">
                        <c:v>0.13</c:v>
                      </c:pt>
                      <c:pt idx="414">
                        <c:v>0.14000000000000001</c:v>
                      </c:pt>
                      <c:pt idx="415">
                        <c:v>0.15</c:v>
                      </c:pt>
                      <c:pt idx="416">
                        <c:v>0.16</c:v>
                      </c:pt>
                      <c:pt idx="417">
                        <c:v>0.17</c:v>
                      </c:pt>
                      <c:pt idx="418">
                        <c:v>0.18</c:v>
                      </c:pt>
                      <c:pt idx="419">
                        <c:v>0.19</c:v>
                      </c:pt>
                      <c:pt idx="420">
                        <c:v>0.2</c:v>
                      </c:pt>
                      <c:pt idx="421">
                        <c:v>0.21</c:v>
                      </c:pt>
                      <c:pt idx="422">
                        <c:v>0.22</c:v>
                      </c:pt>
                      <c:pt idx="423">
                        <c:v>0.23</c:v>
                      </c:pt>
                      <c:pt idx="424">
                        <c:v>0.24</c:v>
                      </c:pt>
                      <c:pt idx="425">
                        <c:v>0.25</c:v>
                      </c:pt>
                      <c:pt idx="426">
                        <c:v>0.26</c:v>
                      </c:pt>
                      <c:pt idx="427">
                        <c:v>0.27</c:v>
                      </c:pt>
                      <c:pt idx="428">
                        <c:v>0.28000000000000003</c:v>
                      </c:pt>
                      <c:pt idx="429">
                        <c:v>0.28999999999999998</c:v>
                      </c:pt>
                      <c:pt idx="430">
                        <c:v>0.3</c:v>
                      </c:pt>
                      <c:pt idx="431">
                        <c:v>0.31</c:v>
                      </c:pt>
                      <c:pt idx="432">
                        <c:v>0.32</c:v>
                      </c:pt>
                      <c:pt idx="433">
                        <c:v>0.33</c:v>
                      </c:pt>
                      <c:pt idx="434">
                        <c:v>0.34</c:v>
                      </c:pt>
                      <c:pt idx="435">
                        <c:v>0.35</c:v>
                      </c:pt>
                      <c:pt idx="436">
                        <c:v>0.36</c:v>
                      </c:pt>
                      <c:pt idx="437">
                        <c:v>0.37</c:v>
                      </c:pt>
                      <c:pt idx="438">
                        <c:v>0.38</c:v>
                      </c:pt>
                      <c:pt idx="439">
                        <c:v>0.39</c:v>
                      </c:pt>
                      <c:pt idx="440">
                        <c:v>0.4</c:v>
                      </c:pt>
                      <c:pt idx="441">
                        <c:v>0.41</c:v>
                      </c:pt>
                      <c:pt idx="442">
                        <c:v>0.42</c:v>
                      </c:pt>
                      <c:pt idx="443">
                        <c:v>0.43</c:v>
                      </c:pt>
                      <c:pt idx="444">
                        <c:v>0.44</c:v>
                      </c:pt>
                      <c:pt idx="445">
                        <c:v>0.45</c:v>
                      </c:pt>
                      <c:pt idx="446">
                        <c:v>0.46</c:v>
                      </c:pt>
                      <c:pt idx="447">
                        <c:v>0.47</c:v>
                      </c:pt>
                      <c:pt idx="448">
                        <c:v>0.48</c:v>
                      </c:pt>
                      <c:pt idx="449">
                        <c:v>0.49</c:v>
                      </c:pt>
                      <c:pt idx="450">
                        <c:v>0.5</c:v>
                      </c:pt>
                      <c:pt idx="451">
                        <c:v>0.51</c:v>
                      </c:pt>
                      <c:pt idx="452">
                        <c:v>0.52</c:v>
                      </c:pt>
                      <c:pt idx="453">
                        <c:v>0.53</c:v>
                      </c:pt>
                      <c:pt idx="454">
                        <c:v>0.54</c:v>
                      </c:pt>
                      <c:pt idx="455">
                        <c:v>0.55000000000000004</c:v>
                      </c:pt>
                      <c:pt idx="456">
                        <c:v>0.56000000000000005</c:v>
                      </c:pt>
                      <c:pt idx="457">
                        <c:v>0.56999999999999995</c:v>
                      </c:pt>
                      <c:pt idx="458">
                        <c:v>0.57999999999999996</c:v>
                      </c:pt>
                      <c:pt idx="459">
                        <c:v>0.59</c:v>
                      </c:pt>
                      <c:pt idx="460">
                        <c:v>0.6</c:v>
                      </c:pt>
                      <c:pt idx="461">
                        <c:v>0.61</c:v>
                      </c:pt>
                      <c:pt idx="462">
                        <c:v>0.62</c:v>
                      </c:pt>
                      <c:pt idx="463">
                        <c:v>0.63</c:v>
                      </c:pt>
                      <c:pt idx="464">
                        <c:v>0.64</c:v>
                      </c:pt>
                      <c:pt idx="465">
                        <c:v>0.65</c:v>
                      </c:pt>
                      <c:pt idx="466">
                        <c:v>0.66</c:v>
                      </c:pt>
                      <c:pt idx="467">
                        <c:v>0.67</c:v>
                      </c:pt>
                      <c:pt idx="468">
                        <c:v>0.68</c:v>
                      </c:pt>
                      <c:pt idx="469">
                        <c:v>0.69</c:v>
                      </c:pt>
                      <c:pt idx="470">
                        <c:v>0.7</c:v>
                      </c:pt>
                      <c:pt idx="471">
                        <c:v>0.71</c:v>
                      </c:pt>
                      <c:pt idx="472">
                        <c:v>0.72</c:v>
                      </c:pt>
                      <c:pt idx="473">
                        <c:v>0.73</c:v>
                      </c:pt>
                      <c:pt idx="474">
                        <c:v>0.74</c:v>
                      </c:pt>
                      <c:pt idx="475">
                        <c:v>0.75</c:v>
                      </c:pt>
                      <c:pt idx="476">
                        <c:v>0.76</c:v>
                      </c:pt>
                      <c:pt idx="477">
                        <c:v>0.77</c:v>
                      </c:pt>
                      <c:pt idx="478">
                        <c:v>0.78</c:v>
                      </c:pt>
                      <c:pt idx="479">
                        <c:v>0.79</c:v>
                      </c:pt>
                      <c:pt idx="480">
                        <c:v>0.8</c:v>
                      </c:pt>
                      <c:pt idx="481">
                        <c:v>0.81</c:v>
                      </c:pt>
                      <c:pt idx="482">
                        <c:v>0.82</c:v>
                      </c:pt>
                      <c:pt idx="483">
                        <c:v>0.83</c:v>
                      </c:pt>
                      <c:pt idx="484">
                        <c:v>0.84</c:v>
                      </c:pt>
                      <c:pt idx="485">
                        <c:v>0.85</c:v>
                      </c:pt>
                      <c:pt idx="486">
                        <c:v>0.86</c:v>
                      </c:pt>
                      <c:pt idx="487">
                        <c:v>0.87</c:v>
                      </c:pt>
                      <c:pt idx="488">
                        <c:v>0.88</c:v>
                      </c:pt>
                      <c:pt idx="489">
                        <c:v>0.89</c:v>
                      </c:pt>
                      <c:pt idx="490">
                        <c:v>0.9</c:v>
                      </c:pt>
                      <c:pt idx="491">
                        <c:v>0.91</c:v>
                      </c:pt>
                      <c:pt idx="492">
                        <c:v>0.92</c:v>
                      </c:pt>
                      <c:pt idx="493">
                        <c:v>0.93</c:v>
                      </c:pt>
                      <c:pt idx="494">
                        <c:v>0.94</c:v>
                      </c:pt>
                      <c:pt idx="495">
                        <c:v>0.95</c:v>
                      </c:pt>
                      <c:pt idx="496">
                        <c:v>0.96</c:v>
                      </c:pt>
                      <c:pt idx="497">
                        <c:v>0.97</c:v>
                      </c:pt>
                      <c:pt idx="498">
                        <c:v>0.98</c:v>
                      </c:pt>
                      <c:pt idx="499">
                        <c:v>0.99</c:v>
                      </c:pt>
                      <c:pt idx="500">
                        <c:v>1</c:v>
                      </c:pt>
                      <c:pt idx="501">
                        <c:v>1.01</c:v>
                      </c:pt>
                      <c:pt idx="502">
                        <c:v>1.02</c:v>
                      </c:pt>
                      <c:pt idx="503">
                        <c:v>1.03</c:v>
                      </c:pt>
                      <c:pt idx="504">
                        <c:v>1.04</c:v>
                      </c:pt>
                      <c:pt idx="505">
                        <c:v>1.05</c:v>
                      </c:pt>
                      <c:pt idx="506">
                        <c:v>1.06</c:v>
                      </c:pt>
                      <c:pt idx="507">
                        <c:v>1.07</c:v>
                      </c:pt>
                      <c:pt idx="508">
                        <c:v>1.08</c:v>
                      </c:pt>
                      <c:pt idx="509">
                        <c:v>1.0900000000000001</c:v>
                      </c:pt>
                      <c:pt idx="510">
                        <c:v>1.1000000000000001</c:v>
                      </c:pt>
                      <c:pt idx="511">
                        <c:v>1.1100000000000001</c:v>
                      </c:pt>
                      <c:pt idx="512">
                        <c:v>1.1200000000000001</c:v>
                      </c:pt>
                      <c:pt idx="513">
                        <c:v>1.1299999999999999</c:v>
                      </c:pt>
                      <c:pt idx="514">
                        <c:v>1.1399999999999999</c:v>
                      </c:pt>
                      <c:pt idx="515">
                        <c:v>1.1499999999999999</c:v>
                      </c:pt>
                      <c:pt idx="516">
                        <c:v>1.1599999999999999</c:v>
                      </c:pt>
                      <c:pt idx="517">
                        <c:v>1.17</c:v>
                      </c:pt>
                      <c:pt idx="518">
                        <c:v>1.18</c:v>
                      </c:pt>
                      <c:pt idx="519">
                        <c:v>1.19</c:v>
                      </c:pt>
                      <c:pt idx="520">
                        <c:v>1.2</c:v>
                      </c:pt>
                      <c:pt idx="521">
                        <c:v>1.21</c:v>
                      </c:pt>
                      <c:pt idx="522">
                        <c:v>1.22</c:v>
                      </c:pt>
                      <c:pt idx="523">
                        <c:v>1.23</c:v>
                      </c:pt>
                      <c:pt idx="524">
                        <c:v>1.24</c:v>
                      </c:pt>
                      <c:pt idx="525">
                        <c:v>1.25</c:v>
                      </c:pt>
                      <c:pt idx="526">
                        <c:v>1.26</c:v>
                      </c:pt>
                      <c:pt idx="527">
                        <c:v>1.27</c:v>
                      </c:pt>
                      <c:pt idx="528">
                        <c:v>1.28</c:v>
                      </c:pt>
                      <c:pt idx="529">
                        <c:v>1.29</c:v>
                      </c:pt>
                      <c:pt idx="530">
                        <c:v>1.3</c:v>
                      </c:pt>
                      <c:pt idx="531">
                        <c:v>1.31</c:v>
                      </c:pt>
                      <c:pt idx="532">
                        <c:v>1.32</c:v>
                      </c:pt>
                      <c:pt idx="533">
                        <c:v>1.33</c:v>
                      </c:pt>
                      <c:pt idx="534">
                        <c:v>1.34</c:v>
                      </c:pt>
                      <c:pt idx="535">
                        <c:v>1.35</c:v>
                      </c:pt>
                      <c:pt idx="536">
                        <c:v>1.36</c:v>
                      </c:pt>
                      <c:pt idx="537">
                        <c:v>1.37</c:v>
                      </c:pt>
                      <c:pt idx="538">
                        <c:v>1.38</c:v>
                      </c:pt>
                      <c:pt idx="539">
                        <c:v>1.39</c:v>
                      </c:pt>
                      <c:pt idx="540">
                        <c:v>1.4</c:v>
                      </c:pt>
                      <c:pt idx="541">
                        <c:v>1.41</c:v>
                      </c:pt>
                      <c:pt idx="542">
                        <c:v>1.42</c:v>
                      </c:pt>
                      <c:pt idx="543">
                        <c:v>1.43</c:v>
                      </c:pt>
                      <c:pt idx="544">
                        <c:v>1.44</c:v>
                      </c:pt>
                      <c:pt idx="545">
                        <c:v>1.45</c:v>
                      </c:pt>
                      <c:pt idx="546">
                        <c:v>1.46</c:v>
                      </c:pt>
                      <c:pt idx="547">
                        <c:v>1.47</c:v>
                      </c:pt>
                      <c:pt idx="548">
                        <c:v>1.48</c:v>
                      </c:pt>
                      <c:pt idx="549">
                        <c:v>1.49</c:v>
                      </c:pt>
                      <c:pt idx="550">
                        <c:v>1.5</c:v>
                      </c:pt>
                      <c:pt idx="551">
                        <c:v>1.51</c:v>
                      </c:pt>
                      <c:pt idx="552">
                        <c:v>1.52</c:v>
                      </c:pt>
                      <c:pt idx="553">
                        <c:v>1.53</c:v>
                      </c:pt>
                      <c:pt idx="554">
                        <c:v>1.54</c:v>
                      </c:pt>
                      <c:pt idx="555">
                        <c:v>1.55</c:v>
                      </c:pt>
                      <c:pt idx="556">
                        <c:v>1.56</c:v>
                      </c:pt>
                      <c:pt idx="557">
                        <c:v>1.57</c:v>
                      </c:pt>
                      <c:pt idx="558">
                        <c:v>1.58</c:v>
                      </c:pt>
                      <c:pt idx="559">
                        <c:v>1.59</c:v>
                      </c:pt>
                      <c:pt idx="560">
                        <c:v>1.6</c:v>
                      </c:pt>
                      <c:pt idx="561">
                        <c:v>1.61</c:v>
                      </c:pt>
                      <c:pt idx="562">
                        <c:v>1.62</c:v>
                      </c:pt>
                      <c:pt idx="563">
                        <c:v>1.63</c:v>
                      </c:pt>
                      <c:pt idx="564">
                        <c:v>1.64</c:v>
                      </c:pt>
                      <c:pt idx="565">
                        <c:v>1.65</c:v>
                      </c:pt>
                      <c:pt idx="566">
                        <c:v>1.66</c:v>
                      </c:pt>
                      <c:pt idx="567">
                        <c:v>1.67</c:v>
                      </c:pt>
                      <c:pt idx="568">
                        <c:v>1.68</c:v>
                      </c:pt>
                      <c:pt idx="569">
                        <c:v>1.69</c:v>
                      </c:pt>
                      <c:pt idx="570">
                        <c:v>1.7</c:v>
                      </c:pt>
                      <c:pt idx="571">
                        <c:v>1.71</c:v>
                      </c:pt>
                      <c:pt idx="572">
                        <c:v>1.72</c:v>
                      </c:pt>
                      <c:pt idx="573">
                        <c:v>1.73</c:v>
                      </c:pt>
                      <c:pt idx="574">
                        <c:v>1.74</c:v>
                      </c:pt>
                      <c:pt idx="575">
                        <c:v>1.75</c:v>
                      </c:pt>
                      <c:pt idx="576">
                        <c:v>1.76</c:v>
                      </c:pt>
                      <c:pt idx="577">
                        <c:v>1.77</c:v>
                      </c:pt>
                      <c:pt idx="578">
                        <c:v>1.78</c:v>
                      </c:pt>
                      <c:pt idx="579">
                        <c:v>1.79</c:v>
                      </c:pt>
                      <c:pt idx="580">
                        <c:v>1.8</c:v>
                      </c:pt>
                      <c:pt idx="581">
                        <c:v>1.81</c:v>
                      </c:pt>
                      <c:pt idx="582">
                        <c:v>1.82</c:v>
                      </c:pt>
                      <c:pt idx="583">
                        <c:v>1.83</c:v>
                      </c:pt>
                      <c:pt idx="584">
                        <c:v>1.84</c:v>
                      </c:pt>
                      <c:pt idx="585">
                        <c:v>1.85</c:v>
                      </c:pt>
                      <c:pt idx="586">
                        <c:v>1.86</c:v>
                      </c:pt>
                      <c:pt idx="587">
                        <c:v>1.87</c:v>
                      </c:pt>
                      <c:pt idx="588">
                        <c:v>1.88</c:v>
                      </c:pt>
                      <c:pt idx="589">
                        <c:v>1.89</c:v>
                      </c:pt>
                      <c:pt idx="590">
                        <c:v>1.9</c:v>
                      </c:pt>
                      <c:pt idx="591">
                        <c:v>1.91</c:v>
                      </c:pt>
                      <c:pt idx="592">
                        <c:v>1.92</c:v>
                      </c:pt>
                      <c:pt idx="593">
                        <c:v>1.93</c:v>
                      </c:pt>
                      <c:pt idx="594">
                        <c:v>1.94</c:v>
                      </c:pt>
                      <c:pt idx="595">
                        <c:v>1.95</c:v>
                      </c:pt>
                      <c:pt idx="596">
                        <c:v>1.96</c:v>
                      </c:pt>
                      <c:pt idx="597">
                        <c:v>1.97</c:v>
                      </c:pt>
                      <c:pt idx="598">
                        <c:v>1.98</c:v>
                      </c:pt>
                      <c:pt idx="599">
                        <c:v>1.99</c:v>
                      </c:pt>
                      <c:pt idx="600">
                        <c:v>2</c:v>
                      </c:pt>
                      <c:pt idx="601">
                        <c:v>2.0099999999999998</c:v>
                      </c:pt>
                      <c:pt idx="602">
                        <c:v>2.02</c:v>
                      </c:pt>
                      <c:pt idx="603">
                        <c:v>2.0299999999999998</c:v>
                      </c:pt>
                      <c:pt idx="604">
                        <c:v>2.04</c:v>
                      </c:pt>
                      <c:pt idx="605">
                        <c:v>2.0499999999999998</c:v>
                      </c:pt>
                      <c:pt idx="606">
                        <c:v>2.06</c:v>
                      </c:pt>
                      <c:pt idx="607">
                        <c:v>2.0699999999999998</c:v>
                      </c:pt>
                      <c:pt idx="608">
                        <c:v>2.08</c:v>
                      </c:pt>
                      <c:pt idx="609">
                        <c:v>2.09</c:v>
                      </c:pt>
                      <c:pt idx="610">
                        <c:v>2.1</c:v>
                      </c:pt>
                      <c:pt idx="611">
                        <c:v>2.11</c:v>
                      </c:pt>
                      <c:pt idx="612">
                        <c:v>2.12</c:v>
                      </c:pt>
                      <c:pt idx="613">
                        <c:v>2.13</c:v>
                      </c:pt>
                      <c:pt idx="614">
                        <c:v>2.14</c:v>
                      </c:pt>
                      <c:pt idx="615">
                        <c:v>2.15</c:v>
                      </c:pt>
                      <c:pt idx="616">
                        <c:v>2.16</c:v>
                      </c:pt>
                      <c:pt idx="617">
                        <c:v>2.17</c:v>
                      </c:pt>
                      <c:pt idx="618">
                        <c:v>2.1800000000000002</c:v>
                      </c:pt>
                      <c:pt idx="619">
                        <c:v>2.19</c:v>
                      </c:pt>
                      <c:pt idx="620">
                        <c:v>2.2000000000000002</c:v>
                      </c:pt>
                      <c:pt idx="621">
                        <c:v>2.21</c:v>
                      </c:pt>
                      <c:pt idx="622">
                        <c:v>2.2200000000000002</c:v>
                      </c:pt>
                      <c:pt idx="623">
                        <c:v>2.23</c:v>
                      </c:pt>
                      <c:pt idx="624">
                        <c:v>2.2400000000000002</c:v>
                      </c:pt>
                      <c:pt idx="625">
                        <c:v>2.25</c:v>
                      </c:pt>
                      <c:pt idx="626">
                        <c:v>2.2599999999999998</c:v>
                      </c:pt>
                      <c:pt idx="627">
                        <c:v>2.27</c:v>
                      </c:pt>
                      <c:pt idx="628">
                        <c:v>2.2799999999999998</c:v>
                      </c:pt>
                      <c:pt idx="629">
                        <c:v>2.29</c:v>
                      </c:pt>
                      <c:pt idx="630">
                        <c:v>2.2999999999999998</c:v>
                      </c:pt>
                      <c:pt idx="631">
                        <c:v>2.31</c:v>
                      </c:pt>
                      <c:pt idx="632">
                        <c:v>2.3199999999999998</c:v>
                      </c:pt>
                      <c:pt idx="633">
                        <c:v>2.33</c:v>
                      </c:pt>
                      <c:pt idx="634">
                        <c:v>2.34</c:v>
                      </c:pt>
                      <c:pt idx="635">
                        <c:v>2.35</c:v>
                      </c:pt>
                      <c:pt idx="636">
                        <c:v>2.36</c:v>
                      </c:pt>
                      <c:pt idx="637">
                        <c:v>2.37</c:v>
                      </c:pt>
                      <c:pt idx="638">
                        <c:v>2.38</c:v>
                      </c:pt>
                      <c:pt idx="639">
                        <c:v>2.39</c:v>
                      </c:pt>
                      <c:pt idx="640">
                        <c:v>2.4</c:v>
                      </c:pt>
                      <c:pt idx="641">
                        <c:v>2.41</c:v>
                      </c:pt>
                      <c:pt idx="642">
                        <c:v>2.42</c:v>
                      </c:pt>
                      <c:pt idx="643">
                        <c:v>2.4300000000000002</c:v>
                      </c:pt>
                      <c:pt idx="644">
                        <c:v>2.44</c:v>
                      </c:pt>
                      <c:pt idx="645">
                        <c:v>2.4500000000000002</c:v>
                      </c:pt>
                      <c:pt idx="646">
                        <c:v>2.46</c:v>
                      </c:pt>
                      <c:pt idx="647">
                        <c:v>2.4700000000000002</c:v>
                      </c:pt>
                      <c:pt idx="648">
                        <c:v>2.48</c:v>
                      </c:pt>
                      <c:pt idx="649">
                        <c:v>2.4900000000000002</c:v>
                      </c:pt>
                      <c:pt idx="650">
                        <c:v>2.5</c:v>
                      </c:pt>
                      <c:pt idx="651">
                        <c:v>2.5099999999999998</c:v>
                      </c:pt>
                      <c:pt idx="652">
                        <c:v>2.52</c:v>
                      </c:pt>
                      <c:pt idx="653">
                        <c:v>2.5299999999999998</c:v>
                      </c:pt>
                      <c:pt idx="654">
                        <c:v>2.54</c:v>
                      </c:pt>
                      <c:pt idx="655">
                        <c:v>2.5499999999999998</c:v>
                      </c:pt>
                      <c:pt idx="656">
                        <c:v>2.56</c:v>
                      </c:pt>
                      <c:pt idx="657">
                        <c:v>2.57</c:v>
                      </c:pt>
                      <c:pt idx="658">
                        <c:v>2.58</c:v>
                      </c:pt>
                      <c:pt idx="659">
                        <c:v>2.59</c:v>
                      </c:pt>
                      <c:pt idx="660">
                        <c:v>2.6</c:v>
                      </c:pt>
                      <c:pt idx="661">
                        <c:v>2.61</c:v>
                      </c:pt>
                      <c:pt idx="662">
                        <c:v>2.62</c:v>
                      </c:pt>
                      <c:pt idx="663">
                        <c:v>2.63</c:v>
                      </c:pt>
                      <c:pt idx="664">
                        <c:v>2.64</c:v>
                      </c:pt>
                      <c:pt idx="665">
                        <c:v>2.65</c:v>
                      </c:pt>
                      <c:pt idx="666">
                        <c:v>2.66</c:v>
                      </c:pt>
                      <c:pt idx="667">
                        <c:v>2.67</c:v>
                      </c:pt>
                      <c:pt idx="668">
                        <c:v>2.68</c:v>
                      </c:pt>
                      <c:pt idx="669">
                        <c:v>2.69</c:v>
                      </c:pt>
                      <c:pt idx="670">
                        <c:v>2.7</c:v>
                      </c:pt>
                      <c:pt idx="671">
                        <c:v>2.71</c:v>
                      </c:pt>
                      <c:pt idx="672">
                        <c:v>2.72</c:v>
                      </c:pt>
                      <c:pt idx="673">
                        <c:v>2.73</c:v>
                      </c:pt>
                      <c:pt idx="674">
                        <c:v>2.74</c:v>
                      </c:pt>
                      <c:pt idx="675">
                        <c:v>2.75</c:v>
                      </c:pt>
                      <c:pt idx="676">
                        <c:v>2.76</c:v>
                      </c:pt>
                      <c:pt idx="677">
                        <c:v>2.77</c:v>
                      </c:pt>
                      <c:pt idx="678">
                        <c:v>2.78</c:v>
                      </c:pt>
                      <c:pt idx="679">
                        <c:v>2.79</c:v>
                      </c:pt>
                      <c:pt idx="680">
                        <c:v>2.8</c:v>
                      </c:pt>
                      <c:pt idx="681">
                        <c:v>2.81</c:v>
                      </c:pt>
                      <c:pt idx="682">
                        <c:v>2.82</c:v>
                      </c:pt>
                      <c:pt idx="683">
                        <c:v>2.83</c:v>
                      </c:pt>
                      <c:pt idx="684">
                        <c:v>2.84</c:v>
                      </c:pt>
                      <c:pt idx="685">
                        <c:v>2.85</c:v>
                      </c:pt>
                      <c:pt idx="686">
                        <c:v>2.86</c:v>
                      </c:pt>
                      <c:pt idx="687">
                        <c:v>2.87</c:v>
                      </c:pt>
                      <c:pt idx="688">
                        <c:v>2.88</c:v>
                      </c:pt>
                      <c:pt idx="689">
                        <c:v>2.89</c:v>
                      </c:pt>
                      <c:pt idx="690">
                        <c:v>2.9</c:v>
                      </c:pt>
                      <c:pt idx="691">
                        <c:v>2.91</c:v>
                      </c:pt>
                      <c:pt idx="692">
                        <c:v>2.92</c:v>
                      </c:pt>
                      <c:pt idx="693">
                        <c:v>2.93</c:v>
                      </c:pt>
                      <c:pt idx="694">
                        <c:v>2.94</c:v>
                      </c:pt>
                      <c:pt idx="695">
                        <c:v>2.95</c:v>
                      </c:pt>
                      <c:pt idx="696">
                        <c:v>2.96</c:v>
                      </c:pt>
                      <c:pt idx="697">
                        <c:v>2.97</c:v>
                      </c:pt>
                      <c:pt idx="698">
                        <c:v>2.98</c:v>
                      </c:pt>
                      <c:pt idx="699">
                        <c:v>2.99</c:v>
                      </c:pt>
                      <c:pt idx="700">
                        <c:v>3</c:v>
                      </c:pt>
                      <c:pt idx="701">
                        <c:v>3.01</c:v>
                      </c:pt>
                      <c:pt idx="702">
                        <c:v>3.02</c:v>
                      </c:pt>
                      <c:pt idx="703">
                        <c:v>3.03</c:v>
                      </c:pt>
                      <c:pt idx="704">
                        <c:v>3.04</c:v>
                      </c:pt>
                      <c:pt idx="705">
                        <c:v>3.05</c:v>
                      </c:pt>
                      <c:pt idx="706">
                        <c:v>3.06</c:v>
                      </c:pt>
                      <c:pt idx="707">
                        <c:v>3.07</c:v>
                      </c:pt>
                      <c:pt idx="708">
                        <c:v>3.08</c:v>
                      </c:pt>
                      <c:pt idx="709">
                        <c:v>3.09</c:v>
                      </c:pt>
                      <c:pt idx="710">
                        <c:v>3.1</c:v>
                      </c:pt>
                      <c:pt idx="711">
                        <c:v>3.11</c:v>
                      </c:pt>
                      <c:pt idx="712">
                        <c:v>3.12</c:v>
                      </c:pt>
                      <c:pt idx="713">
                        <c:v>3.13</c:v>
                      </c:pt>
                      <c:pt idx="714">
                        <c:v>3.14</c:v>
                      </c:pt>
                      <c:pt idx="715">
                        <c:v>3.15</c:v>
                      </c:pt>
                      <c:pt idx="716">
                        <c:v>3.16</c:v>
                      </c:pt>
                      <c:pt idx="717">
                        <c:v>3.17</c:v>
                      </c:pt>
                      <c:pt idx="718">
                        <c:v>3.18</c:v>
                      </c:pt>
                      <c:pt idx="719">
                        <c:v>3.19</c:v>
                      </c:pt>
                      <c:pt idx="720">
                        <c:v>3.2</c:v>
                      </c:pt>
                      <c:pt idx="721">
                        <c:v>3.21</c:v>
                      </c:pt>
                      <c:pt idx="722">
                        <c:v>3.22</c:v>
                      </c:pt>
                      <c:pt idx="723">
                        <c:v>3.23</c:v>
                      </c:pt>
                      <c:pt idx="724">
                        <c:v>3.24</c:v>
                      </c:pt>
                      <c:pt idx="725">
                        <c:v>3.25</c:v>
                      </c:pt>
                      <c:pt idx="726">
                        <c:v>3.26</c:v>
                      </c:pt>
                      <c:pt idx="727">
                        <c:v>3.27</c:v>
                      </c:pt>
                      <c:pt idx="728">
                        <c:v>3.28</c:v>
                      </c:pt>
                      <c:pt idx="729">
                        <c:v>3.29</c:v>
                      </c:pt>
                      <c:pt idx="730">
                        <c:v>3.3</c:v>
                      </c:pt>
                      <c:pt idx="731">
                        <c:v>3.31</c:v>
                      </c:pt>
                      <c:pt idx="732">
                        <c:v>3.32</c:v>
                      </c:pt>
                      <c:pt idx="733">
                        <c:v>3.33</c:v>
                      </c:pt>
                      <c:pt idx="734">
                        <c:v>3.34</c:v>
                      </c:pt>
                      <c:pt idx="735">
                        <c:v>3.35</c:v>
                      </c:pt>
                      <c:pt idx="736">
                        <c:v>3.36</c:v>
                      </c:pt>
                      <c:pt idx="737">
                        <c:v>3.37</c:v>
                      </c:pt>
                      <c:pt idx="738">
                        <c:v>3.38</c:v>
                      </c:pt>
                      <c:pt idx="739">
                        <c:v>3.39</c:v>
                      </c:pt>
                      <c:pt idx="740">
                        <c:v>3.4</c:v>
                      </c:pt>
                      <c:pt idx="741">
                        <c:v>3.41</c:v>
                      </c:pt>
                      <c:pt idx="742">
                        <c:v>3.42</c:v>
                      </c:pt>
                      <c:pt idx="743">
                        <c:v>3.43</c:v>
                      </c:pt>
                      <c:pt idx="744">
                        <c:v>3.44</c:v>
                      </c:pt>
                      <c:pt idx="745">
                        <c:v>3.45</c:v>
                      </c:pt>
                      <c:pt idx="746">
                        <c:v>3.46</c:v>
                      </c:pt>
                      <c:pt idx="747">
                        <c:v>3.47</c:v>
                      </c:pt>
                      <c:pt idx="748">
                        <c:v>3.48</c:v>
                      </c:pt>
                      <c:pt idx="749">
                        <c:v>3.49</c:v>
                      </c:pt>
                      <c:pt idx="750">
                        <c:v>3.5</c:v>
                      </c:pt>
                      <c:pt idx="751">
                        <c:v>3.51</c:v>
                      </c:pt>
                      <c:pt idx="752">
                        <c:v>3.52</c:v>
                      </c:pt>
                      <c:pt idx="753">
                        <c:v>3.53</c:v>
                      </c:pt>
                      <c:pt idx="754">
                        <c:v>3.54</c:v>
                      </c:pt>
                      <c:pt idx="755">
                        <c:v>3.55</c:v>
                      </c:pt>
                      <c:pt idx="756">
                        <c:v>3.56</c:v>
                      </c:pt>
                      <c:pt idx="757">
                        <c:v>3.57</c:v>
                      </c:pt>
                      <c:pt idx="758">
                        <c:v>3.58</c:v>
                      </c:pt>
                      <c:pt idx="759">
                        <c:v>3.59</c:v>
                      </c:pt>
                      <c:pt idx="760">
                        <c:v>3.6</c:v>
                      </c:pt>
                      <c:pt idx="761">
                        <c:v>3.61</c:v>
                      </c:pt>
                      <c:pt idx="762">
                        <c:v>3.62</c:v>
                      </c:pt>
                      <c:pt idx="763">
                        <c:v>3.63</c:v>
                      </c:pt>
                      <c:pt idx="764">
                        <c:v>3.64</c:v>
                      </c:pt>
                      <c:pt idx="765">
                        <c:v>3.65</c:v>
                      </c:pt>
                      <c:pt idx="766">
                        <c:v>3.66</c:v>
                      </c:pt>
                      <c:pt idx="767">
                        <c:v>3.67</c:v>
                      </c:pt>
                      <c:pt idx="768">
                        <c:v>3.68</c:v>
                      </c:pt>
                      <c:pt idx="769">
                        <c:v>3.69</c:v>
                      </c:pt>
                      <c:pt idx="770">
                        <c:v>3.7</c:v>
                      </c:pt>
                      <c:pt idx="771">
                        <c:v>3.71</c:v>
                      </c:pt>
                      <c:pt idx="772">
                        <c:v>3.72</c:v>
                      </c:pt>
                      <c:pt idx="773">
                        <c:v>3.73</c:v>
                      </c:pt>
                      <c:pt idx="774">
                        <c:v>3.74</c:v>
                      </c:pt>
                      <c:pt idx="775">
                        <c:v>3.75</c:v>
                      </c:pt>
                      <c:pt idx="776">
                        <c:v>3.76</c:v>
                      </c:pt>
                      <c:pt idx="777">
                        <c:v>3.77</c:v>
                      </c:pt>
                      <c:pt idx="778">
                        <c:v>3.78</c:v>
                      </c:pt>
                      <c:pt idx="779">
                        <c:v>3.79</c:v>
                      </c:pt>
                      <c:pt idx="780">
                        <c:v>3.8</c:v>
                      </c:pt>
                      <c:pt idx="781">
                        <c:v>3.81</c:v>
                      </c:pt>
                      <c:pt idx="782">
                        <c:v>3.82</c:v>
                      </c:pt>
                      <c:pt idx="783">
                        <c:v>3.83</c:v>
                      </c:pt>
                      <c:pt idx="784">
                        <c:v>3.84</c:v>
                      </c:pt>
                      <c:pt idx="785">
                        <c:v>3.85</c:v>
                      </c:pt>
                      <c:pt idx="786">
                        <c:v>3.86</c:v>
                      </c:pt>
                      <c:pt idx="787">
                        <c:v>3.87</c:v>
                      </c:pt>
                      <c:pt idx="788">
                        <c:v>3.88</c:v>
                      </c:pt>
                      <c:pt idx="789">
                        <c:v>3.89</c:v>
                      </c:pt>
                      <c:pt idx="790">
                        <c:v>3.9</c:v>
                      </c:pt>
                      <c:pt idx="791">
                        <c:v>3.91</c:v>
                      </c:pt>
                      <c:pt idx="792">
                        <c:v>3.92</c:v>
                      </c:pt>
                      <c:pt idx="793">
                        <c:v>3.93</c:v>
                      </c:pt>
                      <c:pt idx="794">
                        <c:v>3.94</c:v>
                      </c:pt>
                      <c:pt idx="795">
                        <c:v>3.95</c:v>
                      </c:pt>
                      <c:pt idx="796">
                        <c:v>3.96</c:v>
                      </c:pt>
                      <c:pt idx="797">
                        <c:v>3.97</c:v>
                      </c:pt>
                      <c:pt idx="798">
                        <c:v>3.98</c:v>
                      </c:pt>
                      <c:pt idx="799">
                        <c:v>3.99</c:v>
                      </c:pt>
                      <c:pt idx="800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'Лист1 (6)'!$Y$3:$Y$803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1.3383022576488537E-4</c:v>
                      </c:pt>
                      <c:pt idx="1">
                        <c:v>1.3928497646575994E-4</c:v>
                      </c:pt>
                      <c:pt idx="2">
                        <c:v>1.4494756042389106E-4</c:v>
                      </c:pt>
                      <c:pt idx="3">
                        <c:v>1.508252715505178E-4</c:v>
                      </c:pt>
                      <c:pt idx="4">
                        <c:v>1.5692563406553226E-4</c:v>
                      </c:pt>
                      <c:pt idx="5">
                        <c:v>1.6325640876624199E-4</c:v>
                      </c:pt>
                      <c:pt idx="6">
                        <c:v>1.6982559942934359E-4</c:v>
                      </c:pt>
                      <c:pt idx="7">
                        <c:v>1.7664145934757092E-4</c:v>
                      </c:pt>
                      <c:pt idx="8">
                        <c:v>1.8371249800245711E-4</c:v>
                      </c:pt>
                      <c:pt idx="9">
                        <c:v>1.9104748787459762E-4</c:v>
                      </c:pt>
                      <c:pt idx="10">
                        <c:v>1.9865547139277272E-4</c:v>
                      </c:pt>
                      <c:pt idx="11">
                        <c:v>2.0654576802322548E-4</c:v>
                      </c:pt>
                      <c:pt idx="12">
                        <c:v>2.1472798150036704E-4</c:v>
                      </c:pt>
                      <c:pt idx="13">
                        <c:v>2.2321200720010206E-4</c:v>
                      </c:pt>
                      <c:pt idx="14">
                        <c:v>2.3200803965694238E-4</c:v>
                      </c:pt>
                      <c:pt idx="15">
                        <c:v>2.4112658022599324E-4</c:v>
                      </c:pt>
                      <c:pt idx="16">
                        <c:v>2.5057844489086075E-4</c:v>
                      </c:pt>
                      <c:pt idx="17">
                        <c:v>2.6037477221844247E-4</c:v>
                      </c:pt>
                      <c:pt idx="18">
                        <c:v>2.70527031461521E-4</c:v>
                      </c:pt>
                      <c:pt idx="19">
                        <c:v>2.8104703080998632E-4</c:v>
                      </c:pt>
                      <c:pt idx="20">
                        <c:v>2.9194692579146027E-4</c:v>
                      </c:pt>
                      <c:pt idx="21">
                        <c:v>3.0323922782200417E-4</c:v>
                      </c:pt>
                      <c:pt idx="22">
                        <c:v>3.1493681290752188E-4</c:v>
                      </c:pt>
                      <c:pt idx="23">
                        <c:v>3.2705293049637498E-4</c:v>
                      </c:pt>
                      <c:pt idx="24">
                        <c:v>3.3960121248365478E-4</c:v>
                      </c:pt>
                      <c:pt idx="25">
                        <c:v>3.5259568236744541E-4</c:v>
                      </c:pt>
                      <c:pt idx="26">
                        <c:v>3.6605076455733496E-4</c:v>
                      </c:pt>
                      <c:pt idx="27">
                        <c:v>3.7998129383532141E-4</c:v>
                      </c:pt>
                      <c:pt idx="28">
                        <c:v>3.9440252496915622E-4</c:v>
                      </c:pt>
                      <c:pt idx="29">
                        <c:v>4.0933014247807883E-4</c:v>
                      </c:pt>
                      <c:pt idx="30">
                        <c:v>4.2478027055075143E-4</c:v>
                      </c:pt>
                      <c:pt idx="31">
                        <c:v>4.4076948311513252E-4</c:v>
                      </c:pt>
                      <c:pt idx="32">
                        <c:v>4.5731481405985675E-4</c:v>
                      </c:pt>
                      <c:pt idx="33">
                        <c:v>4.7443376760662064E-4</c:v>
                      </c:pt>
                      <c:pt idx="34">
                        <c:v>4.9214432883289312E-4</c:v>
                      </c:pt>
                      <c:pt idx="35">
                        <c:v>5.104649743441856E-4</c:v>
                      </c:pt>
                      <c:pt idx="36">
                        <c:v>5.2941468309493475E-4</c:v>
                      </c:pt>
                      <c:pt idx="37">
                        <c:v>5.490129473569587E-4</c:v>
                      </c:pt>
                      <c:pt idx="38">
                        <c:v>5.6927978383425261E-4</c:v>
                      </c:pt>
                      <c:pt idx="39">
                        <c:v>5.9023574492278561E-4</c:v>
                      </c:pt>
                      <c:pt idx="40">
                        <c:v>6.119019301137719E-4</c:v>
                      </c:pt>
                      <c:pt idx="41">
                        <c:v>6.342999975387576E-4</c:v>
                      </c:pt>
                      <c:pt idx="42">
                        <c:v>6.5745217565467645E-4</c:v>
                      </c:pt>
                      <c:pt idx="43">
                        <c:v>6.8138127506689212E-4</c:v>
                      </c:pt>
                      <c:pt idx="44">
                        <c:v>7.061107004880362E-4</c:v>
                      </c:pt>
                      <c:pt idx="45">
                        <c:v>7.3166446283031089E-4</c:v>
                      </c:pt>
                      <c:pt idx="46">
                        <c:v>7.580671914287103E-4</c:v>
                      </c:pt>
                      <c:pt idx="47">
                        <c:v>7.8534414639246997E-4</c:v>
                      </c:pt>
                      <c:pt idx="48">
                        <c:v>8.1352123108180841E-4</c:v>
                      </c:pt>
                      <c:pt idx="49">
                        <c:v>8.4262500470690268E-4</c:v>
                      </c:pt>
                      <c:pt idx="50">
                        <c:v>8.7268269504576015E-4</c:v>
                      </c:pt>
                      <c:pt idx="51">
                        <c:v>9.0372221127752448E-4</c:v>
                      </c:pt>
                      <c:pt idx="52">
                        <c:v>9.3577215692747977E-4</c:v>
                      </c:pt>
                      <c:pt idx="53">
                        <c:v>9.6886184291984591E-4</c:v>
                      </c:pt>
                      <c:pt idx="54">
                        <c:v>1.0030213007342376E-3</c:v>
                      </c:pt>
                      <c:pt idx="55">
                        <c:v>1.0382812956614103E-3</c:v>
                      </c:pt>
                      <c:pt idx="56">
                        <c:v>1.0746733401537356E-3</c:v>
                      </c:pt>
                      <c:pt idx="57">
                        <c:v>1.1122297072655649E-3</c:v>
                      </c:pt>
                      <c:pt idx="58">
                        <c:v>1.1509834441784845E-3</c:v>
                      </c:pt>
                      <c:pt idx="59">
                        <c:v>1.1909683858061166E-3</c:v>
                      </c:pt>
                      <c:pt idx="60">
                        <c:v>1.2322191684730199E-3</c:v>
                      </c:pt>
                      <c:pt idx="61">
                        <c:v>1.2747712436618327E-3</c:v>
                      </c:pt>
                      <c:pt idx="62">
                        <c:v>1.3186608918227423E-3</c:v>
                      </c:pt>
                      <c:pt idx="63">
                        <c:v>1.3639252362389036E-3</c:v>
                      </c:pt>
                      <c:pt idx="64">
                        <c:v>1.4106022569413848E-3</c:v>
                      </c:pt>
                      <c:pt idx="65">
                        <c:v>1.4587308046667459E-3</c:v>
                      </c:pt>
                      <c:pt idx="66">
                        <c:v>1.5083506148503073E-3</c:v>
                      </c:pt>
                      <c:pt idx="67">
                        <c:v>1.5595023216476915E-3</c:v>
                      </c:pt>
                      <c:pt idx="68">
                        <c:v>1.6122274719771244E-3</c:v>
                      </c:pt>
                      <c:pt idx="69">
                        <c:v>1.6665685395745797E-3</c:v>
                      </c:pt>
                      <c:pt idx="70">
                        <c:v>1.7225689390536812E-3</c:v>
                      </c:pt>
                      <c:pt idx="71">
                        <c:v>1.7802730399618786E-3</c:v>
                      </c:pt>
                      <c:pt idx="72">
                        <c:v>1.839726180824281E-3</c:v>
                      </c:pt>
                      <c:pt idx="73">
                        <c:v>1.9009746831660803E-3</c:v>
                      </c:pt>
                      <c:pt idx="74">
                        <c:v>1.9640658655043761E-3</c:v>
                      </c:pt>
                      <c:pt idx="75">
                        <c:v>2.0290480572997681E-3</c:v>
                      </c:pt>
                      <c:pt idx="76">
                        <c:v>2.0959706128579419E-3</c:v>
                      </c:pt>
                      <c:pt idx="77">
                        <c:v>2.164883925171062E-3</c:v>
                      </c:pt>
                      <c:pt idx="78">
                        <c:v>2.2358394396885385E-3</c:v>
                      </c:pt>
                      <c:pt idx="79">
                        <c:v>2.3088896680064958E-3</c:v>
                      </c:pt>
                      <c:pt idx="80">
                        <c:v>2.3840882014648404E-3</c:v>
                      </c:pt>
                      <c:pt idx="81">
                        <c:v>2.4614897246407006E-3</c:v>
                      </c:pt>
                      <c:pt idx="82">
                        <c:v>2.5411500287265214E-3</c:v>
                      </c:pt>
                      <c:pt idx="83">
                        <c:v>2.6231260247810244E-3</c:v>
                      </c:pt>
                      <c:pt idx="84">
                        <c:v>2.7074757568406999E-3</c:v>
                      </c:pt>
                      <c:pt idx="85">
                        <c:v>2.7942584148794472E-3</c:v>
                      </c:pt>
                      <c:pt idx="86">
                        <c:v>2.8835343476034392E-3</c:v>
                      </c:pt>
                      <c:pt idx="87">
                        <c:v>2.9753650750682535E-3</c:v>
                      </c:pt>
                      <c:pt idx="88">
                        <c:v>3.0698133011047403E-3</c:v>
                      </c:pt>
                      <c:pt idx="89">
                        <c:v>3.1669429255400811E-3</c:v>
                      </c:pt>
                      <c:pt idx="90">
                        <c:v>3.2668190561999182E-3</c:v>
                      </c:pt>
                      <c:pt idx="91">
                        <c:v>3.3695080206774812E-3</c:v>
                      </c:pt>
                      <c:pt idx="92">
                        <c:v>3.4750773778549375E-3</c:v>
                      </c:pt>
                      <c:pt idx="93">
                        <c:v>3.5835959291623614E-3</c:v>
                      </c:pt>
                      <c:pt idx="94">
                        <c:v>3.6951337295590349E-3</c:v>
                      </c:pt>
                      <c:pt idx="95">
                        <c:v>3.8097620982218104E-3</c:v>
                      </c:pt>
                      <c:pt idx="96">
                        <c:v>3.9275536289247789E-3</c:v>
                      </c:pt>
                      <c:pt idx="97">
                        <c:v>4.04858220009443E-3</c:v>
                      </c:pt>
                      <c:pt idx="98">
                        <c:v>4.1729229845239623E-3</c:v>
                      </c:pt>
                      <c:pt idx="99">
                        <c:v>4.3006524587304498E-3</c:v>
                      </c:pt>
                      <c:pt idx="100">
                        <c:v>4.4318484119380075E-3</c:v>
                      </c:pt>
                      <c:pt idx="101">
                        <c:v>4.5665899546701444E-3</c:v>
                      </c:pt>
                      <c:pt idx="102">
                        <c:v>4.7049575269339792E-3</c:v>
                      </c:pt>
                      <c:pt idx="103">
                        <c:v>4.847032905978944E-3</c:v>
                      </c:pt>
                      <c:pt idx="104">
                        <c:v>4.9928992136123763E-3</c:v>
                      </c:pt>
                      <c:pt idx="105">
                        <c:v>5.1426409230539392E-3</c:v>
                      </c:pt>
                      <c:pt idx="106">
                        <c:v>5.2963438653110201E-3</c:v>
                      </c:pt>
                      <c:pt idx="107">
                        <c:v>5.4540952350565454E-3</c:v>
                      </c:pt>
                      <c:pt idx="108">
                        <c:v>5.615983595990969E-3</c:v>
                      </c:pt>
                      <c:pt idx="109">
                        <c:v>5.7820988856694729E-3</c:v>
                      </c:pt>
                      <c:pt idx="110">
                        <c:v>5.9525324197758538E-3</c:v>
                      </c:pt>
                      <c:pt idx="111">
                        <c:v>6.1273768958236873E-3</c:v>
                      </c:pt>
                      <c:pt idx="112">
                        <c:v>6.3067263962659275E-3</c:v>
                      </c:pt>
                      <c:pt idx="113">
                        <c:v>6.4906763909933643E-3</c:v>
                      </c:pt>
                      <c:pt idx="114">
                        <c:v>6.6793237392026202E-3</c:v>
                      </c:pt>
                      <c:pt idx="115">
                        <c:v>6.8727666906139712E-3</c:v>
                      </c:pt>
                      <c:pt idx="116">
                        <c:v>7.0711048860194487E-3</c:v>
                      </c:pt>
                      <c:pt idx="117">
                        <c:v>7.2744393571412182E-3</c:v>
                      </c:pt>
                      <c:pt idx="118">
                        <c:v>7.4828725257805638E-3</c:v>
                      </c:pt>
                      <c:pt idx="119">
                        <c:v>7.6965082022373218E-3</c:v>
                      </c:pt>
                      <c:pt idx="120">
                        <c:v>7.9154515829799686E-3</c:v>
                      </c:pt>
                      <c:pt idx="121">
                        <c:v>8.1398092475460215E-3</c:v>
                      </c:pt>
                      <c:pt idx="122">
                        <c:v>8.369689154653033E-3</c:v>
                      </c:pt>
                      <c:pt idx="123">
                        <c:v>8.6052006374996715E-3</c:v>
                      </c:pt>
                      <c:pt idx="124">
                        <c:v>8.8464543982372315E-3</c:v>
                      </c:pt>
                      <c:pt idx="125">
                        <c:v>9.0935625015910529E-3</c:v>
                      </c:pt>
                      <c:pt idx="126">
                        <c:v>9.3466383676122835E-3</c:v>
                      </c:pt>
                      <c:pt idx="127">
                        <c:v>9.6057967635395872E-3</c:v>
                      </c:pt>
                      <c:pt idx="128">
                        <c:v>9.8711537947511301E-3</c:v>
                      </c:pt>
                      <c:pt idx="129">
                        <c:v>1.0142826894787077E-2</c:v>
                      </c:pt>
                      <c:pt idx="130">
                        <c:v>1.0420934814422592E-2</c:v>
                      </c:pt>
                      <c:pt idx="131">
                        <c:v>1.0705597609772187E-2</c:v>
                      </c:pt>
                      <c:pt idx="132">
                        <c:v>1.0996936629405572E-2</c:v>
                      </c:pt>
                      <c:pt idx="133">
                        <c:v>1.1295074500456135E-2</c:v>
                      </c:pt>
                      <c:pt idx="134">
                        <c:v>1.1600135113702561E-2</c:v>
                      </c:pt>
                      <c:pt idx="135">
                        <c:v>1.1912243607605179E-2</c:v>
                      </c:pt>
                      <c:pt idx="136">
                        <c:v>1.2231526351277971E-2</c:v>
                      </c:pt>
                      <c:pt idx="137">
                        <c:v>1.2558110926378211E-2</c:v>
                      </c:pt>
                      <c:pt idx="138">
                        <c:v>1.2892126107895304E-2</c:v>
                      </c:pt>
                      <c:pt idx="139">
                        <c:v>1.3233701843821374E-2</c:v>
                      </c:pt>
                      <c:pt idx="140">
                        <c:v>1.3582969233685613E-2</c:v>
                      </c:pt>
                      <c:pt idx="141">
                        <c:v>1.3940060505935825E-2</c:v>
                      </c:pt>
                      <c:pt idx="142">
                        <c:v>1.430510899414969E-2</c:v>
                      </c:pt>
                      <c:pt idx="143">
                        <c:v>1.4678249112060044E-2</c:v>
                      </c:pt>
                      <c:pt idx="144">
                        <c:v>1.5059616327377449E-2</c:v>
                      </c:pt>
                      <c:pt idx="145">
                        <c:v>1.5449347134395174E-2</c:v>
                      </c:pt>
                      <c:pt idx="146">
                        <c:v>1.5847579025360818E-2</c:v>
                      </c:pt>
                      <c:pt idx="147">
                        <c:v>1.6254450460600506E-2</c:v>
                      </c:pt>
                      <c:pt idx="148">
                        <c:v>1.6670100837381057E-2</c:v>
                      </c:pt>
                      <c:pt idx="149">
                        <c:v>1.7094670457496956E-2</c:v>
                      </c:pt>
                      <c:pt idx="150">
                        <c:v>1.752830049356854E-2</c:v>
                      </c:pt>
                      <c:pt idx="151">
                        <c:v>1.7971132954039633E-2</c:v>
                      </c:pt>
                      <c:pt idx="152">
                        <c:v>1.8423310646862048E-2</c:v>
                      </c:pt>
                      <c:pt idx="153">
                        <c:v>1.8884977141856163E-2</c:v>
                      </c:pt>
                      <c:pt idx="154">
                        <c:v>1.9356276731736961E-2</c:v>
                      </c:pt>
                      <c:pt idx="155">
                        <c:v>1.9837354391795313E-2</c:v>
                      </c:pt>
                      <c:pt idx="156">
                        <c:v>2.0328355738225837E-2</c:v>
                      </c:pt>
                      <c:pt idx="157">
                        <c:v>2.0829426985092186E-2</c:v>
                      </c:pt>
                      <c:pt idx="158">
                        <c:v>2.1340714899922782E-2</c:v>
                      </c:pt>
                      <c:pt idx="159">
                        <c:v>2.1862366757929387E-2</c:v>
                      </c:pt>
                      <c:pt idx="160">
                        <c:v>2.2394530294842899E-2</c:v>
                      </c:pt>
                      <c:pt idx="161">
                        <c:v>2.2937353658360693E-2</c:v>
                      </c:pt>
                      <c:pt idx="162">
                        <c:v>2.3490985358201363E-2</c:v>
                      </c:pt>
                      <c:pt idx="163">
                        <c:v>2.4055574214762971E-2</c:v>
                      </c:pt>
                      <c:pt idx="164">
                        <c:v>2.4631269306382507E-2</c:v>
                      </c:pt>
                      <c:pt idx="165">
                        <c:v>2.5218219915194382E-2</c:v>
                      </c:pt>
                      <c:pt idx="166">
                        <c:v>2.581657547158769E-2</c:v>
                      </c:pt>
                      <c:pt idx="167">
                        <c:v>2.6426485497261721E-2</c:v>
                      </c:pt>
                      <c:pt idx="168">
                        <c:v>2.7048099546881785E-2</c:v>
                      </c:pt>
                      <c:pt idx="169">
                        <c:v>2.7681567148336573E-2</c:v>
                      </c:pt>
                      <c:pt idx="170">
                        <c:v>2.8327037741601186E-2</c:v>
                      </c:pt>
                      <c:pt idx="171">
                        <c:v>2.8984660616209412E-2</c:v>
                      </c:pt>
                      <c:pt idx="172">
                        <c:v>2.9654584847341278E-2</c:v>
                      </c:pt>
                      <c:pt idx="173">
                        <c:v>3.0336959230531636E-2</c:v>
                      </c:pt>
                      <c:pt idx="174">
                        <c:v>3.103193221500827E-2</c:v>
                      </c:pt>
                      <c:pt idx="175">
                        <c:v>3.1739651835667418E-2</c:v>
                      </c:pt>
                      <c:pt idx="176">
                        <c:v>3.2460265643697445E-2</c:v>
                      </c:pt>
                      <c:pt idx="177">
                        <c:v>3.3193920635861122E-2</c:v>
                      </c:pt>
                      <c:pt idx="178">
                        <c:v>3.3940763182449186E-2</c:v>
                      </c:pt>
                      <c:pt idx="179">
                        <c:v>3.470093895391882E-2</c:v>
                      </c:pt>
                      <c:pt idx="180">
                        <c:v>3.5474592846231424E-2</c:v>
                      </c:pt>
                      <c:pt idx="181">
                        <c:v>3.6261868904906222E-2</c:v>
                      </c:pt>
                      <c:pt idx="182">
                        <c:v>3.7062910247806474E-2</c:v>
                      </c:pt>
                      <c:pt idx="183">
                        <c:v>3.7877858986677483E-2</c:v>
                      </c:pt>
                      <c:pt idx="184">
                        <c:v>3.8706856147455608E-2</c:v>
                      </c:pt>
                      <c:pt idx="185">
                        <c:v>3.955004158937022E-2</c:v>
                      </c:pt>
                      <c:pt idx="186">
                        <c:v>4.0407553922860308E-2</c:v>
                      </c:pt>
                      <c:pt idx="187">
                        <c:v>4.1279530426330417E-2</c:v>
                      </c:pt>
                      <c:pt idx="188">
                        <c:v>4.2166106961770311E-2</c:v>
                      </c:pt>
                      <c:pt idx="189">
                        <c:v>4.3067417889265734E-2</c:v>
                      </c:pt>
                      <c:pt idx="190">
                        <c:v>4.3983595980427191E-2</c:v>
                      </c:pt>
                      <c:pt idx="191">
                        <c:v>4.49147723307671E-2</c:v>
                      </c:pt>
                      <c:pt idx="192">
                        <c:v>4.5861076271054887E-2</c:v>
                      </c:pt>
                      <c:pt idx="193">
                        <c:v>4.6822635277683163E-2</c:v>
                      </c:pt>
                      <c:pt idx="194">
                        <c:v>4.7799574882077034E-2</c:v>
                      </c:pt>
                      <c:pt idx="195">
                        <c:v>4.8792018579182764E-2</c:v>
                      </c:pt>
                      <c:pt idx="196">
                        <c:v>4.9800087735070775E-2</c:v>
                      </c:pt>
                      <c:pt idx="197">
                        <c:v>5.0823901493691204E-2</c:v>
                      </c:pt>
                      <c:pt idx="198">
                        <c:v>5.1863576682820565E-2</c:v>
                      </c:pt>
                      <c:pt idx="199">
                        <c:v>5.2919227719240312E-2</c:v>
                      </c:pt>
                      <c:pt idx="200">
                        <c:v>5.3990966513188063E-2</c:v>
                      </c:pt>
                      <c:pt idx="201">
                        <c:v>5.5078902372125767E-2</c:v>
                      </c:pt>
                      <c:pt idx="202">
                        <c:v>5.6183141903868049E-2</c:v>
                      </c:pt>
                      <c:pt idx="203">
                        <c:v>5.7303788919117131E-2</c:v>
                      </c:pt>
                      <c:pt idx="204">
                        <c:v>5.8440944333451469E-2</c:v>
                      </c:pt>
                      <c:pt idx="205">
                        <c:v>5.9594706068816075E-2</c:v>
                      </c:pt>
                      <c:pt idx="206">
                        <c:v>6.0765168954564776E-2</c:v>
                      </c:pt>
                      <c:pt idx="207">
                        <c:v>6.1952424628105164E-2</c:v>
                      </c:pt>
                      <c:pt idx="208">
                        <c:v>6.3156561435198655E-2</c:v>
                      </c:pt>
                      <c:pt idx="209">
                        <c:v>6.4377664329969359E-2</c:v>
                      </c:pt>
                      <c:pt idx="210">
                        <c:v>6.5615814774676595E-2</c:v>
                      </c:pt>
                      <c:pt idx="211">
                        <c:v>6.6871090639307157E-2</c:v>
                      </c:pt>
                      <c:pt idx="212">
                        <c:v>6.8143566101044578E-2</c:v>
                      </c:pt>
                      <c:pt idx="213">
                        <c:v>6.9433311543674187E-2</c:v>
                      </c:pt>
                      <c:pt idx="214">
                        <c:v>7.074039345698338E-2</c:v>
                      </c:pt>
                      <c:pt idx="215">
                        <c:v>7.2064874336217985E-2</c:v>
                      </c:pt>
                      <c:pt idx="216">
                        <c:v>7.3406812581656891E-2</c:v>
                      </c:pt>
                      <c:pt idx="217">
                        <c:v>7.4766262398367603E-2</c:v>
                      </c:pt>
                      <c:pt idx="218">
                        <c:v>7.6143273696207311E-2</c:v>
                      </c:pt>
                      <c:pt idx="219">
                        <c:v>7.7537891990133986E-2</c:v>
                      </c:pt>
                      <c:pt idx="220">
                        <c:v>7.8950158300894149E-2</c:v>
                      </c:pt>
                      <c:pt idx="221">
                        <c:v>8.038010905615417E-2</c:v>
                      </c:pt>
                      <c:pt idx="222">
                        <c:v>8.1827775992142804E-2</c:v>
                      </c:pt>
                      <c:pt idx="223">
                        <c:v>8.3293186055874463E-2</c:v>
                      </c:pt>
                      <c:pt idx="224">
                        <c:v>8.4776361308022227E-2</c:v>
                      </c:pt>
                      <c:pt idx="225">
                        <c:v>8.6277318826511532E-2</c:v>
                      </c:pt>
                      <c:pt idx="226">
                        <c:v>8.7796070610905622E-2</c:v>
                      </c:pt>
                      <c:pt idx="227">
                        <c:v>8.9332623487655E-2</c:v>
                      </c:pt>
                      <c:pt idx="228">
                        <c:v>9.0886979016282871E-2</c:v>
                      </c:pt>
                      <c:pt idx="229">
                        <c:v>9.2459133396580684E-2</c:v>
                      </c:pt>
                      <c:pt idx="230">
                        <c:v>9.4049077376886947E-2</c:v>
                      </c:pt>
                      <c:pt idx="231">
                        <c:v>9.5656796163524016E-2</c:v>
                      </c:pt>
                      <c:pt idx="232">
                        <c:v>9.7282269331467511E-2</c:v>
                      </c:pt>
                      <c:pt idx="233">
                        <c:v>9.8925470736323712E-2</c:v>
                      </c:pt>
                      <c:pt idx="234">
                        <c:v>0.10058636842769057</c:v>
                      </c:pt>
                      <c:pt idx="235">
                        <c:v>0.10226492456397804</c:v>
                      </c:pt>
                      <c:pt idx="236">
                        <c:v>0.10396109532876423</c:v>
                      </c:pt>
                      <c:pt idx="237">
                        <c:v>0.10567483084876363</c:v>
                      </c:pt>
                      <c:pt idx="238">
                        <c:v>0.1074060751134838</c:v>
                      </c:pt>
                      <c:pt idx="239">
                        <c:v>0.10915476589664735</c:v>
                      </c:pt>
                      <c:pt idx="240">
                        <c:v>0.11092083467945554</c:v>
                      </c:pt>
                      <c:pt idx="241">
                        <c:v>0.11270420657577056</c:v>
                      </c:pt>
                      <c:pt idx="242">
                        <c:v>0.11450480025929236</c:v>
                      </c:pt>
                      <c:pt idx="243">
                        <c:v>0.11632252789280709</c:v>
                      </c:pt>
                      <c:pt idx="244">
                        <c:v>0.11815729505958227</c:v>
                      </c:pt>
                      <c:pt idx="245">
                        <c:v>0.12000900069698558</c:v>
                      </c:pt>
                      <c:pt idx="246">
                        <c:v>0.12187753703240178</c:v>
                      </c:pt>
                      <c:pt idx="247">
                        <c:v>0.12376278952152313</c:v>
                      </c:pt>
                      <c:pt idx="248">
                        <c:v>0.12566463678908815</c:v>
                      </c:pt>
                      <c:pt idx="249">
                        <c:v>0.12758295057214186</c:v>
                      </c:pt>
                      <c:pt idx="250">
                        <c:v>0.12951759566589174</c:v>
                      </c:pt>
                      <c:pt idx="251">
                        <c:v>0.13146842987223104</c:v>
                      </c:pt>
                      <c:pt idx="252">
                        <c:v>0.13343530395100231</c:v>
                      </c:pt>
                      <c:pt idx="253">
                        <c:v>0.1354180615740713</c:v>
                      </c:pt>
                      <c:pt idx="254">
                        <c:v>0.13741653928228179</c:v>
                      </c:pt>
                      <c:pt idx="255">
                        <c:v>0.13943056644536028</c:v>
                      </c:pt>
                      <c:pt idx="256">
                        <c:v>0.14145996522483878</c:v>
                      </c:pt>
                      <c:pt idx="257">
                        <c:v>0.14350455054006242</c:v>
                      </c:pt>
                      <c:pt idx="258">
                        <c:v>0.14556413003734761</c:v>
                      </c:pt>
                      <c:pt idx="259">
                        <c:v>0.14763850406235574</c:v>
                      </c:pt>
                      <c:pt idx="260">
                        <c:v>0.14972746563574488</c:v>
                      </c:pt>
                      <c:pt idx="261">
                        <c:v>0.15183080043216168</c:v>
                      </c:pt>
                      <c:pt idx="262">
                        <c:v>0.15394828676263372</c:v>
                      </c:pt>
                      <c:pt idx="263">
                        <c:v>0.15607969556042084</c:v>
                      </c:pt>
                      <c:pt idx="264">
                        <c:v>0.15822479037038303</c:v>
                      </c:pt>
                      <c:pt idx="265">
                        <c:v>0.1603833273419196</c:v>
                      </c:pt>
                      <c:pt idx="266">
                        <c:v>0.16255505522553412</c:v>
                      </c:pt>
                      <c:pt idx="267">
                        <c:v>0.1647397153730768</c:v>
                      </c:pt>
                      <c:pt idx="268">
                        <c:v>0.16693704174171381</c:v>
                      </c:pt>
                      <c:pt idx="269">
                        <c:v>0.16914676090167238</c:v>
                      </c:pt>
                      <c:pt idx="270">
                        <c:v>0.17136859204780736</c:v>
                      </c:pt>
                      <c:pt idx="271">
                        <c:v>0.17360224701503299</c:v>
                      </c:pt>
                      <c:pt idx="272">
                        <c:v>0.17584743029766237</c:v>
                      </c:pt>
                      <c:pt idx="273">
                        <c:v>0.17810383907269359</c:v>
                      </c:pt>
                      <c:pt idx="274">
                        <c:v>0.18037116322708033</c:v>
                      </c:pt>
                      <c:pt idx="275">
                        <c:v>0.18264908538902191</c:v>
                      </c:pt>
                      <c:pt idx="276">
                        <c:v>0.18493728096330531</c:v>
                      </c:pt>
                      <c:pt idx="277">
                        <c:v>0.18723541817072956</c:v>
                      </c:pt>
                      <c:pt idx="278">
                        <c:v>0.18954315809164024</c:v>
                      </c:pt>
                      <c:pt idx="279">
                        <c:v>0.19186015471359938</c:v>
                      </c:pt>
                      <c:pt idx="280">
                        <c:v>0.19418605498321295</c:v>
                      </c:pt>
                      <c:pt idx="281">
                        <c:v>0.19652049886213654</c:v>
                      </c:pt>
                      <c:pt idx="282">
                        <c:v>0.19886311938727591</c:v>
                      </c:pt>
                      <c:pt idx="283">
                        <c:v>0.2012135427351974</c:v>
                      </c:pt>
                      <c:pt idx="284">
                        <c:v>0.20357138829075944</c:v>
                      </c:pt>
                      <c:pt idx="285">
                        <c:v>0.20593626871997478</c:v>
                      </c:pt>
                      <c:pt idx="286">
                        <c:v>0.20830779004710837</c:v>
                      </c:pt>
                      <c:pt idx="287">
                        <c:v>0.21068555173601533</c:v>
                      </c:pt>
                      <c:pt idx="288">
                        <c:v>0.21306914677571784</c:v>
                      </c:pt>
                      <c:pt idx="289">
                        <c:v>0.21545816177021967</c:v>
                      </c:pt>
                      <c:pt idx="290">
                        <c:v>0.21785217703255053</c:v>
                      </c:pt>
                      <c:pt idx="291">
                        <c:v>0.22025076668303326</c:v>
                      </c:pt>
                      <c:pt idx="292">
                        <c:v>0.22265349875176113</c:v>
                      </c:pt>
                      <c:pt idx="293">
                        <c:v>0.22505993528526966</c:v>
                      </c:pt>
                      <c:pt idx="294">
                        <c:v>0.22746963245738591</c:v>
                      </c:pt>
                      <c:pt idx="295">
                        <c:v>0.22988214068423302</c:v>
                      </c:pt>
                      <c:pt idx="296">
                        <c:v>0.2322970047433662</c:v>
                      </c:pt>
                      <c:pt idx="297">
                        <c:v>0.23471376389701182</c:v>
                      </c:pt>
                      <c:pt idx="298">
                        <c:v>0.23713195201937959</c:v>
                      </c:pt>
                      <c:pt idx="299">
                        <c:v>0.23955109772801336</c:v>
                      </c:pt>
                      <c:pt idx="300">
                        <c:v>0.24197072451914337</c:v>
                      </c:pt>
                      <c:pt idx="301">
                        <c:v>0.24439035090699956</c:v>
                      </c:pt>
                      <c:pt idx="302">
                        <c:v>0.24680949056704274</c:v>
                      </c:pt>
                      <c:pt idx="303">
                        <c:v>0.24922765248306594</c:v>
                      </c:pt>
                      <c:pt idx="304">
                        <c:v>0.25164434109811712</c:v>
                      </c:pt>
                      <c:pt idx="305">
                        <c:v>0.25405905646918903</c:v>
                      </c:pt>
                      <c:pt idx="306">
                        <c:v>0.25647129442562033</c:v>
                      </c:pt>
                      <c:pt idx="307">
                        <c:v>0.2588805467311488</c:v>
                      </c:pt>
                      <c:pt idx="308">
                        <c:v>0.26128630124955315</c:v>
                      </c:pt>
                      <c:pt idx="309">
                        <c:v>0.26368804211381813</c:v>
                      </c:pt>
                      <c:pt idx="310">
                        <c:v>0.26608524989875482</c:v>
                      </c:pt>
                      <c:pt idx="311">
                        <c:v>0.26847740179700241</c:v>
                      </c:pt>
                      <c:pt idx="312">
                        <c:v>0.27086397179833799</c:v>
                      </c:pt>
                      <c:pt idx="313">
                        <c:v>0.27324443087221623</c:v>
                      </c:pt>
                      <c:pt idx="314">
                        <c:v>0.27561824715345667</c:v>
                      </c:pt>
                      <c:pt idx="315">
                        <c:v>0.27798488613099648</c:v>
                      </c:pt>
                      <c:pt idx="316">
                        <c:v>0.28034381083962062</c:v>
                      </c:pt>
                      <c:pt idx="317">
                        <c:v>0.28269448205458025</c:v>
                      </c:pt>
                      <c:pt idx="318">
                        <c:v>0.28503635848900727</c:v>
                      </c:pt>
                      <c:pt idx="319">
                        <c:v>0.28736889699402829</c:v>
                      </c:pt>
                      <c:pt idx="320">
                        <c:v>0.28969155276148273</c:v>
                      </c:pt>
                      <c:pt idx="321">
                        <c:v>0.29200377952914142</c:v>
                      </c:pt>
                      <c:pt idx="322">
                        <c:v>0.29430502978832512</c:v>
                      </c:pt>
                      <c:pt idx="323">
                        <c:v>0.29659475499381571</c:v>
                      </c:pt>
                      <c:pt idx="324">
                        <c:v>0.29887240577595275</c:v>
                      </c:pt>
                      <c:pt idx="325">
                        <c:v>0.30113743215480443</c:v>
                      </c:pt>
                      <c:pt idx="326">
                        <c:v>0.30338928375630014</c:v>
                      </c:pt>
                      <c:pt idx="327">
                        <c:v>0.30562741003020988</c:v>
                      </c:pt>
                      <c:pt idx="328">
                        <c:v>0.30785126046985295</c:v>
                      </c:pt>
                      <c:pt idx="329">
                        <c:v>0.31006028483341613</c:v>
                      </c:pt>
                      <c:pt idx="330">
                        <c:v>0.31225393336676127</c:v>
                      </c:pt>
                      <c:pt idx="331">
                        <c:v>0.31443165702759734</c:v>
                      </c:pt>
                      <c:pt idx="332">
                        <c:v>0.31659290771089277</c:v>
                      </c:pt>
                      <c:pt idx="333">
                        <c:v>0.31873713847540153</c:v>
                      </c:pt>
                      <c:pt idx="334">
                        <c:v>0.32086380377117252</c:v>
                      </c:pt>
                      <c:pt idx="335">
                        <c:v>0.32297235966791427</c:v>
                      </c:pt>
                      <c:pt idx="336">
                        <c:v>0.32506226408408218</c:v>
                      </c:pt>
                      <c:pt idx="337">
                        <c:v>0.32713297701655447</c:v>
                      </c:pt>
                      <c:pt idx="338">
                        <c:v>0.32918396077076478</c:v>
                      </c:pt>
                      <c:pt idx="339">
                        <c:v>0.33121468019115297</c:v>
                      </c:pt>
                      <c:pt idx="340">
                        <c:v>0.33322460289179967</c:v>
                      </c:pt>
                      <c:pt idx="341">
                        <c:v>0.33521319948710609</c:v>
                      </c:pt>
                      <c:pt idx="342">
                        <c:v>0.33717994382238059</c:v>
                      </c:pt>
                      <c:pt idx="343">
                        <c:v>0.33912431320419223</c:v>
                      </c:pt>
                      <c:pt idx="344">
                        <c:v>0.34104578863035256</c:v>
                      </c:pt>
                      <c:pt idx="345">
                        <c:v>0.3429438550193839</c:v>
                      </c:pt>
                      <c:pt idx="346">
                        <c:v>0.34481800143933333</c:v>
                      </c:pt>
                      <c:pt idx="347">
                        <c:v>0.34666772133579166</c:v>
                      </c:pt>
                      <c:pt idx="348">
                        <c:v>0.34849251275897447</c:v>
                      </c:pt>
                      <c:pt idx="349">
                        <c:v>0.35029187858972582</c:v>
                      </c:pt>
                      <c:pt idx="350">
                        <c:v>0.35206532676429952</c:v>
                      </c:pt>
                      <c:pt idx="351">
                        <c:v>0.35381237049777969</c:v>
                      </c:pt>
                      <c:pt idx="352">
                        <c:v>0.35553252850599709</c:v>
                      </c:pt>
                      <c:pt idx="353">
                        <c:v>0.35722532522580086</c:v>
                      </c:pt>
                      <c:pt idx="354">
                        <c:v>0.35889029103354464</c:v>
                      </c:pt>
                      <c:pt idx="355">
                        <c:v>0.36052696246164795</c:v>
                      </c:pt>
                      <c:pt idx="356">
                        <c:v>0.36213488241309222</c:v>
                      </c:pt>
                      <c:pt idx="357">
                        <c:v>0.36371360037371342</c:v>
                      </c:pt>
                      <c:pt idx="358">
                        <c:v>0.36526267262215389</c:v>
                      </c:pt>
                      <c:pt idx="359">
                        <c:v>0.36678166243733612</c:v>
                      </c:pt>
                      <c:pt idx="360">
                        <c:v>0.36827014030332333</c:v>
                      </c:pt>
                      <c:pt idx="361">
                        <c:v>0.36972768411143236</c:v>
                      </c:pt>
                      <c:pt idx="362">
                        <c:v>0.37115387935946603</c:v>
                      </c:pt>
                      <c:pt idx="363">
                        <c:v>0.37254831934793342</c:v>
                      </c:pt>
                      <c:pt idx="364">
                        <c:v>0.37391060537312842</c:v>
                      </c:pt>
                      <c:pt idx="365">
                        <c:v>0.37524034691693792</c:v>
                      </c:pt>
                      <c:pt idx="366">
                        <c:v>0.37653716183325392</c:v>
                      </c:pt>
                      <c:pt idx="367">
                        <c:v>0.37780067653086458</c:v>
                      </c:pt>
                      <c:pt idx="368">
                        <c:v>0.37903052615270166</c:v>
                      </c:pt>
                      <c:pt idx="369">
                        <c:v>0.38022635475132494</c:v>
                      </c:pt>
                      <c:pt idx="370">
                        <c:v>0.38138781546052414</c:v>
                      </c:pt>
                      <c:pt idx="371">
                        <c:v>0.38251457066292405</c:v>
                      </c:pt>
                      <c:pt idx="372">
                        <c:v>0.38360629215347858</c:v>
                      </c:pt>
                      <c:pt idx="373">
                        <c:v>0.38466266129874283</c:v>
                      </c:pt>
                      <c:pt idx="374">
                        <c:v>0.38568336919181612</c:v>
                      </c:pt>
                      <c:pt idx="375">
                        <c:v>0.38666811680284924</c:v>
                      </c:pt>
                      <c:pt idx="376">
                        <c:v>0.38761661512501416</c:v>
                      </c:pt>
                      <c:pt idx="377">
                        <c:v>0.38852858531583589</c:v>
                      </c:pt>
                      <c:pt idx="378">
                        <c:v>0.38940375883379041</c:v>
                      </c:pt>
                      <c:pt idx="379">
                        <c:v>0.39024187757007428</c:v>
                      </c:pt>
                      <c:pt idx="380">
                        <c:v>0.39104269397545588</c:v>
                      </c:pt>
                      <c:pt idx="381">
                        <c:v>0.39180597118212113</c:v>
                      </c:pt>
                      <c:pt idx="382">
                        <c:v>0.3925314831204289</c:v>
                      </c:pt>
                      <c:pt idx="383">
                        <c:v>0.39321901463049719</c:v>
                      </c:pt>
                      <c:pt idx="384">
                        <c:v>0.39386836156854083</c:v>
                      </c:pt>
                      <c:pt idx="385">
                        <c:v>0.39447933090788895</c:v>
                      </c:pt>
                      <c:pt idx="386">
                        <c:v>0.39505174083461125</c:v>
                      </c:pt>
                      <c:pt idx="387">
                        <c:v>0.39558542083768738</c:v>
                      </c:pt>
                      <c:pt idx="388">
                        <c:v>0.3960802117936561</c:v>
                      </c:pt>
                      <c:pt idx="389">
                        <c:v>0.39653596604568575</c:v>
                      </c:pt>
                      <c:pt idx="390">
                        <c:v>0.39695254747701181</c:v>
                      </c:pt>
                      <c:pt idx="391">
                        <c:v>0.39732983157868834</c:v>
                      </c:pt>
                      <c:pt idx="392">
                        <c:v>0.39766770551160885</c:v>
                      </c:pt>
                      <c:pt idx="393">
                        <c:v>0.39796606816275104</c:v>
                      </c:pt>
                      <c:pt idx="394">
                        <c:v>0.39822483019560695</c:v>
                      </c:pt>
                      <c:pt idx="395">
                        <c:v>0.39844391409476404</c:v>
                      </c:pt>
                      <c:pt idx="396">
                        <c:v>0.39862325420460504</c:v>
                      </c:pt>
                      <c:pt idx="397">
                        <c:v>0.39876279676209969</c:v>
                      </c:pt>
                      <c:pt idx="398">
                        <c:v>0.39886249992366613</c:v>
                      </c:pt>
                      <c:pt idx="399">
                        <c:v>0.39892233378608216</c:v>
                      </c:pt>
                      <c:pt idx="400">
                        <c:v>0.3989422804014327</c:v>
                      </c:pt>
                      <c:pt idx="401">
                        <c:v>0.39892233378608216</c:v>
                      </c:pt>
                      <c:pt idx="402">
                        <c:v>0.39886249992366613</c:v>
                      </c:pt>
                      <c:pt idx="403">
                        <c:v>0.39876279676209969</c:v>
                      </c:pt>
                      <c:pt idx="404">
                        <c:v>0.39862325420460504</c:v>
                      </c:pt>
                      <c:pt idx="405">
                        <c:v>0.39844391409476404</c:v>
                      </c:pt>
                      <c:pt idx="406">
                        <c:v>0.39822483019560695</c:v>
                      </c:pt>
                      <c:pt idx="407">
                        <c:v>0.39796606816275104</c:v>
                      </c:pt>
                      <c:pt idx="408">
                        <c:v>0.39766770551160885</c:v>
                      </c:pt>
                      <c:pt idx="409">
                        <c:v>0.39732983157868834</c:v>
                      </c:pt>
                      <c:pt idx="410">
                        <c:v>0.39695254747701181</c:v>
                      </c:pt>
                      <c:pt idx="411">
                        <c:v>0.39653596604568575</c:v>
                      </c:pt>
                      <c:pt idx="412">
                        <c:v>0.3960802117936561</c:v>
                      </c:pt>
                      <c:pt idx="413">
                        <c:v>0.39558542083768738</c:v>
                      </c:pt>
                      <c:pt idx="414">
                        <c:v>0.39505174083461125</c:v>
                      </c:pt>
                      <c:pt idx="415">
                        <c:v>0.39447933090788895</c:v>
                      </c:pt>
                      <c:pt idx="416">
                        <c:v>0.39386836156854083</c:v>
                      </c:pt>
                      <c:pt idx="417">
                        <c:v>0.39321901463049719</c:v>
                      </c:pt>
                      <c:pt idx="418">
                        <c:v>0.3925314831204289</c:v>
                      </c:pt>
                      <c:pt idx="419">
                        <c:v>0.39180597118212113</c:v>
                      </c:pt>
                      <c:pt idx="420">
                        <c:v>0.39104269397545588</c:v>
                      </c:pt>
                      <c:pt idx="421">
                        <c:v>0.39024187757007428</c:v>
                      </c:pt>
                      <c:pt idx="422">
                        <c:v>0.38940375883379041</c:v>
                      </c:pt>
                      <c:pt idx="423">
                        <c:v>0.38852858531583589</c:v>
                      </c:pt>
                      <c:pt idx="424">
                        <c:v>0.38761661512501416</c:v>
                      </c:pt>
                      <c:pt idx="425">
                        <c:v>0.38666811680284924</c:v>
                      </c:pt>
                      <c:pt idx="426">
                        <c:v>0.38568336919181612</c:v>
                      </c:pt>
                      <c:pt idx="427">
                        <c:v>0.38466266129874283</c:v>
                      </c:pt>
                      <c:pt idx="428">
                        <c:v>0.38360629215347858</c:v>
                      </c:pt>
                      <c:pt idx="429">
                        <c:v>0.38251457066292405</c:v>
                      </c:pt>
                      <c:pt idx="430">
                        <c:v>0.38138781546052414</c:v>
                      </c:pt>
                      <c:pt idx="431">
                        <c:v>0.38022635475132494</c:v>
                      </c:pt>
                      <c:pt idx="432">
                        <c:v>0.37903052615270166</c:v>
                      </c:pt>
                      <c:pt idx="433">
                        <c:v>0.37780067653086458</c:v>
                      </c:pt>
                      <c:pt idx="434">
                        <c:v>0.37653716183325392</c:v>
                      </c:pt>
                      <c:pt idx="435">
                        <c:v>0.37524034691693792</c:v>
                      </c:pt>
                      <c:pt idx="436">
                        <c:v>0.37391060537312842</c:v>
                      </c:pt>
                      <c:pt idx="437">
                        <c:v>0.37254831934793342</c:v>
                      </c:pt>
                      <c:pt idx="438">
                        <c:v>0.37115387935946603</c:v>
                      </c:pt>
                      <c:pt idx="439">
                        <c:v>0.36972768411143236</c:v>
                      </c:pt>
                      <c:pt idx="440">
                        <c:v>0.36827014030332333</c:v>
                      </c:pt>
                      <c:pt idx="441">
                        <c:v>0.36678166243733612</c:v>
                      </c:pt>
                      <c:pt idx="442">
                        <c:v>0.36526267262215389</c:v>
                      </c:pt>
                      <c:pt idx="443">
                        <c:v>0.36371360037371342</c:v>
                      </c:pt>
                      <c:pt idx="444">
                        <c:v>0.36213488241309222</c:v>
                      </c:pt>
                      <c:pt idx="445">
                        <c:v>0.36052696246164795</c:v>
                      </c:pt>
                      <c:pt idx="446">
                        <c:v>0.35889029103354464</c:v>
                      </c:pt>
                      <c:pt idx="447">
                        <c:v>0.35722532522580086</c:v>
                      </c:pt>
                      <c:pt idx="448">
                        <c:v>0.35553252850599709</c:v>
                      </c:pt>
                      <c:pt idx="449">
                        <c:v>0.35381237049777969</c:v>
                      </c:pt>
                      <c:pt idx="450">
                        <c:v>0.35206532676429952</c:v>
                      </c:pt>
                      <c:pt idx="451">
                        <c:v>0.35029187858972582</c:v>
                      </c:pt>
                      <c:pt idx="452">
                        <c:v>0.34849251275897447</c:v>
                      </c:pt>
                      <c:pt idx="453">
                        <c:v>0.34666772133579166</c:v>
                      </c:pt>
                      <c:pt idx="454">
                        <c:v>0.34481800143933333</c:v>
                      </c:pt>
                      <c:pt idx="455">
                        <c:v>0.3429438550193839</c:v>
                      </c:pt>
                      <c:pt idx="456">
                        <c:v>0.34104578863035256</c:v>
                      </c:pt>
                      <c:pt idx="457">
                        <c:v>0.33912431320419223</c:v>
                      </c:pt>
                      <c:pt idx="458">
                        <c:v>0.33717994382238059</c:v>
                      </c:pt>
                      <c:pt idx="459">
                        <c:v>0.33521319948710609</c:v>
                      </c:pt>
                      <c:pt idx="460">
                        <c:v>0.33322460289179967</c:v>
                      </c:pt>
                      <c:pt idx="461">
                        <c:v>0.33121468019115297</c:v>
                      </c:pt>
                      <c:pt idx="462">
                        <c:v>0.32918396077076478</c:v>
                      </c:pt>
                      <c:pt idx="463">
                        <c:v>0.32713297701655447</c:v>
                      </c:pt>
                      <c:pt idx="464">
                        <c:v>0.32506226408408218</c:v>
                      </c:pt>
                      <c:pt idx="465">
                        <c:v>0.32297235966791427</c:v>
                      </c:pt>
                      <c:pt idx="466">
                        <c:v>0.32086380377117252</c:v>
                      </c:pt>
                      <c:pt idx="467">
                        <c:v>0.31873713847540153</c:v>
                      </c:pt>
                      <c:pt idx="468">
                        <c:v>0.31659290771089277</c:v>
                      </c:pt>
                      <c:pt idx="469">
                        <c:v>0.31443165702759734</c:v>
                      </c:pt>
                      <c:pt idx="470">
                        <c:v>0.31225393336676127</c:v>
                      </c:pt>
                      <c:pt idx="471">
                        <c:v>0.31006028483341613</c:v>
                      </c:pt>
                      <c:pt idx="472">
                        <c:v>0.30785126046985295</c:v>
                      </c:pt>
                      <c:pt idx="473">
                        <c:v>0.30562741003020988</c:v>
                      </c:pt>
                      <c:pt idx="474">
                        <c:v>0.30338928375630014</c:v>
                      </c:pt>
                      <c:pt idx="475">
                        <c:v>0.30113743215480443</c:v>
                      </c:pt>
                      <c:pt idx="476">
                        <c:v>0.29887240577595275</c:v>
                      </c:pt>
                      <c:pt idx="477">
                        <c:v>0.29659475499381571</c:v>
                      </c:pt>
                      <c:pt idx="478">
                        <c:v>0.29430502978832512</c:v>
                      </c:pt>
                      <c:pt idx="479">
                        <c:v>0.29200377952914142</c:v>
                      </c:pt>
                      <c:pt idx="480">
                        <c:v>0.28969155276148273</c:v>
                      </c:pt>
                      <c:pt idx="481">
                        <c:v>0.28736889699402829</c:v>
                      </c:pt>
                      <c:pt idx="482">
                        <c:v>0.28503635848900727</c:v>
                      </c:pt>
                      <c:pt idx="483">
                        <c:v>0.28269448205458025</c:v>
                      </c:pt>
                      <c:pt idx="484">
                        <c:v>0.28034381083962062</c:v>
                      </c:pt>
                      <c:pt idx="485">
                        <c:v>0.27798488613099648</c:v>
                      </c:pt>
                      <c:pt idx="486">
                        <c:v>0.27561824715345667</c:v>
                      </c:pt>
                      <c:pt idx="487">
                        <c:v>0.27324443087221623</c:v>
                      </c:pt>
                      <c:pt idx="488">
                        <c:v>0.27086397179833799</c:v>
                      </c:pt>
                      <c:pt idx="489">
                        <c:v>0.26847740179700241</c:v>
                      </c:pt>
                      <c:pt idx="490">
                        <c:v>0.26608524989875482</c:v>
                      </c:pt>
                      <c:pt idx="491">
                        <c:v>0.26368804211381813</c:v>
                      </c:pt>
                      <c:pt idx="492">
                        <c:v>0.26128630124955315</c:v>
                      </c:pt>
                      <c:pt idx="493">
                        <c:v>0.2588805467311488</c:v>
                      </c:pt>
                      <c:pt idx="494">
                        <c:v>0.25647129442562033</c:v>
                      </c:pt>
                      <c:pt idx="495">
                        <c:v>0.25405905646918903</c:v>
                      </c:pt>
                      <c:pt idx="496">
                        <c:v>0.25164434109811712</c:v>
                      </c:pt>
                      <c:pt idx="497">
                        <c:v>0.24922765248306594</c:v>
                      </c:pt>
                      <c:pt idx="498">
                        <c:v>0.24680949056704274</c:v>
                      </c:pt>
                      <c:pt idx="499">
                        <c:v>0.24439035090699956</c:v>
                      </c:pt>
                      <c:pt idx="500">
                        <c:v>0.24197072451914337</c:v>
                      </c:pt>
                      <c:pt idx="501">
                        <c:v>0.23955109772801336</c:v>
                      </c:pt>
                      <c:pt idx="502">
                        <c:v>0.23713195201937959</c:v>
                      </c:pt>
                      <c:pt idx="503">
                        <c:v>0.23471376389701182</c:v>
                      </c:pt>
                      <c:pt idx="504">
                        <c:v>0.2322970047433662</c:v>
                      </c:pt>
                      <c:pt idx="505">
                        <c:v>0.22988214068423302</c:v>
                      </c:pt>
                      <c:pt idx="506">
                        <c:v>0.22746963245738591</c:v>
                      </c:pt>
                      <c:pt idx="507">
                        <c:v>0.22505993528526966</c:v>
                      </c:pt>
                      <c:pt idx="508">
                        <c:v>0.22265349875176113</c:v>
                      </c:pt>
                      <c:pt idx="509">
                        <c:v>0.22025076668303326</c:v>
                      </c:pt>
                      <c:pt idx="510">
                        <c:v>0.21785217703255053</c:v>
                      </c:pt>
                      <c:pt idx="511">
                        <c:v>0.21545816177021967</c:v>
                      </c:pt>
                      <c:pt idx="512">
                        <c:v>0.21306914677571784</c:v>
                      </c:pt>
                      <c:pt idx="513">
                        <c:v>0.21068555173601533</c:v>
                      </c:pt>
                      <c:pt idx="514">
                        <c:v>0.20830779004710837</c:v>
                      </c:pt>
                      <c:pt idx="515">
                        <c:v>0.20593626871997478</c:v>
                      </c:pt>
                      <c:pt idx="516">
                        <c:v>0.20357138829075944</c:v>
                      </c:pt>
                      <c:pt idx="517">
                        <c:v>0.2012135427351974</c:v>
                      </c:pt>
                      <c:pt idx="518">
                        <c:v>0.19886311938727591</c:v>
                      </c:pt>
                      <c:pt idx="519">
                        <c:v>0.19652049886213654</c:v>
                      </c:pt>
                      <c:pt idx="520">
                        <c:v>0.19418605498321295</c:v>
                      </c:pt>
                      <c:pt idx="521">
                        <c:v>0.19186015471359938</c:v>
                      </c:pt>
                      <c:pt idx="522">
                        <c:v>0.18954315809164024</c:v>
                      </c:pt>
                      <c:pt idx="523">
                        <c:v>0.18723541817072956</c:v>
                      </c:pt>
                      <c:pt idx="524">
                        <c:v>0.18493728096330531</c:v>
                      </c:pt>
                      <c:pt idx="525">
                        <c:v>0.18264908538902191</c:v>
                      </c:pt>
                      <c:pt idx="526">
                        <c:v>0.18037116322708033</c:v>
                      </c:pt>
                      <c:pt idx="527">
                        <c:v>0.17810383907269359</c:v>
                      </c:pt>
                      <c:pt idx="528">
                        <c:v>0.17584743029766237</c:v>
                      </c:pt>
                      <c:pt idx="529">
                        <c:v>0.17360224701503299</c:v>
                      </c:pt>
                      <c:pt idx="530">
                        <c:v>0.17136859204780736</c:v>
                      </c:pt>
                      <c:pt idx="531">
                        <c:v>0.16914676090167238</c:v>
                      </c:pt>
                      <c:pt idx="532">
                        <c:v>0.16693704174171381</c:v>
                      </c:pt>
                      <c:pt idx="533">
                        <c:v>0.1647397153730768</c:v>
                      </c:pt>
                      <c:pt idx="534">
                        <c:v>0.16255505522553412</c:v>
                      </c:pt>
                      <c:pt idx="535">
                        <c:v>0.1603833273419196</c:v>
                      </c:pt>
                      <c:pt idx="536">
                        <c:v>0.15822479037038303</c:v>
                      </c:pt>
                      <c:pt idx="537">
                        <c:v>0.15607969556042084</c:v>
                      </c:pt>
                      <c:pt idx="538">
                        <c:v>0.15394828676263372</c:v>
                      </c:pt>
                      <c:pt idx="539">
                        <c:v>0.15183080043216168</c:v>
                      </c:pt>
                      <c:pt idx="540">
                        <c:v>0.14972746563574488</c:v>
                      </c:pt>
                      <c:pt idx="541">
                        <c:v>0.14763850406235574</c:v>
                      </c:pt>
                      <c:pt idx="542">
                        <c:v>0.14556413003734761</c:v>
                      </c:pt>
                      <c:pt idx="543">
                        <c:v>0.14350455054006242</c:v>
                      </c:pt>
                      <c:pt idx="544">
                        <c:v>0.14145996522483878</c:v>
                      </c:pt>
                      <c:pt idx="545">
                        <c:v>0.13943056644536028</c:v>
                      </c:pt>
                      <c:pt idx="546">
                        <c:v>0.13741653928228179</c:v>
                      </c:pt>
                      <c:pt idx="547">
                        <c:v>0.1354180615740713</c:v>
                      </c:pt>
                      <c:pt idx="548">
                        <c:v>0.13343530395100231</c:v>
                      </c:pt>
                      <c:pt idx="549">
                        <c:v>0.13146842987223104</c:v>
                      </c:pt>
                      <c:pt idx="550">
                        <c:v>0.12951759566589174</c:v>
                      </c:pt>
                      <c:pt idx="551">
                        <c:v>0.12758295057214186</c:v>
                      </c:pt>
                      <c:pt idx="552">
                        <c:v>0.12566463678908815</c:v>
                      </c:pt>
                      <c:pt idx="553">
                        <c:v>0.12376278952152313</c:v>
                      </c:pt>
                      <c:pt idx="554">
                        <c:v>0.12187753703240178</c:v>
                      </c:pt>
                      <c:pt idx="555">
                        <c:v>0.12000900069698558</c:v>
                      </c:pt>
                      <c:pt idx="556">
                        <c:v>0.11815729505958227</c:v>
                      </c:pt>
                      <c:pt idx="557">
                        <c:v>0.11632252789280709</c:v>
                      </c:pt>
                      <c:pt idx="558">
                        <c:v>0.11450480025929236</c:v>
                      </c:pt>
                      <c:pt idx="559">
                        <c:v>0.11270420657577056</c:v>
                      </c:pt>
                      <c:pt idx="560">
                        <c:v>0.11092083467945554</c:v>
                      </c:pt>
                      <c:pt idx="561">
                        <c:v>0.10915476589664735</c:v>
                      </c:pt>
                      <c:pt idx="562">
                        <c:v>0.1074060751134838</c:v>
                      </c:pt>
                      <c:pt idx="563">
                        <c:v>0.10567483084876363</c:v>
                      </c:pt>
                      <c:pt idx="564">
                        <c:v>0.10396109532876423</c:v>
                      </c:pt>
                      <c:pt idx="565">
                        <c:v>0.10226492456397804</c:v>
                      </c:pt>
                      <c:pt idx="566">
                        <c:v>0.10058636842769057</c:v>
                      </c:pt>
                      <c:pt idx="567">
                        <c:v>9.8925470736323712E-2</c:v>
                      </c:pt>
                      <c:pt idx="568">
                        <c:v>9.7282269331467511E-2</c:v>
                      </c:pt>
                      <c:pt idx="569">
                        <c:v>9.5656796163524016E-2</c:v>
                      </c:pt>
                      <c:pt idx="570">
                        <c:v>9.4049077376886947E-2</c:v>
                      </c:pt>
                      <c:pt idx="571">
                        <c:v>9.2459133396580684E-2</c:v>
                      </c:pt>
                      <c:pt idx="572">
                        <c:v>9.0886979016282871E-2</c:v>
                      </c:pt>
                      <c:pt idx="573">
                        <c:v>8.9332623487655E-2</c:v>
                      </c:pt>
                      <c:pt idx="574">
                        <c:v>8.7796070610905622E-2</c:v>
                      </c:pt>
                      <c:pt idx="575">
                        <c:v>8.6277318826511532E-2</c:v>
                      </c:pt>
                      <c:pt idx="576">
                        <c:v>8.4776361308022227E-2</c:v>
                      </c:pt>
                      <c:pt idx="577">
                        <c:v>8.3293186055874463E-2</c:v>
                      </c:pt>
                      <c:pt idx="578">
                        <c:v>8.1827775992142804E-2</c:v>
                      </c:pt>
                      <c:pt idx="579">
                        <c:v>8.038010905615417E-2</c:v>
                      </c:pt>
                      <c:pt idx="580">
                        <c:v>7.8950158300894149E-2</c:v>
                      </c:pt>
                      <c:pt idx="581">
                        <c:v>7.7537891990133986E-2</c:v>
                      </c:pt>
                      <c:pt idx="582">
                        <c:v>7.6143273696207311E-2</c:v>
                      </c:pt>
                      <c:pt idx="583">
                        <c:v>7.4766262398367603E-2</c:v>
                      </c:pt>
                      <c:pt idx="584">
                        <c:v>7.3406812581656891E-2</c:v>
                      </c:pt>
                      <c:pt idx="585">
                        <c:v>7.2064874336217985E-2</c:v>
                      </c:pt>
                      <c:pt idx="586">
                        <c:v>7.074039345698338E-2</c:v>
                      </c:pt>
                      <c:pt idx="587">
                        <c:v>6.9433311543674187E-2</c:v>
                      </c:pt>
                      <c:pt idx="588">
                        <c:v>6.8143566101044578E-2</c:v>
                      </c:pt>
                      <c:pt idx="589">
                        <c:v>6.6871090639307157E-2</c:v>
                      </c:pt>
                      <c:pt idx="590">
                        <c:v>6.5615814774676595E-2</c:v>
                      </c:pt>
                      <c:pt idx="591">
                        <c:v>6.4377664329969359E-2</c:v>
                      </c:pt>
                      <c:pt idx="592">
                        <c:v>6.3156561435198655E-2</c:v>
                      </c:pt>
                      <c:pt idx="593">
                        <c:v>6.1952424628105164E-2</c:v>
                      </c:pt>
                      <c:pt idx="594">
                        <c:v>6.0765168954564776E-2</c:v>
                      </c:pt>
                      <c:pt idx="595">
                        <c:v>5.9594706068816075E-2</c:v>
                      </c:pt>
                      <c:pt idx="596">
                        <c:v>5.8440944333451469E-2</c:v>
                      </c:pt>
                      <c:pt idx="597">
                        <c:v>#N/A</c:v>
                      </c:pt>
                      <c:pt idx="598">
                        <c:v>#N/A</c:v>
                      </c:pt>
                      <c:pt idx="599">
                        <c:v>#N/A</c:v>
                      </c:pt>
                      <c:pt idx="600">
                        <c:v>#N/A</c:v>
                      </c:pt>
                      <c:pt idx="601">
                        <c:v>#N/A</c:v>
                      </c:pt>
                      <c:pt idx="602">
                        <c:v>#N/A</c:v>
                      </c:pt>
                      <c:pt idx="603">
                        <c:v>#N/A</c:v>
                      </c:pt>
                      <c:pt idx="604">
                        <c:v>#N/A</c:v>
                      </c:pt>
                      <c:pt idx="605">
                        <c:v>#N/A</c:v>
                      </c:pt>
                      <c:pt idx="606">
                        <c:v>#N/A</c:v>
                      </c:pt>
                      <c:pt idx="607">
                        <c:v>#N/A</c:v>
                      </c:pt>
                      <c:pt idx="608">
                        <c:v>#N/A</c:v>
                      </c:pt>
                      <c:pt idx="609">
                        <c:v>#N/A</c:v>
                      </c:pt>
                      <c:pt idx="610">
                        <c:v>#N/A</c:v>
                      </c:pt>
                      <c:pt idx="611">
                        <c:v>#N/A</c:v>
                      </c:pt>
                      <c:pt idx="612">
                        <c:v>#N/A</c:v>
                      </c:pt>
                      <c:pt idx="613">
                        <c:v>#N/A</c:v>
                      </c:pt>
                      <c:pt idx="614">
                        <c:v>#N/A</c:v>
                      </c:pt>
                      <c:pt idx="615">
                        <c:v>#N/A</c:v>
                      </c:pt>
                      <c:pt idx="616">
                        <c:v>#N/A</c:v>
                      </c:pt>
                      <c:pt idx="617">
                        <c:v>#N/A</c:v>
                      </c:pt>
                      <c:pt idx="618">
                        <c:v>#N/A</c:v>
                      </c:pt>
                      <c:pt idx="619">
                        <c:v>#N/A</c:v>
                      </c:pt>
                      <c:pt idx="620">
                        <c:v>#N/A</c:v>
                      </c:pt>
                      <c:pt idx="621">
                        <c:v>#N/A</c:v>
                      </c:pt>
                      <c:pt idx="622">
                        <c:v>#N/A</c:v>
                      </c:pt>
                      <c:pt idx="623">
                        <c:v>#N/A</c:v>
                      </c:pt>
                      <c:pt idx="624">
                        <c:v>#N/A</c:v>
                      </c:pt>
                      <c:pt idx="625">
                        <c:v>#N/A</c:v>
                      </c:pt>
                      <c:pt idx="626">
                        <c:v>#N/A</c:v>
                      </c:pt>
                      <c:pt idx="627">
                        <c:v>#N/A</c:v>
                      </c:pt>
                      <c:pt idx="628">
                        <c:v>#N/A</c:v>
                      </c:pt>
                      <c:pt idx="629">
                        <c:v>#N/A</c:v>
                      </c:pt>
                      <c:pt idx="630">
                        <c:v>#N/A</c:v>
                      </c:pt>
                      <c:pt idx="631">
                        <c:v>#N/A</c:v>
                      </c:pt>
                      <c:pt idx="632">
                        <c:v>#N/A</c:v>
                      </c:pt>
                      <c:pt idx="633">
                        <c:v>#N/A</c:v>
                      </c:pt>
                      <c:pt idx="634">
                        <c:v>#N/A</c:v>
                      </c:pt>
                      <c:pt idx="635">
                        <c:v>#N/A</c:v>
                      </c:pt>
                      <c:pt idx="636">
                        <c:v>#N/A</c:v>
                      </c:pt>
                      <c:pt idx="637">
                        <c:v>#N/A</c:v>
                      </c:pt>
                      <c:pt idx="638">
                        <c:v>#N/A</c:v>
                      </c:pt>
                      <c:pt idx="639">
                        <c:v>#N/A</c:v>
                      </c:pt>
                      <c:pt idx="640">
                        <c:v>#N/A</c:v>
                      </c:pt>
                      <c:pt idx="641">
                        <c:v>#N/A</c:v>
                      </c:pt>
                      <c:pt idx="642">
                        <c:v>#N/A</c:v>
                      </c:pt>
                      <c:pt idx="643">
                        <c:v>#N/A</c:v>
                      </c:pt>
                      <c:pt idx="644">
                        <c:v>#N/A</c:v>
                      </c:pt>
                      <c:pt idx="645">
                        <c:v>#N/A</c:v>
                      </c:pt>
                      <c:pt idx="646">
                        <c:v>#N/A</c:v>
                      </c:pt>
                      <c:pt idx="647">
                        <c:v>#N/A</c:v>
                      </c:pt>
                      <c:pt idx="648">
                        <c:v>#N/A</c:v>
                      </c:pt>
                      <c:pt idx="649">
                        <c:v>#N/A</c:v>
                      </c:pt>
                      <c:pt idx="650">
                        <c:v>#N/A</c:v>
                      </c:pt>
                      <c:pt idx="651">
                        <c:v>#N/A</c:v>
                      </c:pt>
                      <c:pt idx="652">
                        <c:v>#N/A</c:v>
                      </c:pt>
                      <c:pt idx="653">
                        <c:v>#N/A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  <c:pt idx="699">
                        <c:v>#N/A</c:v>
                      </c:pt>
                      <c:pt idx="700">
                        <c:v>#N/A</c:v>
                      </c:pt>
                      <c:pt idx="701">
                        <c:v>#N/A</c:v>
                      </c:pt>
                      <c:pt idx="702">
                        <c:v>#N/A</c:v>
                      </c:pt>
                      <c:pt idx="703">
                        <c:v>#N/A</c:v>
                      </c:pt>
                      <c:pt idx="704">
                        <c:v>#N/A</c:v>
                      </c:pt>
                      <c:pt idx="705">
                        <c:v>#N/A</c:v>
                      </c:pt>
                      <c:pt idx="706">
                        <c:v>#N/A</c:v>
                      </c:pt>
                      <c:pt idx="707">
                        <c:v>#N/A</c:v>
                      </c:pt>
                      <c:pt idx="708">
                        <c:v>#N/A</c:v>
                      </c:pt>
                      <c:pt idx="709">
                        <c:v>#N/A</c:v>
                      </c:pt>
                      <c:pt idx="710">
                        <c:v>#N/A</c:v>
                      </c:pt>
                      <c:pt idx="711">
                        <c:v>#N/A</c:v>
                      </c:pt>
                      <c:pt idx="712">
                        <c:v>#N/A</c:v>
                      </c:pt>
                      <c:pt idx="713">
                        <c:v>#N/A</c:v>
                      </c:pt>
                      <c:pt idx="714">
                        <c:v>#N/A</c:v>
                      </c:pt>
                      <c:pt idx="715">
                        <c:v>#N/A</c:v>
                      </c:pt>
                      <c:pt idx="716">
                        <c:v>#N/A</c:v>
                      </c:pt>
                      <c:pt idx="717">
                        <c:v>#N/A</c:v>
                      </c:pt>
                      <c:pt idx="718">
                        <c:v>#N/A</c:v>
                      </c:pt>
                      <c:pt idx="719">
                        <c:v>#N/A</c:v>
                      </c:pt>
                      <c:pt idx="720">
                        <c:v>#N/A</c:v>
                      </c:pt>
                      <c:pt idx="721">
                        <c:v>#N/A</c:v>
                      </c:pt>
                      <c:pt idx="722">
                        <c:v>#N/A</c:v>
                      </c:pt>
                      <c:pt idx="723">
                        <c:v>#N/A</c:v>
                      </c:pt>
                      <c:pt idx="724">
                        <c:v>#N/A</c:v>
                      </c:pt>
                      <c:pt idx="725">
                        <c:v>#N/A</c:v>
                      </c:pt>
                      <c:pt idx="726">
                        <c:v>#N/A</c:v>
                      </c:pt>
                      <c:pt idx="727">
                        <c:v>#N/A</c:v>
                      </c:pt>
                      <c:pt idx="728">
                        <c:v>#N/A</c:v>
                      </c:pt>
                      <c:pt idx="729">
                        <c:v>#N/A</c:v>
                      </c:pt>
                      <c:pt idx="730">
                        <c:v>#N/A</c:v>
                      </c:pt>
                      <c:pt idx="731">
                        <c:v>#N/A</c:v>
                      </c:pt>
                      <c:pt idx="732">
                        <c:v>#N/A</c:v>
                      </c:pt>
                      <c:pt idx="733">
                        <c:v>#N/A</c:v>
                      </c:pt>
                      <c:pt idx="734">
                        <c:v>#N/A</c:v>
                      </c:pt>
                      <c:pt idx="735">
                        <c:v>#N/A</c:v>
                      </c:pt>
                      <c:pt idx="736">
                        <c:v>#N/A</c:v>
                      </c:pt>
                      <c:pt idx="737">
                        <c:v>#N/A</c:v>
                      </c:pt>
                      <c:pt idx="738">
                        <c:v>#N/A</c:v>
                      </c:pt>
                      <c:pt idx="739">
                        <c:v>#N/A</c:v>
                      </c:pt>
                      <c:pt idx="740">
                        <c:v>#N/A</c:v>
                      </c:pt>
                      <c:pt idx="741">
                        <c:v>#N/A</c:v>
                      </c:pt>
                      <c:pt idx="742">
                        <c:v>#N/A</c:v>
                      </c:pt>
                      <c:pt idx="743">
                        <c:v>#N/A</c:v>
                      </c:pt>
                      <c:pt idx="744">
                        <c:v>#N/A</c:v>
                      </c:pt>
                      <c:pt idx="745">
                        <c:v>#N/A</c:v>
                      </c:pt>
                      <c:pt idx="746">
                        <c:v>#N/A</c:v>
                      </c:pt>
                      <c:pt idx="747">
                        <c:v>#N/A</c:v>
                      </c:pt>
                      <c:pt idx="748">
                        <c:v>#N/A</c:v>
                      </c:pt>
                      <c:pt idx="749">
                        <c:v>#N/A</c:v>
                      </c:pt>
                      <c:pt idx="750">
                        <c:v>#N/A</c:v>
                      </c:pt>
                      <c:pt idx="751">
                        <c:v>#N/A</c:v>
                      </c:pt>
                      <c:pt idx="752">
                        <c:v>#N/A</c:v>
                      </c:pt>
                      <c:pt idx="753">
                        <c:v>#N/A</c:v>
                      </c:pt>
                      <c:pt idx="754">
                        <c:v>#N/A</c:v>
                      </c:pt>
                      <c:pt idx="755">
                        <c:v>#N/A</c:v>
                      </c:pt>
                      <c:pt idx="756">
                        <c:v>#N/A</c:v>
                      </c:pt>
                      <c:pt idx="757">
                        <c:v>#N/A</c:v>
                      </c:pt>
                      <c:pt idx="758">
                        <c:v>#N/A</c:v>
                      </c:pt>
                      <c:pt idx="759">
                        <c:v>#N/A</c:v>
                      </c:pt>
                      <c:pt idx="760">
                        <c:v>#N/A</c:v>
                      </c:pt>
                      <c:pt idx="761">
                        <c:v>#N/A</c:v>
                      </c:pt>
                      <c:pt idx="762">
                        <c:v>#N/A</c:v>
                      </c:pt>
                      <c:pt idx="763">
                        <c:v>#N/A</c:v>
                      </c:pt>
                      <c:pt idx="764">
                        <c:v>#N/A</c:v>
                      </c:pt>
                      <c:pt idx="765">
                        <c:v>#N/A</c:v>
                      </c:pt>
                      <c:pt idx="766">
                        <c:v>#N/A</c:v>
                      </c:pt>
                      <c:pt idx="767">
                        <c:v>#N/A</c:v>
                      </c:pt>
                      <c:pt idx="768">
                        <c:v>#N/A</c:v>
                      </c:pt>
                      <c:pt idx="769">
                        <c:v>#N/A</c:v>
                      </c:pt>
                      <c:pt idx="770">
                        <c:v>#N/A</c:v>
                      </c:pt>
                      <c:pt idx="771">
                        <c:v>#N/A</c:v>
                      </c:pt>
                      <c:pt idx="772">
                        <c:v>#N/A</c:v>
                      </c:pt>
                      <c:pt idx="773">
                        <c:v>#N/A</c:v>
                      </c:pt>
                      <c:pt idx="774">
                        <c:v>#N/A</c:v>
                      </c:pt>
                      <c:pt idx="775">
                        <c:v>#N/A</c:v>
                      </c:pt>
                      <c:pt idx="776">
                        <c:v>#N/A</c:v>
                      </c:pt>
                      <c:pt idx="777">
                        <c:v>#N/A</c:v>
                      </c:pt>
                      <c:pt idx="778">
                        <c:v>#N/A</c:v>
                      </c:pt>
                      <c:pt idx="779">
                        <c:v>#N/A</c:v>
                      </c:pt>
                      <c:pt idx="780">
                        <c:v>#N/A</c:v>
                      </c:pt>
                      <c:pt idx="781">
                        <c:v>#N/A</c:v>
                      </c:pt>
                      <c:pt idx="782">
                        <c:v>#N/A</c:v>
                      </c:pt>
                      <c:pt idx="783">
                        <c:v>#N/A</c:v>
                      </c:pt>
                      <c:pt idx="784">
                        <c:v>#N/A</c:v>
                      </c:pt>
                      <c:pt idx="785">
                        <c:v>#N/A</c:v>
                      </c:pt>
                      <c:pt idx="786">
                        <c:v>#N/A</c:v>
                      </c:pt>
                      <c:pt idx="787">
                        <c:v>#N/A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  <c:pt idx="799">
                        <c:v>#N/A</c:v>
                      </c:pt>
                      <c:pt idx="800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7C4-4F05-B6C1-8F57D23A4AB0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'Лист1 (6)'!$W$2</c:f>
              <c:strCache>
                <c:ptCount val="1"/>
                <c:pt idx="0">
                  <c:v>График плотности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'Лист1 (6)'!$V$3:$V$803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(6)'!$W$3:$W$803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5.7303788919117131E-2</c:v>
                </c:pt>
                <c:pt idx="598">
                  <c:v>5.6183141903868049E-2</c:v>
                </c:pt>
                <c:pt idx="599">
                  <c:v>5.5078902372125767E-2</c:v>
                </c:pt>
                <c:pt idx="600">
                  <c:v>5.3990966513188063E-2</c:v>
                </c:pt>
                <c:pt idx="601">
                  <c:v>5.2919227719240312E-2</c:v>
                </c:pt>
                <c:pt idx="602">
                  <c:v>5.1863576682820565E-2</c:v>
                </c:pt>
                <c:pt idx="603">
                  <c:v>5.0823901493691204E-2</c:v>
                </c:pt>
                <c:pt idx="604">
                  <c:v>4.9800087735070775E-2</c:v>
                </c:pt>
                <c:pt idx="605">
                  <c:v>4.8792018579182764E-2</c:v>
                </c:pt>
                <c:pt idx="606">
                  <c:v>4.7799574882077034E-2</c:v>
                </c:pt>
                <c:pt idx="607">
                  <c:v>4.6822635277683163E-2</c:v>
                </c:pt>
                <c:pt idx="608">
                  <c:v>4.5861076271054887E-2</c:v>
                </c:pt>
                <c:pt idx="609">
                  <c:v>4.49147723307671E-2</c:v>
                </c:pt>
                <c:pt idx="610">
                  <c:v>4.3983595980427191E-2</c:v>
                </c:pt>
                <c:pt idx="611">
                  <c:v>4.3067417889265734E-2</c:v>
                </c:pt>
                <c:pt idx="612">
                  <c:v>4.2166106961770311E-2</c:v>
                </c:pt>
                <c:pt idx="613">
                  <c:v>4.1279530426330417E-2</c:v>
                </c:pt>
                <c:pt idx="614">
                  <c:v>4.0407553922860308E-2</c:v>
                </c:pt>
                <c:pt idx="615">
                  <c:v>3.955004158937022E-2</c:v>
                </c:pt>
                <c:pt idx="616">
                  <c:v>3.8706856147455608E-2</c:v>
                </c:pt>
                <c:pt idx="617">
                  <c:v>3.7877858986677483E-2</c:v>
                </c:pt>
                <c:pt idx="618">
                  <c:v>3.7062910247806474E-2</c:v>
                </c:pt>
                <c:pt idx="619">
                  <c:v>3.6261868904906222E-2</c:v>
                </c:pt>
                <c:pt idx="620">
                  <c:v>3.5474592846231424E-2</c:v>
                </c:pt>
                <c:pt idx="621">
                  <c:v>3.470093895391882E-2</c:v>
                </c:pt>
                <c:pt idx="622">
                  <c:v>3.3940763182449186E-2</c:v>
                </c:pt>
                <c:pt idx="623">
                  <c:v>3.3193920635861122E-2</c:v>
                </c:pt>
                <c:pt idx="624">
                  <c:v>3.2460265643697445E-2</c:v>
                </c:pt>
                <c:pt idx="625">
                  <c:v>3.1739651835667418E-2</c:v>
                </c:pt>
                <c:pt idx="626">
                  <c:v>3.103193221500827E-2</c:v>
                </c:pt>
                <c:pt idx="627">
                  <c:v>3.0336959230531636E-2</c:v>
                </c:pt>
                <c:pt idx="628">
                  <c:v>2.9654584847341278E-2</c:v>
                </c:pt>
                <c:pt idx="629">
                  <c:v>2.8984660616209412E-2</c:v>
                </c:pt>
                <c:pt idx="630">
                  <c:v>2.8327037741601186E-2</c:v>
                </c:pt>
                <c:pt idx="631">
                  <c:v>2.7681567148336573E-2</c:v>
                </c:pt>
                <c:pt idx="632">
                  <c:v>2.7048099546881785E-2</c:v>
                </c:pt>
                <c:pt idx="633">
                  <c:v>2.6426485497261721E-2</c:v>
                </c:pt>
                <c:pt idx="634">
                  <c:v>2.581657547158769E-2</c:v>
                </c:pt>
                <c:pt idx="635">
                  <c:v>2.5218219915194382E-2</c:v>
                </c:pt>
                <c:pt idx="636">
                  <c:v>2.4631269306382507E-2</c:v>
                </c:pt>
                <c:pt idx="637">
                  <c:v>2.4055574214762971E-2</c:v>
                </c:pt>
                <c:pt idx="638">
                  <c:v>2.3490985358201363E-2</c:v>
                </c:pt>
                <c:pt idx="639">
                  <c:v>2.2937353658360693E-2</c:v>
                </c:pt>
                <c:pt idx="640">
                  <c:v>2.2394530294842899E-2</c:v>
                </c:pt>
                <c:pt idx="641">
                  <c:v>2.1862366757929387E-2</c:v>
                </c:pt>
                <c:pt idx="642">
                  <c:v>2.1340714899922782E-2</c:v>
                </c:pt>
                <c:pt idx="643">
                  <c:v>2.0829426985092186E-2</c:v>
                </c:pt>
                <c:pt idx="644">
                  <c:v>2.0328355738225837E-2</c:v>
                </c:pt>
                <c:pt idx="645">
                  <c:v>1.9837354391795313E-2</c:v>
                </c:pt>
                <c:pt idx="646">
                  <c:v>1.9356276731736961E-2</c:v>
                </c:pt>
                <c:pt idx="647">
                  <c:v>1.8884977141856163E-2</c:v>
                </c:pt>
                <c:pt idx="648">
                  <c:v>1.8423310646862048E-2</c:v>
                </c:pt>
                <c:pt idx="649">
                  <c:v>1.7971132954039633E-2</c:v>
                </c:pt>
                <c:pt idx="650">
                  <c:v>1.752830049356854E-2</c:v>
                </c:pt>
                <c:pt idx="651">
                  <c:v>1.7094670457496956E-2</c:v>
                </c:pt>
                <c:pt idx="652">
                  <c:v>1.6670100837381057E-2</c:v>
                </c:pt>
                <c:pt idx="653">
                  <c:v>1.6254450460600506E-2</c:v>
                </c:pt>
                <c:pt idx="654">
                  <c:v>1.5847579025360818E-2</c:v>
                </c:pt>
                <c:pt idx="655">
                  <c:v>1.5449347134395174E-2</c:v>
                </c:pt>
                <c:pt idx="656">
                  <c:v>1.5059616327377449E-2</c:v>
                </c:pt>
                <c:pt idx="657">
                  <c:v>1.4678249112060044E-2</c:v>
                </c:pt>
                <c:pt idx="658">
                  <c:v>1.430510899414969E-2</c:v>
                </c:pt>
                <c:pt idx="659">
                  <c:v>1.3940060505935825E-2</c:v>
                </c:pt>
                <c:pt idx="660">
                  <c:v>1.3582969233685613E-2</c:v>
                </c:pt>
                <c:pt idx="661">
                  <c:v>1.3233701843821374E-2</c:v>
                </c:pt>
                <c:pt idx="662">
                  <c:v>1.2892126107895304E-2</c:v>
                </c:pt>
                <c:pt idx="663">
                  <c:v>1.2558110926378211E-2</c:v>
                </c:pt>
                <c:pt idx="664">
                  <c:v>1.2231526351277971E-2</c:v>
                </c:pt>
                <c:pt idx="665">
                  <c:v>1.1912243607605179E-2</c:v>
                </c:pt>
                <c:pt idx="666">
                  <c:v>1.1600135113702561E-2</c:v>
                </c:pt>
                <c:pt idx="667">
                  <c:v>1.1295074500456135E-2</c:v>
                </c:pt>
                <c:pt idx="668">
                  <c:v>1.0996936629405572E-2</c:v>
                </c:pt>
                <c:pt idx="669">
                  <c:v>1.0705597609772187E-2</c:v>
                </c:pt>
                <c:pt idx="670">
                  <c:v>1.0420934814422592E-2</c:v>
                </c:pt>
                <c:pt idx="671">
                  <c:v>1.0142826894787077E-2</c:v>
                </c:pt>
                <c:pt idx="672">
                  <c:v>9.8711537947511301E-3</c:v>
                </c:pt>
                <c:pt idx="673">
                  <c:v>9.6057967635395872E-3</c:v>
                </c:pt>
                <c:pt idx="674">
                  <c:v>9.3466383676122835E-3</c:v>
                </c:pt>
                <c:pt idx="675">
                  <c:v>9.0935625015910529E-3</c:v>
                </c:pt>
                <c:pt idx="676">
                  <c:v>8.8464543982372315E-3</c:v>
                </c:pt>
                <c:pt idx="677">
                  <c:v>8.6052006374996715E-3</c:v>
                </c:pt>
                <c:pt idx="678">
                  <c:v>8.369689154653033E-3</c:v>
                </c:pt>
                <c:pt idx="679">
                  <c:v>8.1398092475460215E-3</c:v>
                </c:pt>
                <c:pt idx="680">
                  <c:v>7.9154515829799686E-3</c:v>
                </c:pt>
                <c:pt idx="681">
                  <c:v>7.6965082022373218E-3</c:v>
                </c:pt>
                <c:pt idx="682">
                  <c:v>7.4828725257805638E-3</c:v>
                </c:pt>
                <c:pt idx="683">
                  <c:v>7.2744393571412182E-3</c:v>
                </c:pt>
                <c:pt idx="684">
                  <c:v>7.0711048860194487E-3</c:v>
                </c:pt>
                <c:pt idx="685">
                  <c:v>6.8727666906139712E-3</c:v>
                </c:pt>
                <c:pt idx="686">
                  <c:v>6.6793237392026202E-3</c:v>
                </c:pt>
                <c:pt idx="687">
                  <c:v>6.4906763909933643E-3</c:v>
                </c:pt>
                <c:pt idx="688">
                  <c:v>6.3067263962659275E-3</c:v>
                </c:pt>
                <c:pt idx="689">
                  <c:v>6.1273768958236873E-3</c:v>
                </c:pt>
                <c:pt idx="690">
                  <c:v>5.9525324197758538E-3</c:v>
                </c:pt>
                <c:pt idx="691">
                  <c:v>5.7820988856694729E-3</c:v>
                </c:pt>
                <c:pt idx="692">
                  <c:v>5.615983595990969E-3</c:v>
                </c:pt>
                <c:pt idx="693">
                  <c:v>5.4540952350565454E-3</c:v>
                </c:pt>
                <c:pt idx="694">
                  <c:v>5.2963438653110201E-3</c:v>
                </c:pt>
                <c:pt idx="695">
                  <c:v>5.1426409230539392E-3</c:v>
                </c:pt>
                <c:pt idx="696">
                  <c:v>4.9928992136123763E-3</c:v>
                </c:pt>
                <c:pt idx="697">
                  <c:v>4.847032905978944E-3</c:v>
                </c:pt>
                <c:pt idx="698">
                  <c:v>4.7049575269339792E-3</c:v>
                </c:pt>
                <c:pt idx="699">
                  <c:v>4.5665899546701444E-3</c:v>
                </c:pt>
                <c:pt idx="700">
                  <c:v>4.4318484119380075E-3</c:v>
                </c:pt>
                <c:pt idx="701">
                  <c:v>4.3006524587304498E-3</c:v>
                </c:pt>
                <c:pt idx="702">
                  <c:v>4.1729229845239623E-3</c:v>
                </c:pt>
                <c:pt idx="703">
                  <c:v>4.04858220009443E-3</c:v>
                </c:pt>
                <c:pt idx="704">
                  <c:v>3.9275536289247789E-3</c:v>
                </c:pt>
                <c:pt idx="705">
                  <c:v>3.8097620982218104E-3</c:v>
                </c:pt>
                <c:pt idx="706">
                  <c:v>3.6951337295590349E-3</c:v>
                </c:pt>
                <c:pt idx="707">
                  <c:v>3.5835959291623614E-3</c:v>
                </c:pt>
                <c:pt idx="708">
                  <c:v>3.4750773778549375E-3</c:v>
                </c:pt>
                <c:pt idx="709">
                  <c:v>3.3695080206774812E-3</c:v>
                </c:pt>
                <c:pt idx="710">
                  <c:v>3.2668190561999182E-3</c:v>
                </c:pt>
                <c:pt idx="711">
                  <c:v>3.1669429255400811E-3</c:v>
                </c:pt>
                <c:pt idx="712">
                  <c:v>3.0698133011047403E-3</c:v>
                </c:pt>
                <c:pt idx="713">
                  <c:v>2.9753650750682535E-3</c:v>
                </c:pt>
                <c:pt idx="714">
                  <c:v>2.8835343476034392E-3</c:v>
                </c:pt>
                <c:pt idx="715">
                  <c:v>2.7942584148794472E-3</c:v>
                </c:pt>
                <c:pt idx="716">
                  <c:v>2.7074757568406999E-3</c:v>
                </c:pt>
                <c:pt idx="717">
                  <c:v>2.6231260247810244E-3</c:v>
                </c:pt>
                <c:pt idx="718">
                  <c:v>2.5411500287265214E-3</c:v>
                </c:pt>
                <c:pt idx="719">
                  <c:v>2.4614897246407006E-3</c:v>
                </c:pt>
                <c:pt idx="720">
                  <c:v>2.3840882014648404E-3</c:v>
                </c:pt>
                <c:pt idx="721">
                  <c:v>2.3088896680064958E-3</c:v>
                </c:pt>
                <c:pt idx="722">
                  <c:v>2.2358394396885385E-3</c:v>
                </c:pt>
                <c:pt idx="723">
                  <c:v>2.164883925171062E-3</c:v>
                </c:pt>
                <c:pt idx="724">
                  <c:v>2.0959706128579419E-3</c:v>
                </c:pt>
                <c:pt idx="725">
                  <c:v>2.0290480572997681E-3</c:v>
                </c:pt>
                <c:pt idx="726">
                  <c:v>1.9640658655043761E-3</c:v>
                </c:pt>
                <c:pt idx="727">
                  <c:v>1.9009746831660803E-3</c:v>
                </c:pt>
                <c:pt idx="728">
                  <c:v>1.839726180824281E-3</c:v>
                </c:pt>
                <c:pt idx="729">
                  <c:v>1.7802730399618786E-3</c:v>
                </c:pt>
                <c:pt idx="730">
                  <c:v>1.7225689390536812E-3</c:v>
                </c:pt>
                <c:pt idx="731">
                  <c:v>1.6665685395745797E-3</c:v>
                </c:pt>
                <c:pt idx="732">
                  <c:v>1.6122274719771244E-3</c:v>
                </c:pt>
                <c:pt idx="733">
                  <c:v>1.5595023216476915E-3</c:v>
                </c:pt>
                <c:pt idx="734">
                  <c:v>1.5083506148503073E-3</c:v>
                </c:pt>
                <c:pt idx="735">
                  <c:v>1.4587308046667459E-3</c:v>
                </c:pt>
                <c:pt idx="736">
                  <c:v>1.4106022569413848E-3</c:v>
                </c:pt>
                <c:pt idx="737">
                  <c:v>1.3639252362389036E-3</c:v>
                </c:pt>
                <c:pt idx="738">
                  <c:v>1.3186608918227423E-3</c:v>
                </c:pt>
                <c:pt idx="739">
                  <c:v>1.2747712436618327E-3</c:v>
                </c:pt>
                <c:pt idx="740">
                  <c:v>1.2322191684730199E-3</c:v>
                </c:pt>
                <c:pt idx="741">
                  <c:v>1.1909683858061166E-3</c:v>
                </c:pt>
                <c:pt idx="742">
                  <c:v>1.1509834441784845E-3</c:v>
                </c:pt>
                <c:pt idx="743">
                  <c:v>1.1122297072655649E-3</c:v>
                </c:pt>
                <c:pt idx="744">
                  <c:v>1.0746733401537356E-3</c:v>
                </c:pt>
                <c:pt idx="745">
                  <c:v>1.0382812956614103E-3</c:v>
                </c:pt>
                <c:pt idx="746">
                  <c:v>1.0030213007342376E-3</c:v>
                </c:pt>
                <c:pt idx="747">
                  <c:v>9.6886184291984591E-4</c:v>
                </c:pt>
                <c:pt idx="748">
                  <c:v>9.3577215692747977E-4</c:v>
                </c:pt>
                <c:pt idx="749">
                  <c:v>9.0372221127752448E-4</c:v>
                </c:pt>
                <c:pt idx="750">
                  <c:v>8.7268269504576015E-4</c:v>
                </c:pt>
                <c:pt idx="751">
                  <c:v>8.4262500470690268E-4</c:v>
                </c:pt>
                <c:pt idx="752">
                  <c:v>8.1352123108180841E-4</c:v>
                </c:pt>
                <c:pt idx="753">
                  <c:v>7.8534414639246997E-4</c:v>
                </c:pt>
                <c:pt idx="754">
                  <c:v>7.580671914287103E-4</c:v>
                </c:pt>
                <c:pt idx="755">
                  <c:v>7.3166446283031089E-4</c:v>
                </c:pt>
                <c:pt idx="756">
                  <c:v>7.061107004880362E-4</c:v>
                </c:pt>
                <c:pt idx="757">
                  <c:v>6.8138127506689212E-4</c:v>
                </c:pt>
                <c:pt idx="758">
                  <c:v>6.5745217565467645E-4</c:v>
                </c:pt>
                <c:pt idx="759">
                  <c:v>6.342999975387576E-4</c:v>
                </c:pt>
                <c:pt idx="760">
                  <c:v>6.119019301137719E-4</c:v>
                </c:pt>
                <c:pt idx="761">
                  <c:v>5.9023574492278561E-4</c:v>
                </c:pt>
                <c:pt idx="762">
                  <c:v>5.6927978383425261E-4</c:v>
                </c:pt>
                <c:pt idx="763">
                  <c:v>5.490129473569587E-4</c:v>
                </c:pt>
                <c:pt idx="764">
                  <c:v>5.2941468309493475E-4</c:v>
                </c:pt>
                <c:pt idx="765">
                  <c:v>5.104649743441856E-4</c:v>
                </c:pt>
                <c:pt idx="766">
                  <c:v>4.9214432883289312E-4</c:v>
                </c:pt>
                <c:pt idx="767">
                  <c:v>4.7443376760662064E-4</c:v>
                </c:pt>
                <c:pt idx="768">
                  <c:v>4.5731481405985675E-4</c:v>
                </c:pt>
                <c:pt idx="769">
                  <c:v>4.4076948311513252E-4</c:v>
                </c:pt>
                <c:pt idx="770">
                  <c:v>4.2478027055075143E-4</c:v>
                </c:pt>
                <c:pt idx="771">
                  <c:v>4.0933014247807883E-4</c:v>
                </c:pt>
                <c:pt idx="772">
                  <c:v>3.9440252496915622E-4</c:v>
                </c:pt>
                <c:pt idx="773">
                  <c:v>3.7998129383532141E-4</c:v>
                </c:pt>
                <c:pt idx="774">
                  <c:v>3.6605076455733496E-4</c:v>
                </c:pt>
                <c:pt idx="775">
                  <c:v>3.5259568236744541E-4</c:v>
                </c:pt>
                <c:pt idx="776">
                  <c:v>3.3960121248365478E-4</c:v>
                </c:pt>
                <c:pt idx="777">
                  <c:v>3.2705293049637498E-4</c:v>
                </c:pt>
                <c:pt idx="778">
                  <c:v>3.1493681290752188E-4</c:v>
                </c:pt>
                <c:pt idx="779">
                  <c:v>3.0323922782200417E-4</c:v>
                </c:pt>
                <c:pt idx="780">
                  <c:v>2.9194692579146027E-4</c:v>
                </c:pt>
                <c:pt idx="781">
                  <c:v>2.8104703080998632E-4</c:v>
                </c:pt>
                <c:pt idx="782">
                  <c:v>2.70527031461521E-4</c:v>
                </c:pt>
                <c:pt idx="783">
                  <c:v>2.6037477221844247E-4</c:v>
                </c:pt>
                <c:pt idx="784">
                  <c:v>2.5057844489086075E-4</c:v>
                </c:pt>
                <c:pt idx="785">
                  <c:v>2.4112658022599324E-4</c:v>
                </c:pt>
                <c:pt idx="786">
                  <c:v>2.3200803965694238E-4</c:v>
                </c:pt>
                <c:pt idx="787">
                  <c:v>2.2321200720010206E-4</c:v>
                </c:pt>
                <c:pt idx="788">
                  <c:v>2.1472798150036704E-4</c:v>
                </c:pt>
                <c:pt idx="789">
                  <c:v>2.0654576802322548E-4</c:v>
                </c:pt>
                <c:pt idx="790">
                  <c:v>1.9865547139277272E-4</c:v>
                </c:pt>
                <c:pt idx="791">
                  <c:v>1.9104748787459762E-4</c:v>
                </c:pt>
                <c:pt idx="792">
                  <c:v>1.8371249800245711E-4</c:v>
                </c:pt>
                <c:pt idx="793">
                  <c:v>1.7664145934757092E-4</c:v>
                </c:pt>
                <c:pt idx="794">
                  <c:v>1.6982559942934359E-4</c:v>
                </c:pt>
                <c:pt idx="795">
                  <c:v>1.6325640876624199E-4</c:v>
                </c:pt>
                <c:pt idx="796">
                  <c:v>1.5692563406553226E-4</c:v>
                </c:pt>
                <c:pt idx="797">
                  <c:v>1.508252715505178E-4</c:v>
                </c:pt>
                <c:pt idx="798">
                  <c:v>1.4494756042389106E-4</c:v>
                </c:pt>
                <c:pt idx="799">
                  <c:v>1.3928497646575994E-4</c:v>
                </c:pt>
                <c:pt idx="800">
                  <c:v>1.3383022576488537E-4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C4-4F05-B6C1-8F57D23A4AB0}"/>
            </c:ext>
          </c:extLst>
        </c:ser>
        <c:ser>
          <c:idx val="4"/>
          <c:order val="4"/>
          <c:tx>
            <c:v>ноль</c:v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(6)'!$AA$403</c:f>
                <c:numCache>
                  <c:formatCode>General</c:formatCode>
                  <c:ptCount val="1"/>
                  <c:pt idx="0">
                    <c:v>0.3989422804014327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</c:errBars>
          <c:cat>
            <c:numRef>
              <c:f>'Лист1 (6)'!$V$3:$V$803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(6)'!$AA$3:$AA$803</c:f>
              <c:numCache>
                <c:formatCode>General</c:formatCode>
                <c:ptCount val="801"/>
                <c:pt idx="400">
                  <c:v>0.3989422804014327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C4-4F05-B6C1-8F57D23A4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051960"/>
        <c:axId val="6580529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Точка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C00000"/>
                    </a:solidFill>
                    <a:ln w="9525">
                      <a:noFill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'Лист1 (6)'!$V$3:$V$803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-4</c:v>
                      </c:pt>
                      <c:pt idx="1">
                        <c:v>-3.99</c:v>
                      </c:pt>
                      <c:pt idx="2">
                        <c:v>-3.98</c:v>
                      </c:pt>
                      <c:pt idx="3">
                        <c:v>-3.97</c:v>
                      </c:pt>
                      <c:pt idx="4">
                        <c:v>-3.96</c:v>
                      </c:pt>
                      <c:pt idx="5">
                        <c:v>-3.95</c:v>
                      </c:pt>
                      <c:pt idx="6">
                        <c:v>-3.94</c:v>
                      </c:pt>
                      <c:pt idx="7">
                        <c:v>-3.93</c:v>
                      </c:pt>
                      <c:pt idx="8">
                        <c:v>-3.92</c:v>
                      </c:pt>
                      <c:pt idx="9">
                        <c:v>-3.91</c:v>
                      </c:pt>
                      <c:pt idx="10">
                        <c:v>-3.9</c:v>
                      </c:pt>
                      <c:pt idx="11">
                        <c:v>-3.89</c:v>
                      </c:pt>
                      <c:pt idx="12">
                        <c:v>-3.88</c:v>
                      </c:pt>
                      <c:pt idx="13">
                        <c:v>-3.87</c:v>
                      </c:pt>
                      <c:pt idx="14">
                        <c:v>-3.86</c:v>
                      </c:pt>
                      <c:pt idx="15">
                        <c:v>-3.85</c:v>
                      </c:pt>
                      <c:pt idx="16">
                        <c:v>-3.84</c:v>
                      </c:pt>
                      <c:pt idx="17">
                        <c:v>-3.83</c:v>
                      </c:pt>
                      <c:pt idx="18">
                        <c:v>-3.82</c:v>
                      </c:pt>
                      <c:pt idx="19">
                        <c:v>-3.81</c:v>
                      </c:pt>
                      <c:pt idx="20">
                        <c:v>-3.8</c:v>
                      </c:pt>
                      <c:pt idx="21">
                        <c:v>-3.79</c:v>
                      </c:pt>
                      <c:pt idx="22">
                        <c:v>-3.78</c:v>
                      </c:pt>
                      <c:pt idx="23">
                        <c:v>-3.77</c:v>
                      </c:pt>
                      <c:pt idx="24">
                        <c:v>-3.76</c:v>
                      </c:pt>
                      <c:pt idx="25">
                        <c:v>-3.75</c:v>
                      </c:pt>
                      <c:pt idx="26">
                        <c:v>-3.74</c:v>
                      </c:pt>
                      <c:pt idx="27">
                        <c:v>-3.73</c:v>
                      </c:pt>
                      <c:pt idx="28">
                        <c:v>-3.72</c:v>
                      </c:pt>
                      <c:pt idx="29">
                        <c:v>-3.71</c:v>
                      </c:pt>
                      <c:pt idx="30">
                        <c:v>-3.7</c:v>
                      </c:pt>
                      <c:pt idx="31">
                        <c:v>-3.69</c:v>
                      </c:pt>
                      <c:pt idx="32">
                        <c:v>-3.68</c:v>
                      </c:pt>
                      <c:pt idx="33">
                        <c:v>-3.67</c:v>
                      </c:pt>
                      <c:pt idx="34">
                        <c:v>-3.66</c:v>
                      </c:pt>
                      <c:pt idx="35">
                        <c:v>-3.65</c:v>
                      </c:pt>
                      <c:pt idx="36">
                        <c:v>-3.64</c:v>
                      </c:pt>
                      <c:pt idx="37">
                        <c:v>-3.63</c:v>
                      </c:pt>
                      <c:pt idx="38">
                        <c:v>-3.62</c:v>
                      </c:pt>
                      <c:pt idx="39">
                        <c:v>-3.61</c:v>
                      </c:pt>
                      <c:pt idx="40">
                        <c:v>-3.6</c:v>
                      </c:pt>
                      <c:pt idx="41">
                        <c:v>-3.59</c:v>
                      </c:pt>
                      <c:pt idx="42">
                        <c:v>-3.58</c:v>
                      </c:pt>
                      <c:pt idx="43">
                        <c:v>-3.57</c:v>
                      </c:pt>
                      <c:pt idx="44">
                        <c:v>-3.56</c:v>
                      </c:pt>
                      <c:pt idx="45">
                        <c:v>-3.55</c:v>
                      </c:pt>
                      <c:pt idx="46">
                        <c:v>-3.54</c:v>
                      </c:pt>
                      <c:pt idx="47">
                        <c:v>-3.53</c:v>
                      </c:pt>
                      <c:pt idx="48">
                        <c:v>-3.52</c:v>
                      </c:pt>
                      <c:pt idx="49">
                        <c:v>-3.51</c:v>
                      </c:pt>
                      <c:pt idx="50">
                        <c:v>-3.5</c:v>
                      </c:pt>
                      <c:pt idx="51">
                        <c:v>-3.49</c:v>
                      </c:pt>
                      <c:pt idx="52">
                        <c:v>-3.48</c:v>
                      </c:pt>
                      <c:pt idx="53">
                        <c:v>-3.47</c:v>
                      </c:pt>
                      <c:pt idx="54">
                        <c:v>-3.46</c:v>
                      </c:pt>
                      <c:pt idx="55">
                        <c:v>-3.45</c:v>
                      </c:pt>
                      <c:pt idx="56">
                        <c:v>-3.44</c:v>
                      </c:pt>
                      <c:pt idx="57">
                        <c:v>-3.43</c:v>
                      </c:pt>
                      <c:pt idx="58">
                        <c:v>-3.42</c:v>
                      </c:pt>
                      <c:pt idx="59">
                        <c:v>-3.41</c:v>
                      </c:pt>
                      <c:pt idx="60">
                        <c:v>-3.4</c:v>
                      </c:pt>
                      <c:pt idx="61">
                        <c:v>-3.39</c:v>
                      </c:pt>
                      <c:pt idx="62">
                        <c:v>-3.38</c:v>
                      </c:pt>
                      <c:pt idx="63">
                        <c:v>-3.37</c:v>
                      </c:pt>
                      <c:pt idx="64">
                        <c:v>-3.36</c:v>
                      </c:pt>
                      <c:pt idx="65">
                        <c:v>-3.35</c:v>
                      </c:pt>
                      <c:pt idx="66">
                        <c:v>-3.34</c:v>
                      </c:pt>
                      <c:pt idx="67">
                        <c:v>-3.33</c:v>
                      </c:pt>
                      <c:pt idx="68">
                        <c:v>-3.32</c:v>
                      </c:pt>
                      <c:pt idx="69">
                        <c:v>-3.31</c:v>
                      </c:pt>
                      <c:pt idx="70">
                        <c:v>-3.3</c:v>
                      </c:pt>
                      <c:pt idx="71">
                        <c:v>-3.29</c:v>
                      </c:pt>
                      <c:pt idx="72">
                        <c:v>-3.28</c:v>
                      </c:pt>
                      <c:pt idx="73">
                        <c:v>-3.27</c:v>
                      </c:pt>
                      <c:pt idx="74">
                        <c:v>-3.26</c:v>
                      </c:pt>
                      <c:pt idx="75">
                        <c:v>-3.25</c:v>
                      </c:pt>
                      <c:pt idx="76">
                        <c:v>-3.24</c:v>
                      </c:pt>
                      <c:pt idx="77">
                        <c:v>-3.23</c:v>
                      </c:pt>
                      <c:pt idx="78">
                        <c:v>-3.22</c:v>
                      </c:pt>
                      <c:pt idx="79">
                        <c:v>-3.21</c:v>
                      </c:pt>
                      <c:pt idx="80">
                        <c:v>-3.2</c:v>
                      </c:pt>
                      <c:pt idx="81">
                        <c:v>-3.19</c:v>
                      </c:pt>
                      <c:pt idx="82">
                        <c:v>-3.18</c:v>
                      </c:pt>
                      <c:pt idx="83">
                        <c:v>-3.17</c:v>
                      </c:pt>
                      <c:pt idx="84">
                        <c:v>-3.16</c:v>
                      </c:pt>
                      <c:pt idx="85">
                        <c:v>-3.15</c:v>
                      </c:pt>
                      <c:pt idx="86">
                        <c:v>-3.14</c:v>
                      </c:pt>
                      <c:pt idx="87">
                        <c:v>-3.13</c:v>
                      </c:pt>
                      <c:pt idx="88">
                        <c:v>-3.12</c:v>
                      </c:pt>
                      <c:pt idx="89">
                        <c:v>-3.11</c:v>
                      </c:pt>
                      <c:pt idx="90">
                        <c:v>-3.1</c:v>
                      </c:pt>
                      <c:pt idx="91">
                        <c:v>-3.09</c:v>
                      </c:pt>
                      <c:pt idx="92">
                        <c:v>-3.08</c:v>
                      </c:pt>
                      <c:pt idx="93">
                        <c:v>-3.07</c:v>
                      </c:pt>
                      <c:pt idx="94">
                        <c:v>-3.06</c:v>
                      </c:pt>
                      <c:pt idx="95">
                        <c:v>-3.05</c:v>
                      </c:pt>
                      <c:pt idx="96">
                        <c:v>-3.04</c:v>
                      </c:pt>
                      <c:pt idx="97">
                        <c:v>-3.03</c:v>
                      </c:pt>
                      <c:pt idx="98">
                        <c:v>-3.02</c:v>
                      </c:pt>
                      <c:pt idx="99">
                        <c:v>-3.01</c:v>
                      </c:pt>
                      <c:pt idx="100">
                        <c:v>-3</c:v>
                      </c:pt>
                      <c:pt idx="101">
                        <c:v>-2.99</c:v>
                      </c:pt>
                      <c:pt idx="102">
                        <c:v>-2.98</c:v>
                      </c:pt>
                      <c:pt idx="103">
                        <c:v>-2.97</c:v>
                      </c:pt>
                      <c:pt idx="104">
                        <c:v>-2.96</c:v>
                      </c:pt>
                      <c:pt idx="105">
                        <c:v>-2.95</c:v>
                      </c:pt>
                      <c:pt idx="106">
                        <c:v>-2.94</c:v>
                      </c:pt>
                      <c:pt idx="107">
                        <c:v>-2.93</c:v>
                      </c:pt>
                      <c:pt idx="108">
                        <c:v>-2.92</c:v>
                      </c:pt>
                      <c:pt idx="109">
                        <c:v>-2.91</c:v>
                      </c:pt>
                      <c:pt idx="110">
                        <c:v>-2.9</c:v>
                      </c:pt>
                      <c:pt idx="111">
                        <c:v>-2.89</c:v>
                      </c:pt>
                      <c:pt idx="112">
                        <c:v>-2.88</c:v>
                      </c:pt>
                      <c:pt idx="113">
                        <c:v>-2.87</c:v>
                      </c:pt>
                      <c:pt idx="114">
                        <c:v>-2.86</c:v>
                      </c:pt>
                      <c:pt idx="115">
                        <c:v>-2.85</c:v>
                      </c:pt>
                      <c:pt idx="116">
                        <c:v>-2.84</c:v>
                      </c:pt>
                      <c:pt idx="117">
                        <c:v>-2.83</c:v>
                      </c:pt>
                      <c:pt idx="118">
                        <c:v>-2.82</c:v>
                      </c:pt>
                      <c:pt idx="119">
                        <c:v>-2.81</c:v>
                      </c:pt>
                      <c:pt idx="120">
                        <c:v>-2.8</c:v>
                      </c:pt>
                      <c:pt idx="121">
                        <c:v>-2.79</c:v>
                      </c:pt>
                      <c:pt idx="122">
                        <c:v>-2.78</c:v>
                      </c:pt>
                      <c:pt idx="123">
                        <c:v>-2.77</c:v>
                      </c:pt>
                      <c:pt idx="124">
                        <c:v>-2.76</c:v>
                      </c:pt>
                      <c:pt idx="125">
                        <c:v>-2.75</c:v>
                      </c:pt>
                      <c:pt idx="126">
                        <c:v>-2.74</c:v>
                      </c:pt>
                      <c:pt idx="127">
                        <c:v>-2.73</c:v>
                      </c:pt>
                      <c:pt idx="128">
                        <c:v>-2.72</c:v>
                      </c:pt>
                      <c:pt idx="129">
                        <c:v>-2.71</c:v>
                      </c:pt>
                      <c:pt idx="130">
                        <c:v>-2.7</c:v>
                      </c:pt>
                      <c:pt idx="131">
                        <c:v>-2.69</c:v>
                      </c:pt>
                      <c:pt idx="132">
                        <c:v>-2.68</c:v>
                      </c:pt>
                      <c:pt idx="133">
                        <c:v>-2.67</c:v>
                      </c:pt>
                      <c:pt idx="134">
                        <c:v>-2.66</c:v>
                      </c:pt>
                      <c:pt idx="135">
                        <c:v>-2.65</c:v>
                      </c:pt>
                      <c:pt idx="136">
                        <c:v>-2.64</c:v>
                      </c:pt>
                      <c:pt idx="137">
                        <c:v>-2.63</c:v>
                      </c:pt>
                      <c:pt idx="138">
                        <c:v>-2.62</c:v>
                      </c:pt>
                      <c:pt idx="139">
                        <c:v>-2.61</c:v>
                      </c:pt>
                      <c:pt idx="140">
                        <c:v>-2.6</c:v>
                      </c:pt>
                      <c:pt idx="141">
                        <c:v>-2.59</c:v>
                      </c:pt>
                      <c:pt idx="142">
                        <c:v>-2.58</c:v>
                      </c:pt>
                      <c:pt idx="143">
                        <c:v>-2.57</c:v>
                      </c:pt>
                      <c:pt idx="144">
                        <c:v>-2.56</c:v>
                      </c:pt>
                      <c:pt idx="145">
                        <c:v>-2.5499999999999998</c:v>
                      </c:pt>
                      <c:pt idx="146">
                        <c:v>-2.54</c:v>
                      </c:pt>
                      <c:pt idx="147">
                        <c:v>-2.5299999999999998</c:v>
                      </c:pt>
                      <c:pt idx="148">
                        <c:v>-2.52</c:v>
                      </c:pt>
                      <c:pt idx="149">
                        <c:v>-2.5099999999999998</c:v>
                      </c:pt>
                      <c:pt idx="150">
                        <c:v>-2.5</c:v>
                      </c:pt>
                      <c:pt idx="151">
                        <c:v>-2.4900000000000002</c:v>
                      </c:pt>
                      <c:pt idx="152">
                        <c:v>-2.48</c:v>
                      </c:pt>
                      <c:pt idx="153">
                        <c:v>-2.4700000000000002</c:v>
                      </c:pt>
                      <c:pt idx="154">
                        <c:v>-2.46</c:v>
                      </c:pt>
                      <c:pt idx="155">
                        <c:v>-2.4500000000000002</c:v>
                      </c:pt>
                      <c:pt idx="156">
                        <c:v>-2.44</c:v>
                      </c:pt>
                      <c:pt idx="157">
                        <c:v>-2.4300000000000002</c:v>
                      </c:pt>
                      <c:pt idx="158">
                        <c:v>-2.42</c:v>
                      </c:pt>
                      <c:pt idx="159">
                        <c:v>-2.41</c:v>
                      </c:pt>
                      <c:pt idx="160">
                        <c:v>-2.4</c:v>
                      </c:pt>
                      <c:pt idx="161">
                        <c:v>-2.39</c:v>
                      </c:pt>
                      <c:pt idx="162">
                        <c:v>-2.38</c:v>
                      </c:pt>
                      <c:pt idx="163">
                        <c:v>-2.37</c:v>
                      </c:pt>
                      <c:pt idx="164">
                        <c:v>-2.36</c:v>
                      </c:pt>
                      <c:pt idx="165">
                        <c:v>-2.35</c:v>
                      </c:pt>
                      <c:pt idx="166">
                        <c:v>-2.34</c:v>
                      </c:pt>
                      <c:pt idx="167">
                        <c:v>-2.33</c:v>
                      </c:pt>
                      <c:pt idx="168">
                        <c:v>-2.3199999999999998</c:v>
                      </c:pt>
                      <c:pt idx="169">
                        <c:v>-2.31</c:v>
                      </c:pt>
                      <c:pt idx="170">
                        <c:v>-2.2999999999999998</c:v>
                      </c:pt>
                      <c:pt idx="171">
                        <c:v>-2.29</c:v>
                      </c:pt>
                      <c:pt idx="172">
                        <c:v>-2.2799999999999998</c:v>
                      </c:pt>
                      <c:pt idx="173">
                        <c:v>-2.27</c:v>
                      </c:pt>
                      <c:pt idx="174">
                        <c:v>-2.2599999999999998</c:v>
                      </c:pt>
                      <c:pt idx="175">
                        <c:v>-2.25</c:v>
                      </c:pt>
                      <c:pt idx="176">
                        <c:v>-2.2400000000000002</c:v>
                      </c:pt>
                      <c:pt idx="177">
                        <c:v>-2.23</c:v>
                      </c:pt>
                      <c:pt idx="178">
                        <c:v>-2.2200000000000002</c:v>
                      </c:pt>
                      <c:pt idx="179">
                        <c:v>-2.21</c:v>
                      </c:pt>
                      <c:pt idx="180">
                        <c:v>-2.2000000000000002</c:v>
                      </c:pt>
                      <c:pt idx="181">
                        <c:v>-2.19</c:v>
                      </c:pt>
                      <c:pt idx="182">
                        <c:v>-2.1800000000000002</c:v>
                      </c:pt>
                      <c:pt idx="183">
                        <c:v>-2.17</c:v>
                      </c:pt>
                      <c:pt idx="184">
                        <c:v>-2.16</c:v>
                      </c:pt>
                      <c:pt idx="185">
                        <c:v>-2.15</c:v>
                      </c:pt>
                      <c:pt idx="186">
                        <c:v>-2.14</c:v>
                      </c:pt>
                      <c:pt idx="187">
                        <c:v>-2.13</c:v>
                      </c:pt>
                      <c:pt idx="188">
                        <c:v>-2.12</c:v>
                      </c:pt>
                      <c:pt idx="189">
                        <c:v>-2.11</c:v>
                      </c:pt>
                      <c:pt idx="190">
                        <c:v>-2.1</c:v>
                      </c:pt>
                      <c:pt idx="191">
                        <c:v>-2.09</c:v>
                      </c:pt>
                      <c:pt idx="192">
                        <c:v>-2.08</c:v>
                      </c:pt>
                      <c:pt idx="193">
                        <c:v>-2.0699999999999998</c:v>
                      </c:pt>
                      <c:pt idx="194">
                        <c:v>-2.06</c:v>
                      </c:pt>
                      <c:pt idx="195">
                        <c:v>-2.0499999999999998</c:v>
                      </c:pt>
                      <c:pt idx="196">
                        <c:v>-2.04</c:v>
                      </c:pt>
                      <c:pt idx="197">
                        <c:v>-2.0299999999999998</c:v>
                      </c:pt>
                      <c:pt idx="198">
                        <c:v>-2.02</c:v>
                      </c:pt>
                      <c:pt idx="199">
                        <c:v>-2.0099999999999998</c:v>
                      </c:pt>
                      <c:pt idx="200">
                        <c:v>-2</c:v>
                      </c:pt>
                      <c:pt idx="201">
                        <c:v>-1.99</c:v>
                      </c:pt>
                      <c:pt idx="202">
                        <c:v>-1.98</c:v>
                      </c:pt>
                      <c:pt idx="203">
                        <c:v>-1.97</c:v>
                      </c:pt>
                      <c:pt idx="204">
                        <c:v>-1.96</c:v>
                      </c:pt>
                      <c:pt idx="205">
                        <c:v>-1.95</c:v>
                      </c:pt>
                      <c:pt idx="206">
                        <c:v>-1.94</c:v>
                      </c:pt>
                      <c:pt idx="207">
                        <c:v>-1.93</c:v>
                      </c:pt>
                      <c:pt idx="208">
                        <c:v>-1.92</c:v>
                      </c:pt>
                      <c:pt idx="209">
                        <c:v>-1.91</c:v>
                      </c:pt>
                      <c:pt idx="210">
                        <c:v>-1.9</c:v>
                      </c:pt>
                      <c:pt idx="211">
                        <c:v>-1.89</c:v>
                      </c:pt>
                      <c:pt idx="212">
                        <c:v>-1.88</c:v>
                      </c:pt>
                      <c:pt idx="213">
                        <c:v>-1.87</c:v>
                      </c:pt>
                      <c:pt idx="214">
                        <c:v>-1.86</c:v>
                      </c:pt>
                      <c:pt idx="215">
                        <c:v>-1.85</c:v>
                      </c:pt>
                      <c:pt idx="216">
                        <c:v>-1.84</c:v>
                      </c:pt>
                      <c:pt idx="217">
                        <c:v>-1.83</c:v>
                      </c:pt>
                      <c:pt idx="218">
                        <c:v>-1.82</c:v>
                      </c:pt>
                      <c:pt idx="219">
                        <c:v>-1.81</c:v>
                      </c:pt>
                      <c:pt idx="220">
                        <c:v>-1.8</c:v>
                      </c:pt>
                      <c:pt idx="221">
                        <c:v>-1.79</c:v>
                      </c:pt>
                      <c:pt idx="222">
                        <c:v>-1.78</c:v>
                      </c:pt>
                      <c:pt idx="223">
                        <c:v>-1.77</c:v>
                      </c:pt>
                      <c:pt idx="224">
                        <c:v>-1.76</c:v>
                      </c:pt>
                      <c:pt idx="225">
                        <c:v>-1.75</c:v>
                      </c:pt>
                      <c:pt idx="226">
                        <c:v>-1.74</c:v>
                      </c:pt>
                      <c:pt idx="227">
                        <c:v>-1.73</c:v>
                      </c:pt>
                      <c:pt idx="228">
                        <c:v>-1.72</c:v>
                      </c:pt>
                      <c:pt idx="229">
                        <c:v>-1.71</c:v>
                      </c:pt>
                      <c:pt idx="230">
                        <c:v>-1.7</c:v>
                      </c:pt>
                      <c:pt idx="231">
                        <c:v>-1.69</c:v>
                      </c:pt>
                      <c:pt idx="232">
                        <c:v>-1.68</c:v>
                      </c:pt>
                      <c:pt idx="233">
                        <c:v>-1.67</c:v>
                      </c:pt>
                      <c:pt idx="234">
                        <c:v>-1.66</c:v>
                      </c:pt>
                      <c:pt idx="235">
                        <c:v>-1.65</c:v>
                      </c:pt>
                      <c:pt idx="236">
                        <c:v>-1.64</c:v>
                      </c:pt>
                      <c:pt idx="237">
                        <c:v>-1.63</c:v>
                      </c:pt>
                      <c:pt idx="238">
                        <c:v>-1.62</c:v>
                      </c:pt>
                      <c:pt idx="239">
                        <c:v>-1.61</c:v>
                      </c:pt>
                      <c:pt idx="240">
                        <c:v>-1.6</c:v>
                      </c:pt>
                      <c:pt idx="241">
                        <c:v>-1.59</c:v>
                      </c:pt>
                      <c:pt idx="242">
                        <c:v>-1.58</c:v>
                      </c:pt>
                      <c:pt idx="243">
                        <c:v>-1.57</c:v>
                      </c:pt>
                      <c:pt idx="244">
                        <c:v>-1.56</c:v>
                      </c:pt>
                      <c:pt idx="245">
                        <c:v>-1.55</c:v>
                      </c:pt>
                      <c:pt idx="246">
                        <c:v>-1.54</c:v>
                      </c:pt>
                      <c:pt idx="247">
                        <c:v>-1.53</c:v>
                      </c:pt>
                      <c:pt idx="248">
                        <c:v>-1.52</c:v>
                      </c:pt>
                      <c:pt idx="249">
                        <c:v>-1.51</c:v>
                      </c:pt>
                      <c:pt idx="250">
                        <c:v>-1.5</c:v>
                      </c:pt>
                      <c:pt idx="251">
                        <c:v>-1.49</c:v>
                      </c:pt>
                      <c:pt idx="252">
                        <c:v>-1.48</c:v>
                      </c:pt>
                      <c:pt idx="253">
                        <c:v>-1.47</c:v>
                      </c:pt>
                      <c:pt idx="254">
                        <c:v>-1.46</c:v>
                      </c:pt>
                      <c:pt idx="255">
                        <c:v>-1.45</c:v>
                      </c:pt>
                      <c:pt idx="256">
                        <c:v>-1.44</c:v>
                      </c:pt>
                      <c:pt idx="257">
                        <c:v>-1.43</c:v>
                      </c:pt>
                      <c:pt idx="258">
                        <c:v>-1.42</c:v>
                      </c:pt>
                      <c:pt idx="259">
                        <c:v>-1.41</c:v>
                      </c:pt>
                      <c:pt idx="260">
                        <c:v>-1.4</c:v>
                      </c:pt>
                      <c:pt idx="261">
                        <c:v>-1.39</c:v>
                      </c:pt>
                      <c:pt idx="262">
                        <c:v>-1.38</c:v>
                      </c:pt>
                      <c:pt idx="263">
                        <c:v>-1.37</c:v>
                      </c:pt>
                      <c:pt idx="264">
                        <c:v>-1.36</c:v>
                      </c:pt>
                      <c:pt idx="265">
                        <c:v>-1.35</c:v>
                      </c:pt>
                      <c:pt idx="266">
                        <c:v>-1.34</c:v>
                      </c:pt>
                      <c:pt idx="267">
                        <c:v>-1.33</c:v>
                      </c:pt>
                      <c:pt idx="268">
                        <c:v>-1.32</c:v>
                      </c:pt>
                      <c:pt idx="269">
                        <c:v>-1.31</c:v>
                      </c:pt>
                      <c:pt idx="270">
                        <c:v>-1.3</c:v>
                      </c:pt>
                      <c:pt idx="271">
                        <c:v>-1.29</c:v>
                      </c:pt>
                      <c:pt idx="272">
                        <c:v>-1.28</c:v>
                      </c:pt>
                      <c:pt idx="273">
                        <c:v>-1.27</c:v>
                      </c:pt>
                      <c:pt idx="274">
                        <c:v>-1.26</c:v>
                      </c:pt>
                      <c:pt idx="275">
                        <c:v>-1.25</c:v>
                      </c:pt>
                      <c:pt idx="276">
                        <c:v>-1.24</c:v>
                      </c:pt>
                      <c:pt idx="277">
                        <c:v>-1.23</c:v>
                      </c:pt>
                      <c:pt idx="278">
                        <c:v>-1.22</c:v>
                      </c:pt>
                      <c:pt idx="279">
                        <c:v>-1.21</c:v>
                      </c:pt>
                      <c:pt idx="280">
                        <c:v>-1.2</c:v>
                      </c:pt>
                      <c:pt idx="281">
                        <c:v>-1.19</c:v>
                      </c:pt>
                      <c:pt idx="282">
                        <c:v>-1.18</c:v>
                      </c:pt>
                      <c:pt idx="283">
                        <c:v>-1.17</c:v>
                      </c:pt>
                      <c:pt idx="284">
                        <c:v>-1.1599999999999999</c:v>
                      </c:pt>
                      <c:pt idx="285">
                        <c:v>-1.1499999999999999</c:v>
                      </c:pt>
                      <c:pt idx="286">
                        <c:v>-1.1399999999999999</c:v>
                      </c:pt>
                      <c:pt idx="287">
                        <c:v>-1.1299999999999999</c:v>
                      </c:pt>
                      <c:pt idx="288">
                        <c:v>-1.1200000000000001</c:v>
                      </c:pt>
                      <c:pt idx="289">
                        <c:v>-1.1100000000000001</c:v>
                      </c:pt>
                      <c:pt idx="290">
                        <c:v>-1.1000000000000001</c:v>
                      </c:pt>
                      <c:pt idx="291">
                        <c:v>-1.0900000000000001</c:v>
                      </c:pt>
                      <c:pt idx="292">
                        <c:v>-1.08</c:v>
                      </c:pt>
                      <c:pt idx="293">
                        <c:v>-1.07</c:v>
                      </c:pt>
                      <c:pt idx="294">
                        <c:v>-1.06</c:v>
                      </c:pt>
                      <c:pt idx="295">
                        <c:v>-1.05</c:v>
                      </c:pt>
                      <c:pt idx="296">
                        <c:v>-1.04</c:v>
                      </c:pt>
                      <c:pt idx="297">
                        <c:v>-1.03</c:v>
                      </c:pt>
                      <c:pt idx="298">
                        <c:v>-1.02</c:v>
                      </c:pt>
                      <c:pt idx="299">
                        <c:v>-1.01</c:v>
                      </c:pt>
                      <c:pt idx="300">
                        <c:v>-1</c:v>
                      </c:pt>
                      <c:pt idx="301">
                        <c:v>-0.99</c:v>
                      </c:pt>
                      <c:pt idx="302">
                        <c:v>-0.98</c:v>
                      </c:pt>
                      <c:pt idx="303">
                        <c:v>-0.97</c:v>
                      </c:pt>
                      <c:pt idx="304">
                        <c:v>-0.96</c:v>
                      </c:pt>
                      <c:pt idx="305">
                        <c:v>-0.95</c:v>
                      </c:pt>
                      <c:pt idx="306">
                        <c:v>-0.94</c:v>
                      </c:pt>
                      <c:pt idx="307">
                        <c:v>-0.93</c:v>
                      </c:pt>
                      <c:pt idx="308">
                        <c:v>-0.92</c:v>
                      </c:pt>
                      <c:pt idx="309">
                        <c:v>-0.91</c:v>
                      </c:pt>
                      <c:pt idx="310">
                        <c:v>-0.9</c:v>
                      </c:pt>
                      <c:pt idx="311">
                        <c:v>-0.89</c:v>
                      </c:pt>
                      <c:pt idx="312">
                        <c:v>-0.88</c:v>
                      </c:pt>
                      <c:pt idx="313">
                        <c:v>-0.87</c:v>
                      </c:pt>
                      <c:pt idx="314">
                        <c:v>-0.86</c:v>
                      </c:pt>
                      <c:pt idx="315">
                        <c:v>-0.85</c:v>
                      </c:pt>
                      <c:pt idx="316">
                        <c:v>-0.84</c:v>
                      </c:pt>
                      <c:pt idx="317">
                        <c:v>-0.83</c:v>
                      </c:pt>
                      <c:pt idx="318">
                        <c:v>-0.82</c:v>
                      </c:pt>
                      <c:pt idx="319">
                        <c:v>-0.81</c:v>
                      </c:pt>
                      <c:pt idx="320">
                        <c:v>-0.8</c:v>
                      </c:pt>
                      <c:pt idx="321">
                        <c:v>-0.79</c:v>
                      </c:pt>
                      <c:pt idx="322">
                        <c:v>-0.78</c:v>
                      </c:pt>
                      <c:pt idx="323">
                        <c:v>-0.77</c:v>
                      </c:pt>
                      <c:pt idx="324">
                        <c:v>-0.76</c:v>
                      </c:pt>
                      <c:pt idx="325">
                        <c:v>-0.75</c:v>
                      </c:pt>
                      <c:pt idx="326">
                        <c:v>-0.74</c:v>
                      </c:pt>
                      <c:pt idx="327">
                        <c:v>-0.73</c:v>
                      </c:pt>
                      <c:pt idx="328">
                        <c:v>-0.72</c:v>
                      </c:pt>
                      <c:pt idx="329">
                        <c:v>-0.71</c:v>
                      </c:pt>
                      <c:pt idx="330">
                        <c:v>-0.7</c:v>
                      </c:pt>
                      <c:pt idx="331">
                        <c:v>-0.69</c:v>
                      </c:pt>
                      <c:pt idx="332">
                        <c:v>-0.68</c:v>
                      </c:pt>
                      <c:pt idx="333">
                        <c:v>-0.67</c:v>
                      </c:pt>
                      <c:pt idx="334">
                        <c:v>-0.66</c:v>
                      </c:pt>
                      <c:pt idx="335">
                        <c:v>-0.65</c:v>
                      </c:pt>
                      <c:pt idx="336">
                        <c:v>-0.64</c:v>
                      </c:pt>
                      <c:pt idx="337">
                        <c:v>-0.63</c:v>
                      </c:pt>
                      <c:pt idx="338">
                        <c:v>-0.62</c:v>
                      </c:pt>
                      <c:pt idx="339">
                        <c:v>-0.61</c:v>
                      </c:pt>
                      <c:pt idx="340">
                        <c:v>-0.6</c:v>
                      </c:pt>
                      <c:pt idx="341">
                        <c:v>-0.59</c:v>
                      </c:pt>
                      <c:pt idx="342">
                        <c:v>-0.57999999999999996</c:v>
                      </c:pt>
                      <c:pt idx="343">
                        <c:v>-0.56999999999999995</c:v>
                      </c:pt>
                      <c:pt idx="344">
                        <c:v>-0.56000000000000005</c:v>
                      </c:pt>
                      <c:pt idx="345">
                        <c:v>-0.55000000000000004</c:v>
                      </c:pt>
                      <c:pt idx="346">
                        <c:v>-0.54</c:v>
                      </c:pt>
                      <c:pt idx="347">
                        <c:v>-0.53</c:v>
                      </c:pt>
                      <c:pt idx="348">
                        <c:v>-0.52</c:v>
                      </c:pt>
                      <c:pt idx="349">
                        <c:v>-0.51</c:v>
                      </c:pt>
                      <c:pt idx="350">
                        <c:v>-0.5</c:v>
                      </c:pt>
                      <c:pt idx="351">
                        <c:v>-0.49</c:v>
                      </c:pt>
                      <c:pt idx="352">
                        <c:v>-0.48</c:v>
                      </c:pt>
                      <c:pt idx="353">
                        <c:v>-0.47</c:v>
                      </c:pt>
                      <c:pt idx="354">
                        <c:v>-0.46</c:v>
                      </c:pt>
                      <c:pt idx="355">
                        <c:v>-0.45</c:v>
                      </c:pt>
                      <c:pt idx="356">
                        <c:v>-0.44</c:v>
                      </c:pt>
                      <c:pt idx="357">
                        <c:v>-0.43</c:v>
                      </c:pt>
                      <c:pt idx="358">
                        <c:v>-0.42</c:v>
                      </c:pt>
                      <c:pt idx="359">
                        <c:v>-0.41</c:v>
                      </c:pt>
                      <c:pt idx="360">
                        <c:v>-0.4</c:v>
                      </c:pt>
                      <c:pt idx="361">
                        <c:v>-0.39</c:v>
                      </c:pt>
                      <c:pt idx="362">
                        <c:v>-0.38</c:v>
                      </c:pt>
                      <c:pt idx="363">
                        <c:v>-0.37</c:v>
                      </c:pt>
                      <c:pt idx="364">
                        <c:v>-0.36</c:v>
                      </c:pt>
                      <c:pt idx="365">
                        <c:v>-0.35</c:v>
                      </c:pt>
                      <c:pt idx="366">
                        <c:v>-0.34</c:v>
                      </c:pt>
                      <c:pt idx="367">
                        <c:v>-0.33</c:v>
                      </c:pt>
                      <c:pt idx="368">
                        <c:v>-0.32</c:v>
                      </c:pt>
                      <c:pt idx="369">
                        <c:v>-0.31</c:v>
                      </c:pt>
                      <c:pt idx="370">
                        <c:v>-0.3</c:v>
                      </c:pt>
                      <c:pt idx="371">
                        <c:v>-0.28999999999999998</c:v>
                      </c:pt>
                      <c:pt idx="372">
                        <c:v>-0.28000000000000003</c:v>
                      </c:pt>
                      <c:pt idx="373">
                        <c:v>-0.27</c:v>
                      </c:pt>
                      <c:pt idx="374">
                        <c:v>-0.26</c:v>
                      </c:pt>
                      <c:pt idx="375">
                        <c:v>-0.25</c:v>
                      </c:pt>
                      <c:pt idx="376">
                        <c:v>-0.24</c:v>
                      </c:pt>
                      <c:pt idx="377">
                        <c:v>-0.23</c:v>
                      </c:pt>
                      <c:pt idx="378">
                        <c:v>-0.22</c:v>
                      </c:pt>
                      <c:pt idx="379">
                        <c:v>-0.21</c:v>
                      </c:pt>
                      <c:pt idx="380">
                        <c:v>-0.2</c:v>
                      </c:pt>
                      <c:pt idx="381">
                        <c:v>-0.19</c:v>
                      </c:pt>
                      <c:pt idx="382">
                        <c:v>-0.18</c:v>
                      </c:pt>
                      <c:pt idx="383">
                        <c:v>-0.17</c:v>
                      </c:pt>
                      <c:pt idx="384">
                        <c:v>-0.16</c:v>
                      </c:pt>
                      <c:pt idx="385">
                        <c:v>-0.15</c:v>
                      </c:pt>
                      <c:pt idx="386">
                        <c:v>-0.14000000000000001</c:v>
                      </c:pt>
                      <c:pt idx="387">
                        <c:v>-0.13</c:v>
                      </c:pt>
                      <c:pt idx="388">
                        <c:v>-0.12</c:v>
                      </c:pt>
                      <c:pt idx="389">
                        <c:v>-0.11</c:v>
                      </c:pt>
                      <c:pt idx="390">
                        <c:v>-0.1</c:v>
                      </c:pt>
                      <c:pt idx="391">
                        <c:v>-0.09</c:v>
                      </c:pt>
                      <c:pt idx="392">
                        <c:v>-0.08</c:v>
                      </c:pt>
                      <c:pt idx="393">
                        <c:v>-7.0000000000000007E-2</c:v>
                      </c:pt>
                      <c:pt idx="394">
                        <c:v>-0.06</c:v>
                      </c:pt>
                      <c:pt idx="395">
                        <c:v>-0.05</c:v>
                      </c:pt>
                      <c:pt idx="396">
                        <c:v>-0.04</c:v>
                      </c:pt>
                      <c:pt idx="397">
                        <c:v>-0.03</c:v>
                      </c:pt>
                      <c:pt idx="398">
                        <c:v>-0.02</c:v>
                      </c:pt>
                      <c:pt idx="399">
                        <c:v>-0.01</c:v>
                      </c:pt>
                      <c:pt idx="400">
                        <c:v>0</c:v>
                      </c:pt>
                      <c:pt idx="401">
                        <c:v>0.01</c:v>
                      </c:pt>
                      <c:pt idx="402">
                        <c:v>0.02</c:v>
                      </c:pt>
                      <c:pt idx="403">
                        <c:v>0.03</c:v>
                      </c:pt>
                      <c:pt idx="404">
                        <c:v>0.04</c:v>
                      </c:pt>
                      <c:pt idx="405">
                        <c:v>0.05</c:v>
                      </c:pt>
                      <c:pt idx="406">
                        <c:v>0.06</c:v>
                      </c:pt>
                      <c:pt idx="407">
                        <c:v>7.0000000000000007E-2</c:v>
                      </c:pt>
                      <c:pt idx="408">
                        <c:v>0.08</c:v>
                      </c:pt>
                      <c:pt idx="409">
                        <c:v>0.09</c:v>
                      </c:pt>
                      <c:pt idx="410">
                        <c:v>0.1</c:v>
                      </c:pt>
                      <c:pt idx="411">
                        <c:v>0.11</c:v>
                      </c:pt>
                      <c:pt idx="412">
                        <c:v>0.12</c:v>
                      </c:pt>
                      <c:pt idx="413">
                        <c:v>0.13</c:v>
                      </c:pt>
                      <c:pt idx="414">
                        <c:v>0.14000000000000001</c:v>
                      </c:pt>
                      <c:pt idx="415">
                        <c:v>0.15</c:v>
                      </c:pt>
                      <c:pt idx="416">
                        <c:v>0.16</c:v>
                      </c:pt>
                      <c:pt idx="417">
                        <c:v>0.17</c:v>
                      </c:pt>
                      <c:pt idx="418">
                        <c:v>0.18</c:v>
                      </c:pt>
                      <c:pt idx="419">
                        <c:v>0.19</c:v>
                      </c:pt>
                      <c:pt idx="420">
                        <c:v>0.2</c:v>
                      </c:pt>
                      <c:pt idx="421">
                        <c:v>0.21</c:v>
                      </c:pt>
                      <c:pt idx="422">
                        <c:v>0.22</c:v>
                      </c:pt>
                      <c:pt idx="423">
                        <c:v>0.23</c:v>
                      </c:pt>
                      <c:pt idx="424">
                        <c:v>0.24</c:v>
                      </c:pt>
                      <c:pt idx="425">
                        <c:v>0.25</c:v>
                      </c:pt>
                      <c:pt idx="426">
                        <c:v>0.26</c:v>
                      </c:pt>
                      <c:pt idx="427">
                        <c:v>0.27</c:v>
                      </c:pt>
                      <c:pt idx="428">
                        <c:v>0.28000000000000003</c:v>
                      </c:pt>
                      <c:pt idx="429">
                        <c:v>0.28999999999999998</c:v>
                      </c:pt>
                      <c:pt idx="430">
                        <c:v>0.3</c:v>
                      </c:pt>
                      <c:pt idx="431">
                        <c:v>0.31</c:v>
                      </c:pt>
                      <c:pt idx="432">
                        <c:v>0.32</c:v>
                      </c:pt>
                      <c:pt idx="433">
                        <c:v>0.33</c:v>
                      </c:pt>
                      <c:pt idx="434">
                        <c:v>0.34</c:v>
                      </c:pt>
                      <c:pt idx="435">
                        <c:v>0.35</c:v>
                      </c:pt>
                      <c:pt idx="436">
                        <c:v>0.36</c:v>
                      </c:pt>
                      <c:pt idx="437">
                        <c:v>0.37</c:v>
                      </c:pt>
                      <c:pt idx="438">
                        <c:v>0.38</c:v>
                      </c:pt>
                      <c:pt idx="439">
                        <c:v>0.39</c:v>
                      </c:pt>
                      <c:pt idx="440">
                        <c:v>0.4</c:v>
                      </c:pt>
                      <c:pt idx="441">
                        <c:v>0.41</c:v>
                      </c:pt>
                      <c:pt idx="442">
                        <c:v>0.42</c:v>
                      </c:pt>
                      <c:pt idx="443">
                        <c:v>0.43</c:v>
                      </c:pt>
                      <c:pt idx="444">
                        <c:v>0.44</c:v>
                      </c:pt>
                      <c:pt idx="445">
                        <c:v>0.45</c:v>
                      </c:pt>
                      <c:pt idx="446">
                        <c:v>0.46</c:v>
                      </c:pt>
                      <c:pt idx="447">
                        <c:v>0.47</c:v>
                      </c:pt>
                      <c:pt idx="448">
                        <c:v>0.48</c:v>
                      </c:pt>
                      <c:pt idx="449">
                        <c:v>0.49</c:v>
                      </c:pt>
                      <c:pt idx="450">
                        <c:v>0.5</c:v>
                      </c:pt>
                      <c:pt idx="451">
                        <c:v>0.51</c:v>
                      </c:pt>
                      <c:pt idx="452">
                        <c:v>0.52</c:v>
                      </c:pt>
                      <c:pt idx="453">
                        <c:v>0.53</c:v>
                      </c:pt>
                      <c:pt idx="454">
                        <c:v>0.54</c:v>
                      </c:pt>
                      <c:pt idx="455">
                        <c:v>0.55000000000000004</c:v>
                      </c:pt>
                      <c:pt idx="456">
                        <c:v>0.56000000000000005</c:v>
                      </c:pt>
                      <c:pt idx="457">
                        <c:v>0.56999999999999995</c:v>
                      </c:pt>
                      <c:pt idx="458">
                        <c:v>0.57999999999999996</c:v>
                      </c:pt>
                      <c:pt idx="459">
                        <c:v>0.59</c:v>
                      </c:pt>
                      <c:pt idx="460">
                        <c:v>0.6</c:v>
                      </c:pt>
                      <c:pt idx="461">
                        <c:v>0.61</c:v>
                      </c:pt>
                      <c:pt idx="462">
                        <c:v>0.62</c:v>
                      </c:pt>
                      <c:pt idx="463">
                        <c:v>0.63</c:v>
                      </c:pt>
                      <c:pt idx="464">
                        <c:v>0.64</c:v>
                      </c:pt>
                      <c:pt idx="465">
                        <c:v>0.65</c:v>
                      </c:pt>
                      <c:pt idx="466">
                        <c:v>0.66</c:v>
                      </c:pt>
                      <c:pt idx="467">
                        <c:v>0.67</c:v>
                      </c:pt>
                      <c:pt idx="468">
                        <c:v>0.68</c:v>
                      </c:pt>
                      <c:pt idx="469">
                        <c:v>0.69</c:v>
                      </c:pt>
                      <c:pt idx="470">
                        <c:v>0.7</c:v>
                      </c:pt>
                      <c:pt idx="471">
                        <c:v>0.71</c:v>
                      </c:pt>
                      <c:pt idx="472">
                        <c:v>0.72</c:v>
                      </c:pt>
                      <c:pt idx="473">
                        <c:v>0.73</c:v>
                      </c:pt>
                      <c:pt idx="474">
                        <c:v>0.74</c:v>
                      </c:pt>
                      <c:pt idx="475">
                        <c:v>0.75</c:v>
                      </c:pt>
                      <c:pt idx="476">
                        <c:v>0.76</c:v>
                      </c:pt>
                      <c:pt idx="477">
                        <c:v>0.77</c:v>
                      </c:pt>
                      <c:pt idx="478">
                        <c:v>0.78</c:v>
                      </c:pt>
                      <c:pt idx="479">
                        <c:v>0.79</c:v>
                      </c:pt>
                      <c:pt idx="480">
                        <c:v>0.8</c:v>
                      </c:pt>
                      <c:pt idx="481">
                        <c:v>0.81</c:v>
                      </c:pt>
                      <c:pt idx="482">
                        <c:v>0.82</c:v>
                      </c:pt>
                      <c:pt idx="483">
                        <c:v>0.83</c:v>
                      </c:pt>
                      <c:pt idx="484">
                        <c:v>0.84</c:v>
                      </c:pt>
                      <c:pt idx="485">
                        <c:v>0.85</c:v>
                      </c:pt>
                      <c:pt idx="486">
                        <c:v>0.86</c:v>
                      </c:pt>
                      <c:pt idx="487">
                        <c:v>0.87</c:v>
                      </c:pt>
                      <c:pt idx="488">
                        <c:v>0.88</c:v>
                      </c:pt>
                      <c:pt idx="489">
                        <c:v>0.89</c:v>
                      </c:pt>
                      <c:pt idx="490">
                        <c:v>0.9</c:v>
                      </c:pt>
                      <c:pt idx="491">
                        <c:v>0.91</c:v>
                      </c:pt>
                      <c:pt idx="492">
                        <c:v>0.92</c:v>
                      </c:pt>
                      <c:pt idx="493">
                        <c:v>0.93</c:v>
                      </c:pt>
                      <c:pt idx="494">
                        <c:v>0.94</c:v>
                      </c:pt>
                      <c:pt idx="495">
                        <c:v>0.95</c:v>
                      </c:pt>
                      <c:pt idx="496">
                        <c:v>0.96</c:v>
                      </c:pt>
                      <c:pt idx="497">
                        <c:v>0.97</c:v>
                      </c:pt>
                      <c:pt idx="498">
                        <c:v>0.98</c:v>
                      </c:pt>
                      <c:pt idx="499">
                        <c:v>0.99</c:v>
                      </c:pt>
                      <c:pt idx="500">
                        <c:v>1</c:v>
                      </c:pt>
                      <c:pt idx="501">
                        <c:v>1.01</c:v>
                      </c:pt>
                      <c:pt idx="502">
                        <c:v>1.02</c:v>
                      </c:pt>
                      <c:pt idx="503">
                        <c:v>1.03</c:v>
                      </c:pt>
                      <c:pt idx="504">
                        <c:v>1.04</c:v>
                      </c:pt>
                      <c:pt idx="505">
                        <c:v>1.05</c:v>
                      </c:pt>
                      <c:pt idx="506">
                        <c:v>1.06</c:v>
                      </c:pt>
                      <c:pt idx="507">
                        <c:v>1.07</c:v>
                      </c:pt>
                      <c:pt idx="508">
                        <c:v>1.08</c:v>
                      </c:pt>
                      <c:pt idx="509">
                        <c:v>1.0900000000000001</c:v>
                      </c:pt>
                      <c:pt idx="510">
                        <c:v>1.1000000000000001</c:v>
                      </c:pt>
                      <c:pt idx="511">
                        <c:v>1.1100000000000001</c:v>
                      </c:pt>
                      <c:pt idx="512">
                        <c:v>1.1200000000000001</c:v>
                      </c:pt>
                      <c:pt idx="513">
                        <c:v>1.1299999999999999</c:v>
                      </c:pt>
                      <c:pt idx="514">
                        <c:v>1.1399999999999999</c:v>
                      </c:pt>
                      <c:pt idx="515">
                        <c:v>1.1499999999999999</c:v>
                      </c:pt>
                      <c:pt idx="516">
                        <c:v>1.1599999999999999</c:v>
                      </c:pt>
                      <c:pt idx="517">
                        <c:v>1.17</c:v>
                      </c:pt>
                      <c:pt idx="518">
                        <c:v>1.18</c:v>
                      </c:pt>
                      <c:pt idx="519">
                        <c:v>1.19</c:v>
                      </c:pt>
                      <c:pt idx="520">
                        <c:v>1.2</c:v>
                      </c:pt>
                      <c:pt idx="521">
                        <c:v>1.21</c:v>
                      </c:pt>
                      <c:pt idx="522">
                        <c:v>1.22</c:v>
                      </c:pt>
                      <c:pt idx="523">
                        <c:v>1.23</c:v>
                      </c:pt>
                      <c:pt idx="524">
                        <c:v>1.24</c:v>
                      </c:pt>
                      <c:pt idx="525">
                        <c:v>1.25</c:v>
                      </c:pt>
                      <c:pt idx="526">
                        <c:v>1.26</c:v>
                      </c:pt>
                      <c:pt idx="527">
                        <c:v>1.27</c:v>
                      </c:pt>
                      <c:pt idx="528">
                        <c:v>1.28</c:v>
                      </c:pt>
                      <c:pt idx="529">
                        <c:v>1.29</c:v>
                      </c:pt>
                      <c:pt idx="530">
                        <c:v>1.3</c:v>
                      </c:pt>
                      <c:pt idx="531">
                        <c:v>1.31</c:v>
                      </c:pt>
                      <c:pt idx="532">
                        <c:v>1.32</c:v>
                      </c:pt>
                      <c:pt idx="533">
                        <c:v>1.33</c:v>
                      </c:pt>
                      <c:pt idx="534">
                        <c:v>1.34</c:v>
                      </c:pt>
                      <c:pt idx="535">
                        <c:v>1.35</c:v>
                      </c:pt>
                      <c:pt idx="536">
                        <c:v>1.36</c:v>
                      </c:pt>
                      <c:pt idx="537">
                        <c:v>1.37</c:v>
                      </c:pt>
                      <c:pt idx="538">
                        <c:v>1.38</c:v>
                      </c:pt>
                      <c:pt idx="539">
                        <c:v>1.39</c:v>
                      </c:pt>
                      <c:pt idx="540">
                        <c:v>1.4</c:v>
                      </c:pt>
                      <c:pt idx="541">
                        <c:v>1.41</c:v>
                      </c:pt>
                      <c:pt idx="542">
                        <c:v>1.42</c:v>
                      </c:pt>
                      <c:pt idx="543">
                        <c:v>1.43</c:v>
                      </c:pt>
                      <c:pt idx="544">
                        <c:v>1.44</c:v>
                      </c:pt>
                      <c:pt idx="545">
                        <c:v>1.45</c:v>
                      </c:pt>
                      <c:pt idx="546">
                        <c:v>1.46</c:v>
                      </c:pt>
                      <c:pt idx="547">
                        <c:v>1.47</c:v>
                      </c:pt>
                      <c:pt idx="548">
                        <c:v>1.48</c:v>
                      </c:pt>
                      <c:pt idx="549">
                        <c:v>1.49</c:v>
                      </c:pt>
                      <c:pt idx="550">
                        <c:v>1.5</c:v>
                      </c:pt>
                      <c:pt idx="551">
                        <c:v>1.51</c:v>
                      </c:pt>
                      <c:pt idx="552">
                        <c:v>1.52</c:v>
                      </c:pt>
                      <c:pt idx="553">
                        <c:v>1.53</c:v>
                      </c:pt>
                      <c:pt idx="554">
                        <c:v>1.54</c:v>
                      </c:pt>
                      <c:pt idx="555">
                        <c:v>1.55</c:v>
                      </c:pt>
                      <c:pt idx="556">
                        <c:v>1.56</c:v>
                      </c:pt>
                      <c:pt idx="557">
                        <c:v>1.57</c:v>
                      </c:pt>
                      <c:pt idx="558">
                        <c:v>1.58</c:v>
                      </c:pt>
                      <c:pt idx="559">
                        <c:v>1.59</c:v>
                      </c:pt>
                      <c:pt idx="560">
                        <c:v>1.6</c:v>
                      </c:pt>
                      <c:pt idx="561">
                        <c:v>1.61</c:v>
                      </c:pt>
                      <c:pt idx="562">
                        <c:v>1.62</c:v>
                      </c:pt>
                      <c:pt idx="563">
                        <c:v>1.63</c:v>
                      </c:pt>
                      <c:pt idx="564">
                        <c:v>1.64</c:v>
                      </c:pt>
                      <c:pt idx="565">
                        <c:v>1.65</c:v>
                      </c:pt>
                      <c:pt idx="566">
                        <c:v>1.66</c:v>
                      </c:pt>
                      <c:pt idx="567">
                        <c:v>1.67</c:v>
                      </c:pt>
                      <c:pt idx="568">
                        <c:v>1.68</c:v>
                      </c:pt>
                      <c:pt idx="569">
                        <c:v>1.69</c:v>
                      </c:pt>
                      <c:pt idx="570">
                        <c:v>1.7</c:v>
                      </c:pt>
                      <c:pt idx="571">
                        <c:v>1.71</c:v>
                      </c:pt>
                      <c:pt idx="572">
                        <c:v>1.72</c:v>
                      </c:pt>
                      <c:pt idx="573">
                        <c:v>1.73</c:v>
                      </c:pt>
                      <c:pt idx="574">
                        <c:v>1.74</c:v>
                      </c:pt>
                      <c:pt idx="575">
                        <c:v>1.75</c:v>
                      </c:pt>
                      <c:pt idx="576">
                        <c:v>1.76</c:v>
                      </c:pt>
                      <c:pt idx="577">
                        <c:v>1.77</c:v>
                      </c:pt>
                      <c:pt idx="578">
                        <c:v>1.78</c:v>
                      </c:pt>
                      <c:pt idx="579">
                        <c:v>1.79</c:v>
                      </c:pt>
                      <c:pt idx="580">
                        <c:v>1.8</c:v>
                      </c:pt>
                      <c:pt idx="581">
                        <c:v>1.81</c:v>
                      </c:pt>
                      <c:pt idx="582">
                        <c:v>1.82</c:v>
                      </c:pt>
                      <c:pt idx="583">
                        <c:v>1.83</c:v>
                      </c:pt>
                      <c:pt idx="584">
                        <c:v>1.84</c:v>
                      </c:pt>
                      <c:pt idx="585">
                        <c:v>1.85</c:v>
                      </c:pt>
                      <c:pt idx="586">
                        <c:v>1.86</c:v>
                      </c:pt>
                      <c:pt idx="587">
                        <c:v>1.87</c:v>
                      </c:pt>
                      <c:pt idx="588">
                        <c:v>1.88</c:v>
                      </c:pt>
                      <c:pt idx="589">
                        <c:v>1.89</c:v>
                      </c:pt>
                      <c:pt idx="590">
                        <c:v>1.9</c:v>
                      </c:pt>
                      <c:pt idx="591">
                        <c:v>1.91</c:v>
                      </c:pt>
                      <c:pt idx="592">
                        <c:v>1.92</c:v>
                      </c:pt>
                      <c:pt idx="593">
                        <c:v>1.93</c:v>
                      </c:pt>
                      <c:pt idx="594">
                        <c:v>1.94</c:v>
                      </c:pt>
                      <c:pt idx="595">
                        <c:v>1.95</c:v>
                      </c:pt>
                      <c:pt idx="596">
                        <c:v>1.96</c:v>
                      </c:pt>
                      <c:pt idx="597">
                        <c:v>1.97</c:v>
                      </c:pt>
                      <c:pt idx="598">
                        <c:v>1.98</c:v>
                      </c:pt>
                      <c:pt idx="599">
                        <c:v>1.99</c:v>
                      </c:pt>
                      <c:pt idx="600">
                        <c:v>2</c:v>
                      </c:pt>
                      <c:pt idx="601">
                        <c:v>2.0099999999999998</c:v>
                      </c:pt>
                      <c:pt idx="602">
                        <c:v>2.02</c:v>
                      </c:pt>
                      <c:pt idx="603">
                        <c:v>2.0299999999999998</c:v>
                      </c:pt>
                      <c:pt idx="604">
                        <c:v>2.04</c:v>
                      </c:pt>
                      <c:pt idx="605">
                        <c:v>2.0499999999999998</c:v>
                      </c:pt>
                      <c:pt idx="606">
                        <c:v>2.06</c:v>
                      </c:pt>
                      <c:pt idx="607">
                        <c:v>2.0699999999999998</c:v>
                      </c:pt>
                      <c:pt idx="608">
                        <c:v>2.08</c:v>
                      </c:pt>
                      <c:pt idx="609">
                        <c:v>2.09</c:v>
                      </c:pt>
                      <c:pt idx="610">
                        <c:v>2.1</c:v>
                      </c:pt>
                      <c:pt idx="611">
                        <c:v>2.11</c:v>
                      </c:pt>
                      <c:pt idx="612">
                        <c:v>2.12</c:v>
                      </c:pt>
                      <c:pt idx="613">
                        <c:v>2.13</c:v>
                      </c:pt>
                      <c:pt idx="614">
                        <c:v>2.14</c:v>
                      </c:pt>
                      <c:pt idx="615">
                        <c:v>2.15</c:v>
                      </c:pt>
                      <c:pt idx="616">
                        <c:v>2.16</c:v>
                      </c:pt>
                      <c:pt idx="617">
                        <c:v>2.17</c:v>
                      </c:pt>
                      <c:pt idx="618">
                        <c:v>2.1800000000000002</c:v>
                      </c:pt>
                      <c:pt idx="619">
                        <c:v>2.19</c:v>
                      </c:pt>
                      <c:pt idx="620">
                        <c:v>2.2000000000000002</c:v>
                      </c:pt>
                      <c:pt idx="621">
                        <c:v>2.21</c:v>
                      </c:pt>
                      <c:pt idx="622">
                        <c:v>2.2200000000000002</c:v>
                      </c:pt>
                      <c:pt idx="623">
                        <c:v>2.23</c:v>
                      </c:pt>
                      <c:pt idx="624">
                        <c:v>2.2400000000000002</c:v>
                      </c:pt>
                      <c:pt idx="625">
                        <c:v>2.25</c:v>
                      </c:pt>
                      <c:pt idx="626">
                        <c:v>2.2599999999999998</c:v>
                      </c:pt>
                      <c:pt idx="627">
                        <c:v>2.27</c:v>
                      </c:pt>
                      <c:pt idx="628">
                        <c:v>2.2799999999999998</c:v>
                      </c:pt>
                      <c:pt idx="629">
                        <c:v>2.29</c:v>
                      </c:pt>
                      <c:pt idx="630">
                        <c:v>2.2999999999999998</c:v>
                      </c:pt>
                      <c:pt idx="631">
                        <c:v>2.31</c:v>
                      </c:pt>
                      <c:pt idx="632">
                        <c:v>2.3199999999999998</c:v>
                      </c:pt>
                      <c:pt idx="633">
                        <c:v>2.33</c:v>
                      </c:pt>
                      <c:pt idx="634">
                        <c:v>2.34</c:v>
                      </c:pt>
                      <c:pt idx="635">
                        <c:v>2.35</c:v>
                      </c:pt>
                      <c:pt idx="636">
                        <c:v>2.36</c:v>
                      </c:pt>
                      <c:pt idx="637">
                        <c:v>2.37</c:v>
                      </c:pt>
                      <c:pt idx="638">
                        <c:v>2.38</c:v>
                      </c:pt>
                      <c:pt idx="639">
                        <c:v>2.39</c:v>
                      </c:pt>
                      <c:pt idx="640">
                        <c:v>2.4</c:v>
                      </c:pt>
                      <c:pt idx="641">
                        <c:v>2.41</c:v>
                      </c:pt>
                      <c:pt idx="642">
                        <c:v>2.42</c:v>
                      </c:pt>
                      <c:pt idx="643">
                        <c:v>2.4300000000000002</c:v>
                      </c:pt>
                      <c:pt idx="644">
                        <c:v>2.44</c:v>
                      </c:pt>
                      <c:pt idx="645">
                        <c:v>2.4500000000000002</c:v>
                      </c:pt>
                      <c:pt idx="646">
                        <c:v>2.46</c:v>
                      </c:pt>
                      <c:pt idx="647">
                        <c:v>2.4700000000000002</c:v>
                      </c:pt>
                      <c:pt idx="648">
                        <c:v>2.48</c:v>
                      </c:pt>
                      <c:pt idx="649">
                        <c:v>2.4900000000000002</c:v>
                      </c:pt>
                      <c:pt idx="650">
                        <c:v>2.5</c:v>
                      </c:pt>
                      <c:pt idx="651">
                        <c:v>2.5099999999999998</c:v>
                      </c:pt>
                      <c:pt idx="652">
                        <c:v>2.52</c:v>
                      </c:pt>
                      <c:pt idx="653">
                        <c:v>2.5299999999999998</c:v>
                      </c:pt>
                      <c:pt idx="654">
                        <c:v>2.54</c:v>
                      </c:pt>
                      <c:pt idx="655">
                        <c:v>2.5499999999999998</c:v>
                      </c:pt>
                      <c:pt idx="656">
                        <c:v>2.56</c:v>
                      </c:pt>
                      <c:pt idx="657">
                        <c:v>2.57</c:v>
                      </c:pt>
                      <c:pt idx="658">
                        <c:v>2.58</c:v>
                      </c:pt>
                      <c:pt idx="659">
                        <c:v>2.59</c:v>
                      </c:pt>
                      <c:pt idx="660">
                        <c:v>2.6</c:v>
                      </c:pt>
                      <c:pt idx="661">
                        <c:v>2.61</c:v>
                      </c:pt>
                      <c:pt idx="662">
                        <c:v>2.62</c:v>
                      </c:pt>
                      <c:pt idx="663">
                        <c:v>2.63</c:v>
                      </c:pt>
                      <c:pt idx="664">
                        <c:v>2.64</c:v>
                      </c:pt>
                      <c:pt idx="665">
                        <c:v>2.65</c:v>
                      </c:pt>
                      <c:pt idx="666">
                        <c:v>2.66</c:v>
                      </c:pt>
                      <c:pt idx="667">
                        <c:v>2.67</c:v>
                      </c:pt>
                      <c:pt idx="668">
                        <c:v>2.68</c:v>
                      </c:pt>
                      <c:pt idx="669">
                        <c:v>2.69</c:v>
                      </c:pt>
                      <c:pt idx="670">
                        <c:v>2.7</c:v>
                      </c:pt>
                      <c:pt idx="671">
                        <c:v>2.71</c:v>
                      </c:pt>
                      <c:pt idx="672">
                        <c:v>2.72</c:v>
                      </c:pt>
                      <c:pt idx="673">
                        <c:v>2.73</c:v>
                      </c:pt>
                      <c:pt idx="674">
                        <c:v>2.74</c:v>
                      </c:pt>
                      <c:pt idx="675">
                        <c:v>2.75</c:v>
                      </c:pt>
                      <c:pt idx="676">
                        <c:v>2.76</c:v>
                      </c:pt>
                      <c:pt idx="677">
                        <c:v>2.77</c:v>
                      </c:pt>
                      <c:pt idx="678">
                        <c:v>2.78</c:v>
                      </c:pt>
                      <c:pt idx="679">
                        <c:v>2.79</c:v>
                      </c:pt>
                      <c:pt idx="680">
                        <c:v>2.8</c:v>
                      </c:pt>
                      <c:pt idx="681">
                        <c:v>2.81</c:v>
                      </c:pt>
                      <c:pt idx="682">
                        <c:v>2.82</c:v>
                      </c:pt>
                      <c:pt idx="683">
                        <c:v>2.83</c:v>
                      </c:pt>
                      <c:pt idx="684">
                        <c:v>2.84</c:v>
                      </c:pt>
                      <c:pt idx="685">
                        <c:v>2.85</c:v>
                      </c:pt>
                      <c:pt idx="686">
                        <c:v>2.86</c:v>
                      </c:pt>
                      <c:pt idx="687">
                        <c:v>2.87</c:v>
                      </c:pt>
                      <c:pt idx="688">
                        <c:v>2.88</c:v>
                      </c:pt>
                      <c:pt idx="689">
                        <c:v>2.89</c:v>
                      </c:pt>
                      <c:pt idx="690">
                        <c:v>2.9</c:v>
                      </c:pt>
                      <c:pt idx="691">
                        <c:v>2.91</c:v>
                      </c:pt>
                      <c:pt idx="692">
                        <c:v>2.92</c:v>
                      </c:pt>
                      <c:pt idx="693">
                        <c:v>2.93</c:v>
                      </c:pt>
                      <c:pt idx="694">
                        <c:v>2.94</c:v>
                      </c:pt>
                      <c:pt idx="695">
                        <c:v>2.95</c:v>
                      </c:pt>
                      <c:pt idx="696">
                        <c:v>2.96</c:v>
                      </c:pt>
                      <c:pt idx="697">
                        <c:v>2.97</c:v>
                      </c:pt>
                      <c:pt idx="698">
                        <c:v>2.98</c:v>
                      </c:pt>
                      <c:pt idx="699">
                        <c:v>2.99</c:v>
                      </c:pt>
                      <c:pt idx="700">
                        <c:v>3</c:v>
                      </c:pt>
                      <c:pt idx="701">
                        <c:v>3.01</c:v>
                      </c:pt>
                      <c:pt idx="702">
                        <c:v>3.02</c:v>
                      </c:pt>
                      <c:pt idx="703">
                        <c:v>3.03</c:v>
                      </c:pt>
                      <c:pt idx="704">
                        <c:v>3.04</c:v>
                      </c:pt>
                      <c:pt idx="705">
                        <c:v>3.05</c:v>
                      </c:pt>
                      <c:pt idx="706">
                        <c:v>3.06</c:v>
                      </c:pt>
                      <c:pt idx="707">
                        <c:v>3.07</c:v>
                      </c:pt>
                      <c:pt idx="708">
                        <c:v>3.08</c:v>
                      </c:pt>
                      <c:pt idx="709">
                        <c:v>3.09</c:v>
                      </c:pt>
                      <c:pt idx="710">
                        <c:v>3.1</c:v>
                      </c:pt>
                      <c:pt idx="711">
                        <c:v>3.11</c:v>
                      </c:pt>
                      <c:pt idx="712">
                        <c:v>3.12</c:v>
                      </c:pt>
                      <c:pt idx="713">
                        <c:v>3.13</c:v>
                      </c:pt>
                      <c:pt idx="714">
                        <c:v>3.14</c:v>
                      </c:pt>
                      <c:pt idx="715">
                        <c:v>3.15</c:v>
                      </c:pt>
                      <c:pt idx="716">
                        <c:v>3.16</c:v>
                      </c:pt>
                      <c:pt idx="717">
                        <c:v>3.17</c:v>
                      </c:pt>
                      <c:pt idx="718">
                        <c:v>3.18</c:v>
                      </c:pt>
                      <c:pt idx="719">
                        <c:v>3.19</c:v>
                      </c:pt>
                      <c:pt idx="720">
                        <c:v>3.2</c:v>
                      </c:pt>
                      <c:pt idx="721">
                        <c:v>3.21</c:v>
                      </c:pt>
                      <c:pt idx="722">
                        <c:v>3.22</c:v>
                      </c:pt>
                      <c:pt idx="723">
                        <c:v>3.23</c:v>
                      </c:pt>
                      <c:pt idx="724">
                        <c:v>3.24</c:v>
                      </c:pt>
                      <c:pt idx="725">
                        <c:v>3.25</c:v>
                      </c:pt>
                      <c:pt idx="726">
                        <c:v>3.26</c:v>
                      </c:pt>
                      <c:pt idx="727">
                        <c:v>3.27</c:v>
                      </c:pt>
                      <c:pt idx="728">
                        <c:v>3.28</c:v>
                      </c:pt>
                      <c:pt idx="729">
                        <c:v>3.29</c:v>
                      </c:pt>
                      <c:pt idx="730">
                        <c:v>3.3</c:v>
                      </c:pt>
                      <c:pt idx="731">
                        <c:v>3.31</c:v>
                      </c:pt>
                      <c:pt idx="732">
                        <c:v>3.32</c:v>
                      </c:pt>
                      <c:pt idx="733">
                        <c:v>3.33</c:v>
                      </c:pt>
                      <c:pt idx="734">
                        <c:v>3.34</c:v>
                      </c:pt>
                      <c:pt idx="735">
                        <c:v>3.35</c:v>
                      </c:pt>
                      <c:pt idx="736">
                        <c:v>3.36</c:v>
                      </c:pt>
                      <c:pt idx="737">
                        <c:v>3.37</c:v>
                      </c:pt>
                      <c:pt idx="738">
                        <c:v>3.38</c:v>
                      </c:pt>
                      <c:pt idx="739">
                        <c:v>3.39</c:v>
                      </c:pt>
                      <c:pt idx="740">
                        <c:v>3.4</c:v>
                      </c:pt>
                      <c:pt idx="741">
                        <c:v>3.41</c:v>
                      </c:pt>
                      <c:pt idx="742">
                        <c:v>3.42</c:v>
                      </c:pt>
                      <c:pt idx="743">
                        <c:v>3.43</c:v>
                      </c:pt>
                      <c:pt idx="744">
                        <c:v>3.44</c:v>
                      </c:pt>
                      <c:pt idx="745">
                        <c:v>3.45</c:v>
                      </c:pt>
                      <c:pt idx="746">
                        <c:v>3.46</c:v>
                      </c:pt>
                      <c:pt idx="747">
                        <c:v>3.47</c:v>
                      </c:pt>
                      <c:pt idx="748">
                        <c:v>3.48</c:v>
                      </c:pt>
                      <c:pt idx="749">
                        <c:v>3.49</c:v>
                      </c:pt>
                      <c:pt idx="750">
                        <c:v>3.5</c:v>
                      </c:pt>
                      <c:pt idx="751">
                        <c:v>3.51</c:v>
                      </c:pt>
                      <c:pt idx="752">
                        <c:v>3.52</c:v>
                      </c:pt>
                      <c:pt idx="753">
                        <c:v>3.53</c:v>
                      </c:pt>
                      <c:pt idx="754">
                        <c:v>3.54</c:v>
                      </c:pt>
                      <c:pt idx="755">
                        <c:v>3.55</c:v>
                      </c:pt>
                      <c:pt idx="756">
                        <c:v>3.56</c:v>
                      </c:pt>
                      <c:pt idx="757">
                        <c:v>3.57</c:v>
                      </c:pt>
                      <c:pt idx="758">
                        <c:v>3.58</c:v>
                      </c:pt>
                      <c:pt idx="759">
                        <c:v>3.59</c:v>
                      </c:pt>
                      <c:pt idx="760">
                        <c:v>3.6</c:v>
                      </c:pt>
                      <c:pt idx="761">
                        <c:v>3.61</c:v>
                      </c:pt>
                      <c:pt idx="762">
                        <c:v>3.62</c:v>
                      </c:pt>
                      <c:pt idx="763">
                        <c:v>3.63</c:v>
                      </c:pt>
                      <c:pt idx="764">
                        <c:v>3.64</c:v>
                      </c:pt>
                      <c:pt idx="765">
                        <c:v>3.65</c:v>
                      </c:pt>
                      <c:pt idx="766">
                        <c:v>3.66</c:v>
                      </c:pt>
                      <c:pt idx="767">
                        <c:v>3.67</c:v>
                      </c:pt>
                      <c:pt idx="768">
                        <c:v>3.68</c:v>
                      </c:pt>
                      <c:pt idx="769">
                        <c:v>3.69</c:v>
                      </c:pt>
                      <c:pt idx="770">
                        <c:v>3.7</c:v>
                      </c:pt>
                      <c:pt idx="771">
                        <c:v>3.71</c:v>
                      </c:pt>
                      <c:pt idx="772">
                        <c:v>3.72</c:v>
                      </c:pt>
                      <c:pt idx="773">
                        <c:v>3.73</c:v>
                      </c:pt>
                      <c:pt idx="774">
                        <c:v>3.74</c:v>
                      </c:pt>
                      <c:pt idx="775">
                        <c:v>3.75</c:v>
                      </c:pt>
                      <c:pt idx="776">
                        <c:v>3.76</c:v>
                      </c:pt>
                      <c:pt idx="777">
                        <c:v>3.77</c:v>
                      </c:pt>
                      <c:pt idx="778">
                        <c:v>3.78</c:v>
                      </c:pt>
                      <c:pt idx="779">
                        <c:v>3.79</c:v>
                      </c:pt>
                      <c:pt idx="780">
                        <c:v>3.8</c:v>
                      </c:pt>
                      <c:pt idx="781">
                        <c:v>3.81</c:v>
                      </c:pt>
                      <c:pt idx="782">
                        <c:v>3.82</c:v>
                      </c:pt>
                      <c:pt idx="783">
                        <c:v>3.83</c:v>
                      </c:pt>
                      <c:pt idx="784">
                        <c:v>3.84</c:v>
                      </c:pt>
                      <c:pt idx="785">
                        <c:v>3.85</c:v>
                      </c:pt>
                      <c:pt idx="786">
                        <c:v>3.86</c:v>
                      </c:pt>
                      <c:pt idx="787">
                        <c:v>3.87</c:v>
                      </c:pt>
                      <c:pt idx="788">
                        <c:v>3.88</c:v>
                      </c:pt>
                      <c:pt idx="789">
                        <c:v>3.89</c:v>
                      </c:pt>
                      <c:pt idx="790">
                        <c:v>3.9</c:v>
                      </c:pt>
                      <c:pt idx="791">
                        <c:v>3.91</c:v>
                      </c:pt>
                      <c:pt idx="792">
                        <c:v>3.92</c:v>
                      </c:pt>
                      <c:pt idx="793">
                        <c:v>3.93</c:v>
                      </c:pt>
                      <c:pt idx="794">
                        <c:v>3.94</c:v>
                      </c:pt>
                      <c:pt idx="795">
                        <c:v>3.95</c:v>
                      </c:pt>
                      <c:pt idx="796">
                        <c:v>3.96</c:v>
                      </c:pt>
                      <c:pt idx="797">
                        <c:v>3.97</c:v>
                      </c:pt>
                      <c:pt idx="798">
                        <c:v>3.98</c:v>
                      </c:pt>
                      <c:pt idx="799">
                        <c:v>3.99</c:v>
                      </c:pt>
                      <c:pt idx="800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'Лист1 (6)'!$X$3:$X$803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5.8440944333451469E-2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#N/A</c:v>
                      </c:pt>
                      <c:pt idx="294">
                        <c:v>#N/A</c:v>
                      </c:pt>
                      <c:pt idx="295">
                        <c:v>#N/A</c:v>
                      </c:pt>
                      <c:pt idx="296">
                        <c:v>#N/A</c:v>
                      </c:pt>
                      <c:pt idx="297">
                        <c:v>#N/A</c:v>
                      </c:pt>
                      <c:pt idx="298">
                        <c:v>#N/A</c:v>
                      </c:pt>
                      <c:pt idx="299">
                        <c:v>#N/A</c:v>
                      </c:pt>
                      <c:pt idx="300">
                        <c:v>#N/A</c:v>
                      </c:pt>
                      <c:pt idx="301">
                        <c:v>#N/A</c:v>
                      </c:pt>
                      <c:pt idx="302">
                        <c:v>#N/A</c:v>
                      </c:pt>
                      <c:pt idx="303">
                        <c:v>#N/A</c:v>
                      </c:pt>
                      <c:pt idx="304">
                        <c:v>#N/A</c:v>
                      </c:pt>
                      <c:pt idx="305">
                        <c:v>#N/A</c:v>
                      </c:pt>
                      <c:pt idx="306">
                        <c:v>#N/A</c:v>
                      </c:pt>
                      <c:pt idx="307">
                        <c:v>#N/A</c:v>
                      </c:pt>
                      <c:pt idx="308">
                        <c:v>#N/A</c:v>
                      </c:pt>
                      <c:pt idx="309">
                        <c:v>#N/A</c:v>
                      </c:pt>
                      <c:pt idx="310">
                        <c:v>#N/A</c:v>
                      </c:pt>
                      <c:pt idx="311">
                        <c:v>#N/A</c:v>
                      </c:pt>
                      <c:pt idx="312">
                        <c:v>#N/A</c:v>
                      </c:pt>
                      <c:pt idx="313">
                        <c:v>#N/A</c:v>
                      </c:pt>
                      <c:pt idx="314">
                        <c:v>#N/A</c:v>
                      </c:pt>
                      <c:pt idx="315">
                        <c:v>#N/A</c:v>
                      </c:pt>
                      <c:pt idx="316">
                        <c:v>#N/A</c:v>
                      </c:pt>
                      <c:pt idx="317">
                        <c:v>#N/A</c:v>
                      </c:pt>
                      <c:pt idx="318">
                        <c:v>#N/A</c:v>
                      </c:pt>
                      <c:pt idx="319">
                        <c:v>#N/A</c:v>
                      </c:pt>
                      <c:pt idx="320">
                        <c:v>#N/A</c:v>
                      </c:pt>
                      <c:pt idx="321">
                        <c:v>#N/A</c:v>
                      </c:pt>
                      <c:pt idx="322">
                        <c:v>#N/A</c:v>
                      </c:pt>
                      <c:pt idx="323">
                        <c:v>#N/A</c:v>
                      </c:pt>
                      <c:pt idx="324">
                        <c:v>#N/A</c:v>
                      </c:pt>
                      <c:pt idx="325">
                        <c:v>#N/A</c:v>
                      </c:pt>
                      <c:pt idx="326">
                        <c:v>#N/A</c:v>
                      </c:pt>
                      <c:pt idx="327">
                        <c:v>#N/A</c:v>
                      </c:pt>
                      <c:pt idx="328">
                        <c:v>#N/A</c:v>
                      </c:pt>
                      <c:pt idx="329">
                        <c:v>#N/A</c:v>
                      </c:pt>
                      <c:pt idx="330">
                        <c:v>#N/A</c:v>
                      </c:pt>
                      <c:pt idx="331">
                        <c:v>#N/A</c:v>
                      </c:pt>
                      <c:pt idx="332">
                        <c:v>#N/A</c:v>
                      </c:pt>
                      <c:pt idx="333">
                        <c:v>#N/A</c:v>
                      </c:pt>
                      <c:pt idx="334">
                        <c:v>#N/A</c:v>
                      </c:pt>
                      <c:pt idx="335">
                        <c:v>#N/A</c:v>
                      </c:pt>
                      <c:pt idx="336">
                        <c:v>#N/A</c:v>
                      </c:pt>
                      <c:pt idx="337">
                        <c:v>#N/A</c:v>
                      </c:pt>
                      <c:pt idx="338">
                        <c:v>#N/A</c:v>
                      </c:pt>
                      <c:pt idx="339">
                        <c:v>#N/A</c:v>
                      </c:pt>
                      <c:pt idx="340">
                        <c:v>#N/A</c:v>
                      </c:pt>
                      <c:pt idx="341">
                        <c:v>#N/A</c:v>
                      </c:pt>
                      <c:pt idx="342">
                        <c:v>#N/A</c:v>
                      </c:pt>
                      <c:pt idx="343">
                        <c:v>#N/A</c:v>
                      </c:pt>
                      <c:pt idx="344">
                        <c:v>#N/A</c:v>
                      </c:pt>
                      <c:pt idx="345">
                        <c:v>#N/A</c:v>
                      </c:pt>
                      <c:pt idx="346">
                        <c:v>#N/A</c:v>
                      </c:pt>
                      <c:pt idx="347">
                        <c:v>#N/A</c:v>
                      </c:pt>
                      <c:pt idx="348">
                        <c:v>#N/A</c:v>
                      </c:pt>
                      <c:pt idx="349">
                        <c:v>#N/A</c:v>
                      </c:pt>
                      <c:pt idx="350">
                        <c:v>#N/A</c:v>
                      </c:pt>
                      <c:pt idx="351">
                        <c:v>#N/A</c:v>
                      </c:pt>
                      <c:pt idx="352">
                        <c:v>#N/A</c:v>
                      </c:pt>
                      <c:pt idx="353">
                        <c:v>#N/A</c:v>
                      </c:pt>
                      <c:pt idx="354">
                        <c:v>#N/A</c:v>
                      </c:pt>
                      <c:pt idx="355">
                        <c:v>#N/A</c:v>
                      </c:pt>
                      <c:pt idx="356">
                        <c:v>#N/A</c:v>
                      </c:pt>
                      <c:pt idx="357">
                        <c:v>#N/A</c:v>
                      </c:pt>
                      <c:pt idx="358">
                        <c:v>#N/A</c:v>
                      </c:pt>
                      <c:pt idx="359">
                        <c:v>#N/A</c:v>
                      </c:pt>
                      <c:pt idx="360">
                        <c:v>#N/A</c:v>
                      </c:pt>
                      <c:pt idx="361">
                        <c:v>#N/A</c:v>
                      </c:pt>
                      <c:pt idx="362">
                        <c:v>#N/A</c:v>
                      </c:pt>
                      <c:pt idx="363">
                        <c:v>#N/A</c:v>
                      </c:pt>
                      <c:pt idx="364">
                        <c:v>#N/A</c:v>
                      </c:pt>
                      <c:pt idx="365">
                        <c:v>#N/A</c:v>
                      </c:pt>
                      <c:pt idx="366">
                        <c:v>#N/A</c:v>
                      </c:pt>
                      <c:pt idx="367">
                        <c:v>#N/A</c:v>
                      </c:pt>
                      <c:pt idx="368">
                        <c:v>#N/A</c:v>
                      </c:pt>
                      <c:pt idx="369">
                        <c:v>#N/A</c:v>
                      </c:pt>
                      <c:pt idx="370">
                        <c:v>#N/A</c:v>
                      </c:pt>
                      <c:pt idx="371">
                        <c:v>#N/A</c:v>
                      </c:pt>
                      <c:pt idx="372">
                        <c:v>#N/A</c:v>
                      </c:pt>
                      <c:pt idx="373">
                        <c:v>#N/A</c:v>
                      </c:pt>
                      <c:pt idx="374">
                        <c:v>#N/A</c:v>
                      </c:pt>
                      <c:pt idx="375">
                        <c:v>#N/A</c:v>
                      </c:pt>
                      <c:pt idx="376">
                        <c:v>#N/A</c:v>
                      </c:pt>
                      <c:pt idx="377">
                        <c:v>#N/A</c:v>
                      </c:pt>
                      <c:pt idx="378">
                        <c:v>#N/A</c:v>
                      </c:pt>
                      <c:pt idx="379">
                        <c:v>#N/A</c:v>
                      </c:pt>
                      <c:pt idx="380">
                        <c:v>#N/A</c:v>
                      </c:pt>
                      <c:pt idx="381">
                        <c:v>#N/A</c:v>
                      </c:pt>
                      <c:pt idx="382">
                        <c:v>#N/A</c:v>
                      </c:pt>
                      <c:pt idx="383">
                        <c:v>#N/A</c:v>
                      </c:pt>
                      <c:pt idx="384">
                        <c:v>#N/A</c:v>
                      </c:pt>
                      <c:pt idx="385">
                        <c:v>#N/A</c:v>
                      </c:pt>
                      <c:pt idx="386">
                        <c:v>#N/A</c:v>
                      </c:pt>
                      <c:pt idx="387">
                        <c:v>#N/A</c:v>
                      </c:pt>
                      <c:pt idx="388">
                        <c:v>#N/A</c:v>
                      </c:pt>
                      <c:pt idx="389">
                        <c:v>#N/A</c:v>
                      </c:pt>
                      <c:pt idx="390">
                        <c:v>#N/A</c:v>
                      </c:pt>
                      <c:pt idx="391">
                        <c:v>#N/A</c:v>
                      </c:pt>
                      <c:pt idx="392">
                        <c:v>#N/A</c:v>
                      </c:pt>
                      <c:pt idx="393">
                        <c:v>#N/A</c:v>
                      </c:pt>
                      <c:pt idx="394">
                        <c:v>#N/A</c:v>
                      </c:pt>
                      <c:pt idx="395">
                        <c:v>#N/A</c:v>
                      </c:pt>
                      <c:pt idx="396">
                        <c:v>#N/A</c:v>
                      </c:pt>
                      <c:pt idx="397">
                        <c:v>#N/A</c:v>
                      </c:pt>
                      <c:pt idx="398">
                        <c:v>#N/A</c:v>
                      </c:pt>
                      <c:pt idx="399">
                        <c:v>#N/A</c:v>
                      </c:pt>
                      <c:pt idx="400">
                        <c:v>#N/A</c:v>
                      </c:pt>
                      <c:pt idx="401">
                        <c:v>#N/A</c:v>
                      </c:pt>
                      <c:pt idx="402">
                        <c:v>#N/A</c:v>
                      </c:pt>
                      <c:pt idx="403">
                        <c:v>#N/A</c:v>
                      </c:pt>
                      <c:pt idx="404">
                        <c:v>#N/A</c:v>
                      </c:pt>
                      <c:pt idx="405">
                        <c:v>#N/A</c:v>
                      </c:pt>
                      <c:pt idx="406">
                        <c:v>#N/A</c:v>
                      </c:pt>
                      <c:pt idx="407">
                        <c:v>#N/A</c:v>
                      </c:pt>
                      <c:pt idx="408">
                        <c:v>#N/A</c:v>
                      </c:pt>
                      <c:pt idx="409">
                        <c:v>#N/A</c:v>
                      </c:pt>
                      <c:pt idx="410">
                        <c:v>#N/A</c:v>
                      </c:pt>
                      <c:pt idx="411">
                        <c:v>#N/A</c:v>
                      </c:pt>
                      <c:pt idx="412">
                        <c:v>#N/A</c:v>
                      </c:pt>
                      <c:pt idx="413">
                        <c:v>#N/A</c:v>
                      </c:pt>
                      <c:pt idx="414">
                        <c:v>#N/A</c:v>
                      </c:pt>
                      <c:pt idx="415">
                        <c:v>#N/A</c:v>
                      </c:pt>
                      <c:pt idx="416">
                        <c:v>#N/A</c:v>
                      </c:pt>
                      <c:pt idx="417">
                        <c:v>#N/A</c:v>
                      </c:pt>
                      <c:pt idx="418">
                        <c:v>#N/A</c:v>
                      </c:pt>
                      <c:pt idx="419">
                        <c:v>#N/A</c:v>
                      </c:pt>
                      <c:pt idx="420">
                        <c:v>#N/A</c:v>
                      </c:pt>
                      <c:pt idx="421">
                        <c:v>#N/A</c:v>
                      </c:pt>
                      <c:pt idx="422">
                        <c:v>#N/A</c:v>
                      </c:pt>
                      <c:pt idx="423">
                        <c:v>#N/A</c:v>
                      </c:pt>
                      <c:pt idx="424">
                        <c:v>#N/A</c:v>
                      </c:pt>
                      <c:pt idx="425">
                        <c:v>#N/A</c:v>
                      </c:pt>
                      <c:pt idx="426">
                        <c:v>#N/A</c:v>
                      </c:pt>
                      <c:pt idx="427">
                        <c:v>#N/A</c:v>
                      </c:pt>
                      <c:pt idx="428">
                        <c:v>#N/A</c:v>
                      </c:pt>
                      <c:pt idx="429">
                        <c:v>#N/A</c:v>
                      </c:pt>
                      <c:pt idx="430">
                        <c:v>#N/A</c:v>
                      </c:pt>
                      <c:pt idx="431">
                        <c:v>#N/A</c:v>
                      </c:pt>
                      <c:pt idx="432">
                        <c:v>#N/A</c:v>
                      </c:pt>
                      <c:pt idx="433">
                        <c:v>#N/A</c:v>
                      </c:pt>
                      <c:pt idx="434">
                        <c:v>#N/A</c:v>
                      </c:pt>
                      <c:pt idx="435">
                        <c:v>#N/A</c:v>
                      </c:pt>
                      <c:pt idx="436">
                        <c:v>#N/A</c:v>
                      </c:pt>
                      <c:pt idx="437">
                        <c:v>#N/A</c:v>
                      </c:pt>
                      <c:pt idx="438">
                        <c:v>#N/A</c:v>
                      </c:pt>
                      <c:pt idx="439">
                        <c:v>#N/A</c:v>
                      </c:pt>
                      <c:pt idx="440">
                        <c:v>#N/A</c:v>
                      </c:pt>
                      <c:pt idx="441">
                        <c:v>#N/A</c:v>
                      </c:pt>
                      <c:pt idx="442">
                        <c:v>#N/A</c:v>
                      </c:pt>
                      <c:pt idx="443">
                        <c:v>#N/A</c:v>
                      </c:pt>
                      <c:pt idx="444">
                        <c:v>#N/A</c:v>
                      </c:pt>
                      <c:pt idx="445">
                        <c:v>#N/A</c:v>
                      </c:pt>
                      <c:pt idx="446">
                        <c:v>#N/A</c:v>
                      </c:pt>
                      <c:pt idx="447">
                        <c:v>#N/A</c:v>
                      </c:pt>
                      <c:pt idx="448">
                        <c:v>#N/A</c:v>
                      </c:pt>
                      <c:pt idx="449">
                        <c:v>#N/A</c:v>
                      </c:pt>
                      <c:pt idx="450">
                        <c:v>#N/A</c:v>
                      </c:pt>
                      <c:pt idx="451">
                        <c:v>#N/A</c:v>
                      </c:pt>
                      <c:pt idx="452">
                        <c:v>#N/A</c:v>
                      </c:pt>
                      <c:pt idx="453">
                        <c:v>#N/A</c:v>
                      </c:pt>
                      <c:pt idx="454">
                        <c:v>#N/A</c:v>
                      </c:pt>
                      <c:pt idx="455">
                        <c:v>#N/A</c:v>
                      </c:pt>
                      <c:pt idx="456">
                        <c:v>#N/A</c:v>
                      </c:pt>
                      <c:pt idx="457">
                        <c:v>#N/A</c:v>
                      </c:pt>
                      <c:pt idx="458">
                        <c:v>#N/A</c:v>
                      </c:pt>
                      <c:pt idx="459">
                        <c:v>#N/A</c:v>
                      </c:pt>
                      <c:pt idx="460">
                        <c:v>#N/A</c:v>
                      </c:pt>
                      <c:pt idx="461">
                        <c:v>#N/A</c:v>
                      </c:pt>
                      <c:pt idx="462">
                        <c:v>#N/A</c:v>
                      </c:pt>
                      <c:pt idx="463">
                        <c:v>#N/A</c:v>
                      </c:pt>
                      <c:pt idx="464">
                        <c:v>#N/A</c:v>
                      </c:pt>
                      <c:pt idx="465">
                        <c:v>#N/A</c:v>
                      </c:pt>
                      <c:pt idx="466">
                        <c:v>#N/A</c:v>
                      </c:pt>
                      <c:pt idx="467">
                        <c:v>#N/A</c:v>
                      </c:pt>
                      <c:pt idx="468">
                        <c:v>#N/A</c:v>
                      </c:pt>
                      <c:pt idx="469">
                        <c:v>#N/A</c:v>
                      </c:pt>
                      <c:pt idx="470">
                        <c:v>#N/A</c:v>
                      </c:pt>
                      <c:pt idx="471">
                        <c:v>#N/A</c:v>
                      </c:pt>
                      <c:pt idx="472">
                        <c:v>#N/A</c:v>
                      </c:pt>
                      <c:pt idx="473">
                        <c:v>#N/A</c:v>
                      </c:pt>
                      <c:pt idx="474">
                        <c:v>#N/A</c:v>
                      </c:pt>
                      <c:pt idx="475">
                        <c:v>#N/A</c:v>
                      </c:pt>
                      <c:pt idx="476">
                        <c:v>#N/A</c:v>
                      </c:pt>
                      <c:pt idx="477">
                        <c:v>#N/A</c:v>
                      </c:pt>
                      <c:pt idx="478">
                        <c:v>#N/A</c:v>
                      </c:pt>
                      <c:pt idx="479">
                        <c:v>#N/A</c:v>
                      </c:pt>
                      <c:pt idx="480">
                        <c:v>#N/A</c:v>
                      </c:pt>
                      <c:pt idx="481">
                        <c:v>#N/A</c:v>
                      </c:pt>
                      <c:pt idx="482">
                        <c:v>#N/A</c:v>
                      </c:pt>
                      <c:pt idx="483">
                        <c:v>#N/A</c:v>
                      </c:pt>
                      <c:pt idx="484">
                        <c:v>#N/A</c:v>
                      </c:pt>
                      <c:pt idx="485">
                        <c:v>#N/A</c:v>
                      </c:pt>
                      <c:pt idx="486">
                        <c:v>#N/A</c:v>
                      </c:pt>
                      <c:pt idx="487">
                        <c:v>#N/A</c:v>
                      </c:pt>
                      <c:pt idx="488">
                        <c:v>#N/A</c:v>
                      </c:pt>
                      <c:pt idx="489">
                        <c:v>#N/A</c:v>
                      </c:pt>
                      <c:pt idx="490">
                        <c:v>#N/A</c:v>
                      </c:pt>
                      <c:pt idx="491">
                        <c:v>#N/A</c:v>
                      </c:pt>
                      <c:pt idx="492">
                        <c:v>#N/A</c:v>
                      </c:pt>
                      <c:pt idx="493">
                        <c:v>#N/A</c:v>
                      </c:pt>
                      <c:pt idx="494">
                        <c:v>#N/A</c:v>
                      </c:pt>
                      <c:pt idx="495">
                        <c:v>#N/A</c:v>
                      </c:pt>
                      <c:pt idx="496">
                        <c:v>#N/A</c:v>
                      </c:pt>
                      <c:pt idx="497">
                        <c:v>#N/A</c:v>
                      </c:pt>
                      <c:pt idx="498">
                        <c:v>#N/A</c:v>
                      </c:pt>
                      <c:pt idx="499">
                        <c:v>#N/A</c:v>
                      </c:pt>
                      <c:pt idx="500">
                        <c:v>#N/A</c:v>
                      </c:pt>
                      <c:pt idx="501">
                        <c:v>#N/A</c:v>
                      </c:pt>
                      <c:pt idx="502">
                        <c:v>#N/A</c:v>
                      </c:pt>
                      <c:pt idx="503">
                        <c:v>#N/A</c:v>
                      </c:pt>
                      <c:pt idx="504">
                        <c:v>#N/A</c:v>
                      </c:pt>
                      <c:pt idx="505">
                        <c:v>#N/A</c:v>
                      </c:pt>
                      <c:pt idx="506">
                        <c:v>#N/A</c:v>
                      </c:pt>
                      <c:pt idx="507">
                        <c:v>#N/A</c:v>
                      </c:pt>
                      <c:pt idx="508">
                        <c:v>#N/A</c:v>
                      </c:pt>
                      <c:pt idx="509">
                        <c:v>#N/A</c:v>
                      </c:pt>
                      <c:pt idx="510">
                        <c:v>#N/A</c:v>
                      </c:pt>
                      <c:pt idx="511">
                        <c:v>#N/A</c:v>
                      </c:pt>
                      <c:pt idx="512">
                        <c:v>#N/A</c:v>
                      </c:pt>
                      <c:pt idx="513">
                        <c:v>#N/A</c:v>
                      </c:pt>
                      <c:pt idx="514">
                        <c:v>#N/A</c:v>
                      </c:pt>
                      <c:pt idx="515">
                        <c:v>#N/A</c:v>
                      </c:pt>
                      <c:pt idx="516">
                        <c:v>#N/A</c:v>
                      </c:pt>
                      <c:pt idx="517">
                        <c:v>#N/A</c:v>
                      </c:pt>
                      <c:pt idx="518">
                        <c:v>#N/A</c:v>
                      </c:pt>
                      <c:pt idx="519">
                        <c:v>#N/A</c:v>
                      </c:pt>
                      <c:pt idx="520">
                        <c:v>#N/A</c:v>
                      </c:pt>
                      <c:pt idx="521">
                        <c:v>#N/A</c:v>
                      </c:pt>
                      <c:pt idx="522">
                        <c:v>#N/A</c:v>
                      </c:pt>
                      <c:pt idx="523">
                        <c:v>#N/A</c:v>
                      </c:pt>
                      <c:pt idx="524">
                        <c:v>#N/A</c:v>
                      </c:pt>
                      <c:pt idx="525">
                        <c:v>#N/A</c:v>
                      </c:pt>
                      <c:pt idx="526">
                        <c:v>#N/A</c:v>
                      </c:pt>
                      <c:pt idx="527">
                        <c:v>#N/A</c:v>
                      </c:pt>
                      <c:pt idx="528">
                        <c:v>#N/A</c:v>
                      </c:pt>
                      <c:pt idx="529">
                        <c:v>#N/A</c:v>
                      </c:pt>
                      <c:pt idx="530">
                        <c:v>#N/A</c:v>
                      </c:pt>
                      <c:pt idx="531">
                        <c:v>#N/A</c:v>
                      </c:pt>
                      <c:pt idx="532">
                        <c:v>#N/A</c:v>
                      </c:pt>
                      <c:pt idx="533">
                        <c:v>#N/A</c:v>
                      </c:pt>
                      <c:pt idx="534">
                        <c:v>#N/A</c:v>
                      </c:pt>
                      <c:pt idx="535">
                        <c:v>#N/A</c:v>
                      </c:pt>
                      <c:pt idx="536">
                        <c:v>#N/A</c:v>
                      </c:pt>
                      <c:pt idx="537">
                        <c:v>#N/A</c:v>
                      </c:pt>
                      <c:pt idx="538">
                        <c:v>#N/A</c:v>
                      </c:pt>
                      <c:pt idx="539">
                        <c:v>#N/A</c:v>
                      </c:pt>
                      <c:pt idx="540">
                        <c:v>#N/A</c:v>
                      </c:pt>
                      <c:pt idx="541">
                        <c:v>#N/A</c:v>
                      </c:pt>
                      <c:pt idx="542">
                        <c:v>#N/A</c:v>
                      </c:pt>
                      <c:pt idx="543">
                        <c:v>#N/A</c:v>
                      </c:pt>
                      <c:pt idx="544">
                        <c:v>#N/A</c:v>
                      </c:pt>
                      <c:pt idx="545">
                        <c:v>#N/A</c:v>
                      </c:pt>
                      <c:pt idx="546">
                        <c:v>#N/A</c:v>
                      </c:pt>
                      <c:pt idx="547">
                        <c:v>#N/A</c:v>
                      </c:pt>
                      <c:pt idx="548">
                        <c:v>#N/A</c:v>
                      </c:pt>
                      <c:pt idx="549">
                        <c:v>#N/A</c:v>
                      </c:pt>
                      <c:pt idx="550">
                        <c:v>#N/A</c:v>
                      </c:pt>
                      <c:pt idx="551">
                        <c:v>#N/A</c:v>
                      </c:pt>
                      <c:pt idx="552">
                        <c:v>#N/A</c:v>
                      </c:pt>
                      <c:pt idx="553">
                        <c:v>#N/A</c:v>
                      </c:pt>
                      <c:pt idx="554">
                        <c:v>#N/A</c:v>
                      </c:pt>
                      <c:pt idx="555">
                        <c:v>#N/A</c:v>
                      </c:pt>
                      <c:pt idx="556">
                        <c:v>#N/A</c:v>
                      </c:pt>
                      <c:pt idx="557">
                        <c:v>#N/A</c:v>
                      </c:pt>
                      <c:pt idx="558">
                        <c:v>#N/A</c:v>
                      </c:pt>
                      <c:pt idx="559">
                        <c:v>#N/A</c:v>
                      </c:pt>
                      <c:pt idx="560">
                        <c:v>#N/A</c:v>
                      </c:pt>
                      <c:pt idx="561">
                        <c:v>#N/A</c:v>
                      </c:pt>
                      <c:pt idx="562">
                        <c:v>#N/A</c:v>
                      </c:pt>
                      <c:pt idx="563">
                        <c:v>#N/A</c:v>
                      </c:pt>
                      <c:pt idx="564">
                        <c:v>#N/A</c:v>
                      </c:pt>
                      <c:pt idx="565">
                        <c:v>#N/A</c:v>
                      </c:pt>
                      <c:pt idx="566">
                        <c:v>#N/A</c:v>
                      </c:pt>
                      <c:pt idx="567">
                        <c:v>#N/A</c:v>
                      </c:pt>
                      <c:pt idx="568">
                        <c:v>#N/A</c:v>
                      </c:pt>
                      <c:pt idx="569">
                        <c:v>#N/A</c:v>
                      </c:pt>
                      <c:pt idx="570">
                        <c:v>#N/A</c:v>
                      </c:pt>
                      <c:pt idx="571">
                        <c:v>#N/A</c:v>
                      </c:pt>
                      <c:pt idx="572">
                        <c:v>#N/A</c:v>
                      </c:pt>
                      <c:pt idx="573">
                        <c:v>#N/A</c:v>
                      </c:pt>
                      <c:pt idx="574">
                        <c:v>#N/A</c:v>
                      </c:pt>
                      <c:pt idx="575">
                        <c:v>#N/A</c:v>
                      </c:pt>
                      <c:pt idx="576">
                        <c:v>#N/A</c:v>
                      </c:pt>
                      <c:pt idx="577">
                        <c:v>#N/A</c:v>
                      </c:pt>
                      <c:pt idx="578">
                        <c:v>#N/A</c:v>
                      </c:pt>
                      <c:pt idx="579">
                        <c:v>#N/A</c:v>
                      </c:pt>
                      <c:pt idx="580">
                        <c:v>#N/A</c:v>
                      </c:pt>
                      <c:pt idx="581">
                        <c:v>#N/A</c:v>
                      </c:pt>
                      <c:pt idx="582">
                        <c:v>#N/A</c:v>
                      </c:pt>
                      <c:pt idx="583">
                        <c:v>#N/A</c:v>
                      </c:pt>
                      <c:pt idx="584">
                        <c:v>#N/A</c:v>
                      </c:pt>
                      <c:pt idx="585">
                        <c:v>#N/A</c:v>
                      </c:pt>
                      <c:pt idx="586">
                        <c:v>#N/A</c:v>
                      </c:pt>
                      <c:pt idx="587">
                        <c:v>#N/A</c:v>
                      </c:pt>
                      <c:pt idx="588">
                        <c:v>#N/A</c:v>
                      </c:pt>
                      <c:pt idx="589">
                        <c:v>#N/A</c:v>
                      </c:pt>
                      <c:pt idx="590">
                        <c:v>#N/A</c:v>
                      </c:pt>
                      <c:pt idx="591">
                        <c:v>#N/A</c:v>
                      </c:pt>
                      <c:pt idx="592">
                        <c:v>#N/A</c:v>
                      </c:pt>
                      <c:pt idx="593">
                        <c:v>#N/A</c:v>
                      </c:pt>
                      <c:pt idx="594">
                        <c:v>#N/A</c:v>
                      </c:pt>
                      <c:pt idx="595">
                        <c:v>#N/A</c:v>
                      </c:pt>
                      <c:pt idx="596">
                        <c:v>5.8440944333451469E-2</c:v>
                      </c:pt>
                      <c:pt idx="597">
                        <c:v>#N/A</c:v>
                      </c:pt>
                      <c:pt idx="598">
                        <c:v>#N/A</c:v>
                      </c:pt>
                      <c:pt idx="599">
                        <c:v>#N/A</c:v>
                      </c:pt>
                      <c:pt idx="600">
                        <c:v>#N/A</c:v>
                      </c:pt>
                      <c:pt idx="601">
                        <c:v>#N/A</c:v>
                      </c:pt>
                      <c:pt idx="602">
                        <c:v>#N/A</c:v>
                      </c:pt>
                      <c:pt idx="603">
                        <c:v>#N/A</c:v>
                      </c:pt>
                      <c:pt idx="604">
                        <c:v>#N/A</c:v>
                      </c:pt>
                      <c:pt idx="605">
                        <c:v>#N/A</c:v>
                      </c:pt>
                      <c:pt idx="606">
                        <c:v>#N/A</c:v>
                      </c:pt>
                      <c:pt idx="607">
                        <c:v>#N/A</c:v>
                      </c:pt>
                      <c:pt idx="608">
                        <c:v>#N/A</c:v>
                      </c:pt>
                      <c:pt idx="609">
                        <c:v>#N/A</c:v>
                      </c:pt>
                      <c:pt idx="610">
                        <c:v>#N/A</c:v>
                      </c:pt>
                      <c:pt idx="611">
                        <c:v>#N/A</c:v>
                      </c:pt>
                      <c:pt idx="612">
                        <c:v>#N/A</c:v>
                      </c:pt>
                      <c:pt idx="613">
                        <c:v>#N/A</c:v>
                      </c:pt>
                      <c:pt idx="614">
                        <c:v>#N/A</c:v>
                      </c:pt>
                      <c:pt idx="615">
                        <c:v>#N/A</c:v>
                      </c:pt>
                      <c:pt idx="616">
                        <c:v>#N/A</c:v>
                      </c:pt>
                      <c:pt idx="617">
                        <c:v>#N/A</c:v>
                      </c:pt>
                      <c:pt idx="618">
                        <c:v>#N/A</c:v>
                      </c:pt>
                      <c:pt idx="619">
                        <c:v>#N/A</c:v>
                      </c:pt>
                      <c:pt idx="620">
                        <c:v>#N/A</c:v>
                      </c:pt>
                      <c:pt idx="621">
                        <c:v>#N/A</c:v>
                      </c:pt>
                      <c:pt idx="622">
                        <c:v>#N/A</c:v>
                      </c:pt>
                      <c:pt idx="623">
                        <c:v>#N/A</c:v>
                      </c:pt>
                      <c:pt idx="624">
                        <c:v>#N/A</c:v>
                      </c:pt>
                      <c:pt idx="625">
                        <c:v>#N/A</c:v>
                      </c:pt>
                      <c:pt idx="626">
                        <c:v>#N/A</c:v>
                      </c:pt>
                      <c:pt idx="627">
                        <c:v>#N/A</c:v>
                      </c:pt>
                      <c:pt idx="628">
                        <c:v>#N/A</c:v>
                      </c:pt>
                      <c:pt idx="629">
                        <c:v>#N/A</c:v>
                      </c:pt>
                      <c:pt idx="630">
                        <c:v>#N/A</c:v>
                      </c:pt>
                      <c:pt idx="631">
                        <c:v>#N/A</c:v>
                      </c:pt>
                      <c:pt idx="632">
                        <c:v>#N/A</c:v>
                      </c:pt>
                      <c:pt idx="633">
                        <c:v>#N/A</c:v>
                      </c:pt>
                      <c:pt idx="634">
                        <c:v>#N/A</c:v>
                      </c:pt>
                      <c:pt idx="635">
                        <c:v>#N/A</c:v>
                      </c:pt>
                      <c:pt idx="636">
                        <c:v>#N/A</c:v>
                      </c:pt>
                      <c:pt idx="637">
                        <c:v>#N/A</c:v>
                      </c:pt>
                      <c:pt idx="638">
                        <c:v>#N/A</c:v>
                      </c:pt>
                      <c:pt idx="639">
                        <c:v>#N/A</c:v>
                      </c:pt>
                      <c:pt idx="640">
                        <c:v>#N/A</c:v>
                      </c:pt>
                      <c:pt idx="641">
                        <c:v>#N/A</c:v>
                      </c:pt>
                      <c:pt idx="642">
                        <c:v>#N/A</c:v>
                      </c:pt>
                      <c:pt idx="643">
                        <c:v>#N/A</c:v>
                      </c:pt>
                      <c:pt idx="644">
                        <c:v>#N/A</c:v>
                      </c:pt>
                      <c:pt idx="645">
                        <c:v>#N/A</c:v>
                      </c:pt>
                      <c:pt idx="646">
                        <c:v>#N/A</c:v>
                      </c:pt>
                      <c:pt idx="647">
                        <c:v>#N/A</c:v>
                      </c:pt>
                      <c:pt idx="648">
                        <c:v>#N/A</c:v>
                      </c:pt>
                      <c:pt idx="649">
                        <c:v>#N/A</c:v>
                      </c:pt>
                      <c:pt idx="650">
                        <c:v>#N/A</c:v>
                      </c:pt>
                      <c:pt idx="651">
                        <c:v>#N/A</c:v>
                      </c:pt>
                      <c:pt idx="652">
                        <c:v>#N/A</c:v>
                      </c:pt>
                      <c:pt idx="653">
                        <c:v>#N/A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  <c:pt idx="699">
                        <c:v>#N/A</c:v>
                      </c:pt>
                      <c:pt idx="700">
                        <c:v>#N/A</c:v>
                      </c:pt>
                      <c:pt idx="701">
                        <c:v>#N/A</c:v>
                      </c:pt>
                      <c:pt idx="702">
                        <c:v>#N/A</c:v>
                      </c:pt>
                      <c:pt idx="703">
                        <c:v>#N/A</c:v>
                      </c:pt>
                      <c:pt idx="704">
                        <c:v>#N/A</c:v>
                      </c:pt>
                      <c:pt idx="705">
                        <c:v>#N/A</c:v>
                      </c:pt>
                      <c:pt idx="706">
                        <c:v>#N/A</c:v>
                      </c:pt>
                      <c:pt idx="707">
                        <c:v>#N/A</c:v>
                      </c:pt>
                      <c:pt idx="708">
                        <c:v>#N/A</c:v>
                      </c:pt>
                      <c:pt idx="709">
                        <c:v>#N/A</c:v>
                      </c:pt>
                      <c:pt idx="710">
                        <c:v>#N/A</c:v>
                      </c:pt>
                      <c:pt idx="711">
                        <c:v>#N/A</c:v>
                      </c:pt>
                      <c:pt idx="712">
                        <c:v>#N/A</c:v>
                      </c:pt>
                      <c:pt idx="713">
                        <c:v>#N/A</c:v>
                      </c:pt>
                      <c:pt idx="714">
                        <c:v>#N/A</c:v>
                      </c:pt>
                      <c:pt idx="715">
                        <c:v>#N/A</c:v>
                      </c:pt>
                      <c:pt idx="716">
                        <c:v>#N/A</c:v>
                      </c:pt>
                      <c:pt idx="717">
                        <c:v>#N/A</c:v>
                      </c:pt>
                      <c:pt idx="718">
                        <c:v>#N/A</c:v>
                      </c:pt>
                      <c:pt idx="719">
                        <c:v>#N/A</c:v>
                      </c:pt>
                      <c:pt idx="720">
                        <c:v>#N/A</c:v>
                      </c:pt>
                      <c:pt idx="721">
                        <c:v>#N/A</c:v>
                      </c:pt>
                      <c:pt idx="722">
                        <c:v>#N/A</c:v>
                      </c:pt>
                      <c:pt idx="723">
                        <c:v>#N/A</c:v>
                      </c:pt>
                      <c:pt idx="724">
                        <c:v>#N/A</c:v>
                      </c:pt>
                      <c:pt idx="725">
                        <c:v>#N/A</c:v>
                      </c:pt>
                      <c:pt idx="726">
                        <c:v>#N/A</c:v>
                      </c:pt>
                      <c:pt idx="727">
                        <c:v>#N/A</c:v>
                      </c:pt>
                      <c:pt idx="728">
                        <c:v>#N/A</c:v>
                      </c:pt>
                      <c:pt idx="729">
                        <c:v>#N/A</c:v>
                      </c:pt>
                      <c:pt idx="730">
                        <c:v>#N/A</c:v>
                      </c:pt>
                      <c:pt idx="731">
                        <c:v>#N/A</c:v>
                      </c:pt>
                      <c:pt idx="732">
                        <c:v>#N/A</c:v>
                      </c:pt>
                      <c:pt idx="733">
                        <c:v>#N/A</c:v>
                      </c:pt>
                      <c:pt idx="734">
                        <c:v>#N/A</c:v>
                      </c:pt>
                      <c:pt idx="735">
                        <c:v>#N/A</c:v>
                      </c:pt>
                      <c:pt idx="736">
                        <c:v>#N/A</c:v>
                      </c:pt>
                      <c:pt idx="737">
                        <c:v>#N/A</c:v>
                      </c:pt>
                      <c:pt idx="738">
                        <c:v>#N/A</c:v>
                      </c:pt>
                      <c:pt idx="739">
                        <c:v>#N/A</c:v>
                      </c:pt>
                      <c:pt idx="740">
                        <c:v>#N/A</c:v>
                      </c:pt>
                      <c:pt idx="741">
                        <c:v>#N/A</c:v>
                      </c:pt>
                      <c:pt idx="742">
                        <c:v>#N/A</c:v>
                      </c:pt>
                      <c:pt idx="743">
                        <c:v>#N/A</c:v>
                      </c:pt>
                      <c:pt idx="744">
                        <c:v>#N/A</c:v>
                      </c:pt>
                      <c:pt idx="745">
                        <c:v>#N/A</c:v>
                      </c:pt>
                      <c:pt idx="746">
                        <c:v>#N/A</c:v>
                      </c:pt>
                      <c:pt idx="747">
                        <c:v>#N/A</c:v>
                      </c:pt>
                      <c:pt idx="748">
                        <c:v>#N/A</c:v>
                      </c:pt>
                      <c:pt idx="749">
                        <c:v>#N/A</c:v>
                      </c:pt>
                      <c:pt idx="750">
                        <c:v>#N/A</c:v>
                      </c:pt>
                      <c:pt idx="751">
                        <c:v>#N/A</c:v>
                      </c:pt>
                      <c:pt idx="752">
                        <c:v>#N/A</c:v>
                      </c:pt>
                      <c:pt idx="753">
                        <c:v>#N/A</c:v>
                      </c:pt>
                      <c:pt idx="754">
                        <c:v>#N/A</c:v>
                      </c:pt>
                      <c:pt idx="755">
                        <c:v>#N/A</c:v>
                      </c:pt>
                      <c:pt idx="756">
                        <c:v>#N/A</c:v>
                      </c:pt>
                      <c:pt idx="757">
                        <c:v>#N/A</c:v>
                      </c:pt>
                      <c:pt idx="758">
                        <c:v>#N/A</c:v>
                      </c:pt>
                      <c:pt idx="759">
                        <c:v>#N/A</c:v>
                      </c:pt>
                      <c:pt idx="760">
                        <c:v>#N/A</c:v>
                      </c:pt>
                      <c:pt idx="761">
                        <c:v>#N/A</c:v>
                      </c:pt>
                      <c:pt idx="762">
                        <c:v>#N/A</c:v>
                      </c:pt>
                      <c:pt idx="763">
                        <c:v>#N/A</c:v>
                      </c:pt>
                      <c:pt idx="764">
                        <c:v>#N/A</c:v>
                      </c:pt>
                      <c:pt idx="765">
                        <c:v>#N/A</c:v>
                      </c:pt>
                      <c:pt idx="766">
                        <c:v>#N/A</c:v>
                      </c:pt>
                      <c:pt idx="767">
                        <c:v>#N/A</c:v>
                      </c:pt>
                      <c:pt idx="768">
                        <c:v>#N/A</c:v>
                      </c:pt>
                      <c:pt idx="769">
                        <c:v>#N/A</c:v>
                      </c:pt>
                      <c:pt idx="770">
                        <c:v>#N/A</c:v>
                      </c:pt>
                      <c:pt idx="771">
                        <c:v>#N/A</c:v>
                      </c:pt>
                      <c:pt idx="772">
                        <c:v>#N/A</c:v>
                      </c:pt>
                      <c:pt idx="773">
                        <c:v>#N/A</c:v>
                      </c:pt>
                      <c:pt idx="774">
                        <c:v>#N/A</c:v>
                      </c:pt>
                      <c:pt idx="775">
                        <c:v>#N/A</c:v>
                      </c:pt>
                      <c:pt idx="776">
                        <c:v>#N/A</c:v>
                      </c:pt>
                      <c:pt idx="777">
                        <c:v>#N/A</c:v>
                      </c:pt>
                      <c:pt idx="778">
                        <c:v>#N/A</c:v>
                      </c:pt>
                      <c:pt idx="779">
                        <c:v>#N/A</c:v>
                      </c:pt>
                      <c:pt idx="780">
                        <c:v>#N/A</c:v>
                      </c:pt>
                      <c:pt idx="781">
                        <c:v>#N/A</c:v>
                      </c:pt>
                      <c:pt idx="782">
                        <c:v>#N/A</c:v>
                      </c:pt>
                      <c:pt idx="783">
                        <c:v>#N/A</c:v>
                      </c:pt>
                      <c:pt idx="784">
                        <c:v>#N/A</c:v>
                      </c:pt>
                      <c:pt idx="785">
                        <c:v>#N/A</c:v>
                      </c:pt>
                      <c:pt idx="786">
                        <c:v>#N/A</c:v>
                      </c:pt>
                      <c:pt idx="787">
                        <c:v>#N/A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  <c:pt idx="799">
                        <c:v>#N/A</c:v>
                      </c:pt>
                      <c:pt idx="800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7C4-4F05-B6C1-8F57D23A4AB0}"/>
                  </c:ext>
                </c:extLst>
              </c15:ser>
            </c15:filteredLineSeries>
          </c:ext>
        </c:extLst>
      </c:lineChart>
      <c:catAx>
        <c:axId val="65805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2944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658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1"/>
          <c:tx>
            <c:v>Площадь</c:v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cat>
            <c:numRef>
              <c:f>'Лист1 (2)'!$T$3:$T$803</c:f>
              <c:numCache>
                <c:formatCode>General</c:formatCode>
                <c:ptCount val="801"/>
              </c:numCache>
            </c:numRef>
          </c:cat>
          <c:val>
            <c:numRef>
              <c:f>'Лист1 (2)'!$W$3:$W$803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59-41BC-9AEE-6B3EC64BA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51960"/>
        <c:axId val="658052944"/>
        <c:extLst/>
      </c:areaChart>
      <c:lineChart>
        <c:grouping val="standard"/>
        <c:varyColors val="0"/>
        <c:ser>
          <c:idx val="0"/>
          <c:order val="0"/>
          <c:tx>
            <c:strRef>
              <c:f>'Лист1 (2)'!$V$2</c:f>
              <c:strCache>
                <c:ptCount val="1"/>
                <c:pt idx="0">
                  <c:v>График плотности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'Лист1 (2)'!$U$3:$U$803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(2)'!$V$3:$V$803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5.7303788919117131E-2</c:v>
                </c:pt>
                <c:pt idx="598">
                  <c:v>5.6183141903868049E-2</c:v>
                </c:pt>
                <c:pt idx="599">
                  <c:v>5.5078902372125767E-2</c:v>
                </c:pt>
                <c:pt idx="600">
                  <c:v>5.3990966513188063E-2</c:v>
                </c:pt>
                <c:pt idx="601">
                  <c:v>5.2919227719240312E-2</c:v>
                </c:pt>
                <c:pt idx="602">
                  <c:v>5.1863576682820565E-2</c:v>
                </c:pt>
                <c:pt idx="603">
                  <c:v>5.0823901493691204E-2</c:v>
                </c:pt>
                <c:pt idx="604">
                  <c:v>4.9800087735070775E-2</c:v>
                </c:pt>
                <c:pt idx="605">
                  <c:v>4.8792018579182764E-2</c:v>
                </c:pt>
                <c:pt idx="606">
                  <c:v>4.7799574882077034E-2</c:v>
                </c:pt>
                <c:pt idx="607">
                  <c:v>4.6822635277683163E-2</c:v>
                </c:pt>
                <c:pt idx="608">
                  <c:v>4.5861076271054887E-2</c:v>
                </c:pt>
                <c:pt idx="609">
                  <c:v>4.49147723307671E-2</c:v>
                </c:pt>
                <c:pt idx="610">
                  <c:v>4.3983595980427191E-2</c:v>
                </c:pt>
                <c:pt idx="611">
                  <c:v>4.3067417889265734E-2</c:v>
                </c:pt>
                <c:pt idx="612">
                  <c:v>4.2166106961770311E-2</c:v>
                </c:pt>
                <c:pt idx="613">
                  <c:v>4.1279530426330417E-2</c:v>
                </c:pt>
                <c:pt idx="614">
                  <c:v>4.0407553922860308E-2</c:v>
                </c:pt>
                <c:pt idx="615">
                  <c:v>3.955004158937022E-2</c:v>
                </c:pt>
                <c:pt idx="616">
                  <c:v>3.8706856147455608E-2</c:v>
                </c:pt>
                <c:pt idx="617">
                  <c:v>3.7877858986677483E-2</c:v>
                </c:pt>
                <c:pt idx="618">
                  <c:v>3.7062910247806474E-2</c:v>
                </c:pt>
                <c:pt idx="619">
                  <c:v>3.6261868904906222E-2</c:v>
                </c:pt>
                <c:pt idx="620">
                  <c:v>3.5474592846231424E-2</c:v>
                </c:pt>
                <c:pt idx="621">
                  <c:v>3.470093895391882E-2</c:v>
                </c:pt>
                <c:pt idx="622">
                  <c:v>3.3940763182449186E-2</c:v>
                </c:pt>
                <c:pt idx="623">
                  <c:v>3.3193920635861122E-2</c:v>
                </c:pt>
                <c:pt idx="624">
                  <c:v>3.2460265643697445E-2</c:v>
                </c:pt>
                <c:pt idx="625">
                  <c:v>3.1739651835667418E-2</c:v>
                </c:pt>
                <c:pt idx="626">
                  <c:v>3.103193221500827E-2</c:v>
                </c:pt>
                <c:pt idx="627">
                  <c:v>3.0336959230531636E-2</c:v>
                </c:pt>
                <c:pt idx="628">
                  <c:v>2.9654584847341278E-2</c:v>
                </c:pt>
                <c:pt idx="629">
                  <c:v>2.8984660616209412E-2</c:v>
                </c:pt>
                <c:pt idx="630">
                  <c:v>2.8327037741601186E-2</c:v>
                </c:pt>
                <c:pt idx="631">
                  <c:v>2.7681567148336573E-2</c:v>
                </c:pt>
                <c:pt idx="632">
                  <c:v>2.7048099546881785E-2</c:v>
                </c:pt>
                <c:pt idx="633">
                  <c:v>2.6426485497261721E-2</c:v>
                </c:pt>
                <c:pt idx="634">
                  <c:v>2.581657547158769E-2</c:v>
                </c:pt>
                <c:pt idx="635">
                  <c:v>2.5218219915194382E-2</c:v>
                </c:pt>
                <c:pt idx="636">
                  <c:v>2.4631269306382507E-2</c:v>
                </c:pt>
                <c:pt idx="637">
                  <c:v>2.4055574214762971E-2</c:v>
                </c:pt>
                <c:pt idx="638">
                  <c:v>2.3490985358201363E-2</c:v>
                </c:pt>
                <c:pt idx="639">
                  <c:v>2.2937353658360693E-2</c:v>
                </c:pt>
                <c:pt idx="640">
                  <c:v>2.2394530294842899E-2</c:v>
                </c:pt>
                <c:pt idx="641">
                  <c:v>2.1862366757929387E-2</c:v>
                </c:pt>
                <c:pt idx="642">
                  <c:v>2.1340714899922782E-2</c:v>
                </c:pt>
                <c:pt idx="643">
                  <c:v>2.0829426985092186E-2</c:v>
                </c:pt>
                <c:pt idx="644">
                  <c:v>2.0328355738225837E-2</c:v>
                </c:pt>
                <c:pt idx="645">
                  <c:v>1.9837354391795313E-2</c:v>
                </c:pt>
                <c:pt idx="646">
                  <c:v>1.9356276731736961E-2</c:v>
                </c:pt>
                <c:pt idx="647">
                  <c:v>1.8884977141856163E-2</c:v>
                </c:pt>
                <c:pt idx="648">
                  <c:v>1.8423310646862048E-2</c:v>
                </c:pt>
                <c:pt idx="649">
                  <c:v>1.7971132954039633E-2</c:v>
                </c:pt>
                <c:pt idx="650">
                  <c:v>1.752830049356854E-2</c:v>
                </c:pt>
                <c:pt idx="651">
                  <c:v>1.7094670457496956E-2</c:v>
                </c:pt>
                <c:pt idx="652">
                  <c:v>1.6670100837381057E-2</c:v>
                </c:pt>
                <c:pt idx="653">
                  <c:v>1.6254450460600506E-2</c:v>
                </c:pt>
                <c:pt idx="654">
                  <c:v>1.5847579025360818E-2</c:v>
                </c:pt>
                <c:pt idx="655">
                  <c:v>1.5449347134395174E-2</c:v>
                </c:pt>
                <c:pt idx="656">
                  <c:v>1.5059616327377449E-2</c:v>
                </c:pt>
                <c:pt idx="657">
                  <c:v>1.4678249112060044E-2</c:v>
                </c:pt>
                <c:pt idx="658">
                  <c:v>1.430510899414969E-2</c:v>
                </c:pt>
                <c:pt idx="659">
                  <c:v>1.3940060505935825E-2</c:v>
                </c:pt>
                <c:pt idx="660">
                  <c:v>1.3582969233685613E-2</c:v>
                </c:pt>
                <c:pt idx="661">
                  <c:v>1.3233701843821374E-2</c:v>
                </c:pt>
                <c:pt idx="662">
                  <c:v>1.2892126107895304E-2</c:v>
                </c:pt>
                <c:pt idx="663">
                  <c:v>1.2558110926378211E-2</c:v>
                </c:pt>
                <c:pt idx="664">
                  <c:v>1.2231526351277971E-2</c:v>
                </c:pt>
                <c:pt idx="665">
                  <c:v>1.1912243607605179E-2</c:v>
                </c:pt>
                <c:pt idx="666">
                  <c:v>1.1600135113702561E-2</c:v>
                </c:pt>
                <c:pt idx="667">
                  <c:v>1.1295074500456135E-2</c:v>
                </c:pt>
                <c:pt idx="668">
                  <c:v>1.0996936629405572E-2</c:v>
                </c:pt>
                <c:pt idx="669">
                  <c:v>1.0705597609772187E-2</c:v>
                </c:pt>
                <c:pt idx="670">
                  <c:v>1.0420934814422592E-2</c:v>
                </c:pt>
                <c:pt idx="671">
                  <c:v>1.0142826894787077E-2</c:v>
                </c:pt>
                <c:pt idx="672">
                  <c:v>9.8711537947511301E-3</c:v>
                </c:pt>
                <c:pt idx="673">
                  <c:v>9.6057967635395872E-3</c:v>
                </c:pt>
                <c:pt idx="674">
                  <c:v>9.3466383676122835E-3</c:v>
                </c:pt>
                <c:pt idx="675">
                  <c:v>9.0935625015910529E-3</c:v>
                </c:pt>
                <c:pt idx="676">
                  <c:v>8.8464543982372315E-3</c:v>
                </c:pt>
                <c:pt idx="677">
                  <c:v>8.6052006374996715E-3</c:v>
                </c:pt>
                <c:pt idx="678">
                  <c:v>8.369689154653033E-3</c:v>
                </c:pt>
                <c:pt idx="679">
                  <c:v>8.1398092475460215E-3</c:v>
                </c:pt>
                <c:pt idx="680">
                  <c:v>7.9154515829799686E-3</c:v>
                </c:pt>
                <c:pt idx="681">
                  <c:v>7.6965082022373218E-3</c:v>
                </c:pt>
                <c:pt idx="682">
                  <c:v>7.4828725257805638E-3</c:v>
                </c:pt>
                <c:pt idx="683">
                  <c:v>7.2744393571412182E-3</c:v>
                </c:pt>
                <c:pt idx="684">
                  <c:v>7.0711048860194487E-3</c:v>
                </c:pt>
                <c:pt idx="685">
                  <c:v>6.8727666906139712E-3</c:v>
                </c:pt>
                <c:pt idx="686">
                  <c:v>6.6793237392026202E-3</c:v>
                </c:pt>
                <c:pt idx="687">
                  <c:v>6.4906763909933643E-3</c:v>
                </c:pt>
                <c:pt idx="688">
                  <c:v>6.3067263962659275E-3</c:v>
                </c:pt>
                <c:pt idx="689">
                  <c:v>6.1273768958236873E-3</c:v>
                </c:pt>
                <c:pt idx="690">
                  <c:v>5.9525324197758538E-3</c:v>
                </c:pt>
                <c:pt idx="691">
                  <c:v>5.7820988856694729E-3</c:v>
                </c:pt>
                <c:pt idx="692">
                  <c:v>5.615983595990969E-3</c:v>
                </c:pt>
                <c:pt idx="693">
                  <c:v>5.4540952350565454E-3</c:v>
                </c:pt>
                <c:pt idx="694">
                  <c:v>5.2963438653110201E-3</c:v>
                </c:pt>
                <c:pt idx="695">
                  <c:v>5.1426409230539392E-3</c:v>
                </c:pt>
                <c:pt idx="696">
                  <c:v>4.9928992136123763E-3</c:v>
                </c:pt>
                <c:pt idx="697">
                  <c:v>4.847032905978944E-3</c:v>
                </c:pt>
                <c:pt idx="698">
                  <c:v>4.7049575269339792E-3</c:v>
                </c:pt>
                <c:pt idx="699">
                  <c:v>4.5665899546701444E-3</c:v>
                </c:pt>
                <c:pt idx="700">
                  <c:v>4.4318484119380075E-3</c:v>
                </c:pt>
                <c:pt idx="701">
                  <c:v>4.3006524587304498E-3</c:v>
                </c:pt>
                <c:pt idx="702">
                  <c:v>4.1729229845239623E-3</c:v>
                </c:pt>
                <c:pt idx="703">
                  <c:v>4.04858220009443E-3</c:v>
                </c:pt>
                <c:pt idx="704">
                  <c:v>3.9275536289247789E-3</c:v>
                </c:pt>
                <c:pt idx="705">
                  <c:v>3.8097620982218104E-3</c:v>
                </c:pt>
                <c:pt idx="706">
                  <c:v>3.6951337295590349E-3</c:v>
                </c:pt>
                <c:pt idx="707">
                  <c:v>3.5835959291623614E-3</c:v>
                </c:pt>
                <c:pt idx="708">
                  <c:v>3.4750773778549375E-3</c:v>
                </c:pt>
                <c:pt idx="709">
                  <c:v>3.3695080206774812E-3</c:v>
                </c:pt>
                <c:pt idx="710">
                  <c:v>3.2668190561999182E-3</c:v>
                </c:pt>
                <c:pt idx="711">
                  <c:v>3.1669429255400811E-3</c:v>
                </c:pt>
                <c:pt idx="712">
                  <c:v>3.0698133011047403E-3</c:v>
                </c:pt>
                <c:pt idx="713">
                  <c:v>2.9753650750682535E-3</c:v>
                </c:pt>
                <c:pt idx="714">
                  <c:v>2.8835343476034392E-3</c:v>
                </c:pt>
                <c:pt idx="715">
                  <c:v>2.7942584148794472E-3</c:v>
                </c:pt>
                <c:pt idx="716">
                  <c:v>2.7074757568406999E-3</c:v>
                </c:pt>
                <c:pt idx="717">
                  <c:v>2.6231260247810244E-3</c:v>
                </c:pt>
                <c:pt idx="718">
                  <c:v>2.5411500287265214E-3</c:v>
                </c:pt>
                <c:pt idx="719">
                  <c:v>2.4614897246407006E-3</c:v>
                </c:pt>
                <c:pt idx="720">
                  <c:v>2.3840882014648404E-3</c:v>
                </c:pt>
                <c:pt idx="721">
                  <c:v>2.3088896680064958E-3</c:v>
                </c:pt>
                <c:pt idx="722">
                  <c:v>2.2358394396885385E-3</c:v>
                </c:pt>
                <c:pt idx="723">
                  <c:v>2.164883925171062E-3</c:v>
                </c:pt>
                <c:pt idx="724">
                  <c:v>2.0959706128579419E-3</c:v>
                </c:pt>
                <c:pt idx="725">
                  <c:v>2.0290480572997681E-3</c:v>
                </c:pt>
                <c:pt idx="726">
                  <c:v>1.9640658655043761E-3</c:v>
                </c:pt>
                <c:pt idx="727">
                  <c:v>1.9009746831660803E-3</c:v>
                </c:pt>
                <c:pt idx="728">
                  <c:v>1.839726180824281E-3</c:v>
                </c:pt>
                <c:pt idx="729">
                  <c:v>1.7802730399618786E-3</c:v>
                </c:pt>
                <c:pt idx="730">
                  <c:v>1.7225689390536812E-3</c:v>
                </c:pt>
                <c:pt idx="731">
                  <c:v>1.6665685395745797E-3</c:v>
                </c:pt>
                <c:pt idx="732">
                  <c:v>1.6122274719771244E-3</c:v>
                </c:pt>
                <c:pt idx="733">
                  <c:v>1.5595023216476915E-3</c:v>
                </c:pt>
                <c:pt idx="734">
                  <c:v>1.5083506148503073E-3</c:v>
                </c:pt>
                <c:pt idx="735">
                  <c:v>1.4587308046667459E-3</c:v>
                </c:pt>
                <c:pt idx="736">
                  <c:v>1.4106022569413848E-3</c:v>
                </c:pt>
                <c:pt idx="737">
                  <c:v>1.3639252362389036E-3</c:v>
                </c:pt>
                <c:pt idx="738">
                  <c:v>1.3186608918227423E-3</c:v>
                </c:pt>
                <c:pt idx="739">
                  <c:v>1.2747712436618327E-3</c:v>
                </c:pt>
                <c:pt idx="740">
                  <c:v>1.2322191684730199E-3</c:v>
                </c:pt>
                <c:pt idx="741">
                  <c:v>1.1909683858061166E-3</c:v>
                </c:pt>
                <c:pt idx="742">
                  <c:v>1.1509834441784845E-3</c:v>
                </c:pt>
                <c:pt idx="743">
                  <c:v>1.1122297072655649E-3</c:v>
                </c:pt>
                <c:pt idx="744">
                  <c:v>1.0746733401537356E-3</c:v>
                </c:pt>
                <c:pt idx="745">
                  <c:v>1.0382812956614103E-3</c:v>
                </c:pt>
                <c:pt idx="746">
                  <c:v>1.0030213007342376E-3</c:v>
                </c:pt>
                <c:pt idx="747">
                  <c:v>9.6886184291984591E-4</c:v>
                </c:pt>
                <c:pt idx="748">
                  <c:v>9.3577215692747977E-4</c:v>
                </c:pt>
                <c:pt idx="749">
                  <c:v>9.0372221127752448E-4</c:v>
                </c:pt>
                <c:pt idx="750">
                  <c:v>8.7268269504576015E-4</c:v>
                </c:pt>
                <c:pt idx="751">
                  <c:v>8.4262500470690268E-4</c:v>
                </c:pt>
                <c:pt idx="752">
                  <c:v>8.1352123108180841E-4</c:v>
                </c:pt>
                <c:pt idx="753">
                  <c:v>7.8534414639246997E-4</c:v>
                </c:pt>
                <c:pt idx="754">
                  <c:v>7.580671914287103E-4</c:v>
                </c:pt>
                <c:pt idx="755">
                  <c:v>7.3166446283031089E-4</c:v>
                </c:pt>
                <c:pt idx="756">
                  <c:v>7.061107004880362E-4</c:v>
                </c:pt>
                <c:pt idx="757">
                  <c:v>6.8138127506689212E-4</c:v>
                </c:pt>
                <c:pt idx="758">
                  <c:v>6.5745217565467645E-4</c:v>
                </c:pt>
                <c:pt idx="759">
                  <c:v>6.342999975387576E-4</c:v>
                </c:pt>
                <c:pt idx="760">
                  <c:v>6.119019301137719E-4</c:v>
                </c:pt>
                <c:pt idx="761">
                  <c:v>5.9023574492278561E-4</c:v>
                </c:pt>
                <c:pt idx="762">
                  <c:v>5.6927978383425261E-4</c:v>
                </c:pt>
                <c:pt idx="763">
                  <c:v>5.490129473569587E-4</c:v>
                </c:pt>
                <c:pt idx="764">
                  <c:v>5.2941468309493475E-4</c:v>
                </c:pt>
                <c:pt idx="765">
                  <c:v>5.104649743441856E-4</c:v>
                </c:pt>
                <c:pt idx="766">
                  <c:v>4.9214432883289312E-4</c:v>
                </c:pt>
                <c:pt idx="767">
                  <c:v>4.7443376760662064E-4</c:v>
                </c:pt>
                <c:pt idx="768">
                  <c:v>4.5731481405985675E-4</c:v>
                </c:pt>
                <c:pt idx="769">
                  <c:v>4.4076948311513252E-4</c:v>
                </c:pt>
                <c:pt idx="770">
                  <c:v>4.2478027055075143E-4</c:v>
                </c:pt>
                <c:pt idx="771">
                  <c:v>4.0933014247807883E-4</c:v>
                </c:pt>
                <c:pt idx="772">
                  <c:v>3.9440252496915622E-4</c:v>
                </c:pt>
                <c:pt idx="773">
                  <c:v>3.7998129383532141E-4</c:v>
                </c:pt>
                <c:pt idx="774">
                  <c:v>3.6605076455733496E-4</c:v>
                </c:pt>
                <c:pt idx="775">
                  <c:v>3.5259568236744541E-4</c:v>
                </c:pt>
                <c:pt idx="776">
                  <c:v>3.3960121248365478E-4</c:v>
                </c:pt>
                <c:pt idx="777">
                  <c:v>3.2705293049637498E-4</c:v>
                </c:pt>
                <c:pt idx="778">
                  <c:v>3.1493681290752188E-4</c:v>
                </c:pt>
                <c:pt idx="779">
                  <c:v>3.0323922782200417E-4</c:v>
                </c:pt>
                <c:pt idx="780">
                  <c:v>2.9194692579146027E-4</c:v>
                </c:pt>
                <c:pt idx="781">
                  <c:v>2.8104703080998632E-4</c:v>
                </c:pt>
                <c:pt idx="782">
                  <c:v>2.70527031461521E-4</c:v>
                </c:pt>
                <c:pt idx="783">
                  <c:v>2.6037477221844247E-4</c:v>
                </c:pt>
                <c:pt idx="784">
                  <c:v>2.5057844489086075E-4</c:v>
                </c:pt>
                <c:pt idx="785">
                  <c:v>2.4112658022599324E-4</c:v>
                </c:pt>
                <c:pt idx="786">
                  <c:v>2.3200803965694238E-4</c:v>
                </c:pt>
                <c:pt idx="787">
                  <c:v>2.2321200720010206E-4</c:v>
                </c:pt>
                <c:pt idx="788">
                  <c:v>2.1472798150036704E-4</c:v>
                </c:pt>
                <c:pt idx="789">
                  <c:v>2.0654576802322548E-4</c:v>
                </c:pt>
                <c:pt idx="790">
                  <c:v>1.9865547139277272E-4</c:v>
                </c:pt>
                <c:pt idx="791">
                  <c:v>1.9104748787459762E-4</c:v>
                </c:pt>
                <c:pt idx="792">
                  <c:v>1.8371249800245711E-4</c:v>
                </c:pt>
                <c:pt idx="793">
                  <c:v>1.7664145934757092E-4</c:v>
                </c:pt>
                <c:pt idx="794">
                  <c:v>1.6982559942934359E-4</c:v>
                </c:pt>
                <c:pt idx="795">
                  <c:v>1.6325640876624199E-4</c:v>
                </c:pt>
                <c:pt idx="796">
                  <c:v>1.5692563406553226E-4</c:v>
                </c:pt>
                <c:pt idx="797">
                  <c:v>1.508252715505178E-4</c:v>
                </c:pt>
                <c:pt idx="798">
                  <c:v>1.4494756042389106E-4</c:v>
                </c:pt>
                <c:pt idx="799">
                  <c:v>1.3928497646575994E-4</c:v>
                </c:pt>
                <c:pt idx="800">
                  <c:v>1.3383022576488537E-4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59-41BC-9AEE-6B3EC64BA473}"/>
            </c:ext>
          </c:extLst>
        </c:ser>
        <c:ser>
          <c:idx val="1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val>
            <c:numRef>
              <c:f>'Лист1 (2)'!$T$3:$T$803</c:f>
              <c:numCache>
                <c:formatCode>General</c:formatCode>
                <c:ptCount val="80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59-41BC-9AEE-6B3EC64BA473}"/>
            </c:ext>
          </c:extLst>
        </c:ser>
        <c:ser>
          <c:idx val="2"/>
          <c:order val="3"/>
          <c:tx>
            <c:strRef>
              <c:f>'Лист1 (2)'!$Y$2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(2)'!$Y$403</c:f>
                <c:numCache>
                  <c:formatCode>General</c:formatCode>
                  <c:ptCount val="1"/>
                  <c:pt idx="0">
                    <c:v>0.3989422804014327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</c:errBars>
          <c:val>
            <c:numRef>
              <c:f>'Лист1 (2)'!$Y$3:$Y$803</c:f>
              <c:numCache>
                <c:formatCode>General</c:formatCode>
                <c:ptCount val="801"/>
                <c:pt idx="400">
                  <c:v>0.3989422804014327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3-4D40-8C21-11BAE2E99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051960"/>
        <c:axId val="658052944"/>
        <c:extLst/>
      </c:lineChart>
      <c:catAx>
        <c:axId val="658051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2944"/>
        <c:crosses val="autoZero"/>
        <c:auto val="1"/>
        <c:lblAlgn val="ctr"/>
        <c:lblOffset val="1"/>
        <c:tickLblSkip val="100"/>
        <c:tickMarkSkip val="1"/>
        <c:noMultiLvlLbl val="0"/>
      </c:catAx>
      <c:valAx>
        <c:axId val="658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1"/>
          <c:tx>
            <c:v>Площадь</c:v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cat>
            <c:numRef>
              <c:f>'Лист1 (5)'!$T$3:$T$803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0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0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</c:numRef>
          </c:cat>
          <c:val>
            <c:numRef>
              <c:f>'Лист1 (5)'!$W$3:$W$803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B-45DD-ABCD-58445DB6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51960"/>
        <c:axId val="658052944"/>
        <c:extLst/>
      </c:areaChart>
      <c:lineChart>
        <c:grouping val="standard"/>
        <c:varyColors val="0"/>
        <c:ser>
          <c:idx val="0"/>
          <c:order val="0"/>
          <c:tx>
            <c:strRef>
              <c:f>'Лист1 (5)'!$V$2</c:f>
              <c:strCache>
                <c:ptCount val="1"/>
                <c:pt idx="0">
                  <c:v>График плотности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'Лист1 (5)'!$U$3:$U$803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(5)'!$V$3:$V$803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5.7303788919117131E-2</c:v>
                </c:pt>
                <c:pt idx="598">
                  <c:v>5.6183141903868049E-2</c:v>
                </c:pt>
                <c:pt idx="599">
                  <c:v>5.5078902372125767E-2</c:v>
                </c:pt>
                <c:pt idx="600">
                  <c:v>5.3990966513188063E-2</c:v>
                </c:pt>
                <c:pt idx="601">
                  <c:v>5.2919227719240312E-2</c:v>
                </c:pt>
                <c:pt idx="602">
                  <c:v>5.1863576682820565E-2</c:v>
                </c:pt>
                <c:pt idx="603">
                  <c:v>5.0823901493691204E-2</c:v>
                </c:pt>
                <c:pt idx="604">
                  <c:v>4.9800087735070775E-2</c:v>
                </c:pt>
                <c:pt idx="605">
                  <c:v>4.8792018579182764E-2</c:v>
                </c:pt>
                <c:pt idx="606">
                  <c:v>4.7799574882077034E-2</c:v>
                </c:pt>
                <c:pt idx="607">
                  <c:v>4.6822635277683163E-2</c:v>
                </c:pt>
                <c:pt idx="608">
                  <c:v>4.5861076271054887E-2</c:v>
                </c:pt>
                <c:pt idx="609">
                  <c:v>4.49147723307671E-2</c:v>
                </c:pt>
                <c:pt idx="610">
                  <c:v>4.3983595980427191E-2</c:v>
                </c:pt>
                <c:pt idx="611">
                  <c:v>4.3067417889265734E-2</c:v>
                </c:pt>
                <c:pt idx="612">
                  <c:v>4.2166106961770311E-2</c:v>
                </c:pt>
                <c:pt idx="613">
                  <c:v>4.1279530426330417E-2</c:v>
                </c:pt>
                <c:pt idx="614">
                  <c:v>4.0407553922860308E-2</c:v>
                </c:pt>
                <c:pt idx="615">
                  <c:v>3.955004158937022E-2</c:v>
                </c:pt>
                <c:pt idx="616">
                  <c:v>3.8706856147455608E-2</c:v>
                </c:pt>
                <c:pt idx="617">
                  <c:v>3.7877858986677483E-2</c:v>
                </c:pt>
                <c:pt idx="618">
                  <c:v>3.7062910247806474E-2</c:v>
                </c:pt>
                <c:pt idx="619">
                  <c:v>3.6261868904906222E-2</c:v>
                </c:pt>
                <c:pt idx="620">
                  <c:v>3.5474592846231424E-2</c:v>
                </c:pt>
                <c:pt idx="621">
                  <c:v>3.470093895391882E-2</c:v>
                </c:pt>
                <c:pt idx="622">
                  <c:v>3.3940763182449186E-2</c:v>
                </c:pt>
                <c:pt idx="623">
                  <c:v>3.3193920635861122E-2</c:v>
                </c:pt>
                <c:pt idx="624">
                  <c:v>3.2460265643697445E-2</c:v>
                </c:pt>
                <c:pt idx="625">
                  <c:v>3.1739651835667418E-2</c:v>
                </c:pt>
                <c:pt idx="626">
                  <c:v>3.103193221500827E-2</c:v>
                </c:pt>
                <c:pt idx="627">
                  <c:v>3.0336959230531636E-2</c:v>
                </c:pt>
                <c:pt idx="628">
                  <c:v>2.9654584847341278E-2</c:v>
                </c:pt>
                <c:pt idx="629">
                  <c:v>2.8984660616209412E-2</c:v>
                </c:pt>
                <c:pt idx="630">
                  <c:v>2.8327037741601186E-2</c:v>
                </c:pt>
                <c:pt idx="631">
                  <c:v>2.7681567148336573E-2</c:v>
                </c:pt>
                <c:pt idx="632">
                  <c:v>2.7048099546881785E-2</c:v>
                </c:pt>
                <c:pt idx="633">
                  <c:v>2.6426485497261721E-2</c:v>
                </c:pt>
                <c:pt idx="634">
                  <c:v>2.581657547158769E-2</c:v>
                </c:pt>
                <c:pt idx="635">
                  <c:v>2.5218219915194382E-2</c:v>
                </c:pt>
                <c:pt idx="636">
                  <c:v>2.4631269306382507E-2</c:v>
                </c:pt>
                <c:pt idx="637">
                  <c:v>2.4055574214762971E-2</c:v>
                </c:pt>
                <c:pt idx="638">
                  <c:v>2.3490985358201363E-2</c:v>
                </c:pt>
                <c:pt idx="639">
                  <c:v>2.2937353658360693E-2</c:v>
                </c:pt>
                <c:pt idx="640">
                  <c:v>2.2394530294842899E-2</c:v>
                </c:pt>
                <c:pt idx="641">
                  <c:v>2.1862366757929387E-2</c:v>
                </c:pt>
                <c:pt idx="642">
                  <c:v>2.1340714899922782E-2</c:v>
                </c:pt>
                <c:pt idx="643">
                  <c:v>2.0829426985092186E-2</c:v>
                </c:pt>
                <c:pt idx="644">
                  <c:v>2.0328355738225837E-2</c:v>
                </c:pt>
                <c:pt idx="645">
                  <c:v>1.9837354391795313E-2</c:v>
                </c:pt>
                <c:pt idx="646">
                  <c:v>1.9356276731736961E-2</c:v>
                </c:pt>
                <c:pt idx="647">
                  <c:v>1.8884977141856163E-2</c:v>
                </c:pt>
                <c:pt idx="648">
                  <c:v>1.8423310646862048E-2</c:v>
                </c:pt>
                <c:pt idx="649">
                  <c:v>1.7971132954039633E-2</c:v>
                </c:pt>
                <c:pt idx="650">
                  <c:v>1.752830049356854E-2</c:v>
                </c:pt>
                <c:pt idx="651">
                  <c:v>1.7094670457496956E-2</c:v>
                </c:pt>
                <c:pt idx="652">
                  <c:v>1.6670100837381057E-2</c:v>
                </c:pt>
                <c:pt idx="653">
                  <c:v>1.6254450460600506E-2</c:v>
                </c:pt>
                <c:pt idx="654">
                  <c:v>1.5847579025360818E-2</c:v>
                </c:pt>
                <c:pt idx="655">
                  <c:v>1.5449347134395174E-2</c:v>
                </c:pt>
                <c:pt idx="656">
                  <c:v>1.5059616327377449E-2</c:v>
                </c:pt>
                <c:pt idx="657">
                  <c:v>1.4678249112060044E-2</c:v>
                </c:pt>
                <c:pt idx="658">
                  <c:v>1.430510899414969E-2</c:v>
                </c:pt>
                <c:pt idx="659">
                  <c:v>1.3940060505935825E-2</c:v>
                </c:pt>
                <c:pt idx="660">
                  <c:v>1.3582969233685613E-2</c:v>
                </c:pt>
                <c:pt idx="661">
                  <c:v>1.3233701843821374E-2</c:v>
                </c:pt>
                <c:pt idx="662">
                  <c:v>1.2892126107895304E-2</c:v>
                </c:pt>
                <c:pt idx="663">
                  <c:v>1.2558110926378211E-2</c:v>
                </c:pt>
                <c:pt idx="664">
                  <c:v>1.2231526351277971E-2</c:v>
                </c:pt>
                <c:pt idx="665">
                  <c:v>1.1912243607605179E-2</c:v>
                </c:pt>
                <c:pt idx="666">
                  <c:v>1.1600135113702561E-2</c:v>
                </c:pt>
                <c:pt idx="667">
                  <c:v>1.1295074500456135E-2</c:v>
                </c:pt>
                <c:pt idx="668">
                  <c:v>1.0996936629405572E-2</c:v>
                </c:pt>
                <c:pt idx="669">
                  <c:v>1.0705597609772187E-2</c:v>
                </c:pt>
                <c:pt idx="670">
                  <c:v>1.0420934814422592E-2</c:v>
                </c:pt>
                <c:pt idx="671">
                  <c:v>1.0142826894787077E-2</c:v>
                </c:pt>
                <c:pt idx="672">
                  <c:v>9.8711537947511301E-3</c:v>
                </c:pt>
                <c:pt idx="673">
                  <c:v>9.6057967635395872E-3</c:v>
                </c:pt>
                <c:pt idx="674">
                  <c:v>9.3466383676122835E-3</c:v>
                </c:pt>
                <c:pt idx="675">
                  <c:v>9.0935625015910529E-3</c:v>
                </c:pt>
                <c:pt idx="676">
                  <c:v>8.8464543982372315E-3</c:v>
                </c:pt>
                <c:pt idx="677">
                  <c:v>8.6052006374996715E-3</c:v>
                </c:pt>
                <c:pt idx="678">
                  <c:v>8.369689154653033E-3</c:v>
                </c:pt>
                <c:pt idx="679">
                  <c:v>8.1398092475460215E-3</c:v>
                </c:pt>
                <c:pt idx="680">
                  <c:v>7.9154515829799686E-3</c:v>
                </c:pt>
                <c:pt idx="681">
                  <c:v>7.6965082022373218E-3</c:v>
                </c:pt>
                <c:pt idx="682">
                  <c:v>7.4828725257805638E-3</c:v>
                </c:pt>
                <c:pt idx="683">
                  <c:v>7.2744393571412182E-3</c:v>
                </c:pt>
                <c:pt idx="684">
                  <c:v>7.0711048860194487E-3</c:v>
                </c:pt>
                <c:pt idx="685">
                  <c:v>6.8727666906139712E-3</c:v>
                </c:pt>
                <c:pt idx="686">
                  <c:v>6.6793237392026202E-3</c:v>
                </c:pt>
                <c:pt idx="687">
                  <c:v>6.4906763909933643E-3</c:v>
                </c:pt>
                <c:pt idx="688">
                  <c:v>6.3067263962659275E-3</c:v>
                </c:pt>
                <c:pt idx="689">
                  <c:v>6.1273768958236873E-3</c:v>
                </c:pt>
                <c:pt idx="690">
                  <c:v>5.9525324197758538E-3</c:v>
                </c:pt>
                <c:pt idx="691">
                  <c:v>5.7820988856694729E-3</c:v>
                </c:pt>
                <c:pt idx="692">
                  <c:v>5.615983595990969E-3</c:v>
                </c:pt>
                <c:pt idx="693">
                  <c:v>5.4540952350565454E-3</c:v>
                </c:pt>
                <c:pt idx="694">
                  <c:v>5.2963438653110201E-3</c:v>
                </c:pt>
                <c:pt idx="695">
                  <c:v>5.1426409230539392E-3</c:v>
                </c:pt>
                <c:pt idx="696">
                  <c:v>4.9928992136123763E-3</c:v>
                </c:pt>
                <c:pt idx="697">
                  <c:v>4.847032905978944E-3</c:v>
                </c:pt>
                <c:pt idx="698">
                  <c:v>4.7049575269339792E-3</c:v>
                </c:pt>
                <c:pt idx="699">
                  <c:v>4.5665899546701444E-3</c:v>
                </c:pt>
                <c:pt idx="700">
                  <c:v>4.4318484119380075E-3</c:v>
                </c:pt>
                <c:pt idx="701">
                  <c:v>4.3006524587304498E-3</c:v>
                </c:pt>
                <c:pt idx="702">
                  <c:v>4.1729229845239623E-3</c:v>
                </c:pt>
                <c:pt idx="703">
                  <c:v>4.04858220009443E-3</c:v>
                </c:pt>
                <c:pt idx="704">
                  <c:v>3.9275536289247789E-3</c:v>
                </c:pt>
                <c:pt idx="705">
                  <c:v>3.8097620982218104E-3</c:v>
                </c:pt>
                <c:pt idx="706">
                  <c:v>3.6951337295590349E-3</c:v>
                </c:pt>
                <c:pt idx="707">
                  <c:v>3.5835959291623614E-3</c:v>
                </c:pt>
                <c:pt idx="708">
                  <c:v>3.4750773778549375E-3</c:v>
                </c:pt>
                <c:pt idx="709">
                  <c:v>3.3695080206774812E-3</c:v>
                </c:pt>
                <c:pt idx="710">
                  <c:v>3.2668190561999182E-3</c:v>
                </c:pt>
                <c:pt idx="711">
                  <c:v>3.1669429255400811E-3</c:v>
                </c:pt>
                <c:pt idx="712">
                  <c:v>3.0698133011047403E-3</c:v>
                </c:pt>
                <c:pt idx="713">
                  <c:v>2.9753650750682535E-3</c:v>
                </c:pt>
                <c:pt idx="714">
                  <c:v>2.8835343476034392E-3</c:v>
                </c:pt>
                <c:pt idx="715">
                  <c:v>2.7942584148794472E-3</c:v>
                </c:pt>
                <c:pt idx="716">
                  <c:v>2.7074757568406999E-3</c:v>
                </c:pt>
                <c:pt idx="717">
                  <c:v>2.6231260247810244E-3</c:v>
                </c:pt>
                <c:pt idx="718">
                  <c:v>2.5411500287265214E-3</c:v>
                </c:pt>
                <c:pt idx="719">
                  <c:v>2.4614897246407006E-3</c:v>
                </c:pt>
                <c:pt idx="720">
                  <c:v>2.3840882014648404E-3</c:v>
                </c:pt>
                <c:pt idx="721">
                  <c:v>2.3088896680064958E-3</c:v>
                </c:pt>
                <c:pt idx="722">
                  <c:v>2.2358394396885385E-3</c:v>
                </c:pt>
                <c:pt idx="723">
                  <c:v>2.164883925171062E-3</c:v>
                </c:pt>
                <c:pt idx="724">
                  <c:v>2.0959706128579419E-3</c:v>
                </c:pt>
                <c:pt idx="725">
                  <c:v>2.0290480572997681E-3</c:v>
                </c:pt>
                <c:pt idx="726">
                  <c:v>1.9640658655043761E-3</c:v>
                </c:pt>
                <c:pt idx="727">
                  <c:v>1.9009746831660803E-3</c:v>
                </c:pt>
                <c:pt idx="728">
                  <c:v>1.839726180824281E-3</c:v>
                </c:pt>
                <c:pt idx="729">
                  <c:v>1.7802730399618786E-3</c:v>
                </c:pt>
                <c:pt idx="730">
                  <c:v>1.7225689390536812E-3</c:v>
                </c:pt>
                <c:pt idx="731">
                  <c:v>1.6665685395745797E-3</c:v>
                </c:pt>
                <c:pt idx="732">
                  <c:v>1.6122274719771244E-3</c:v>
                </c:pt>
                <c:pt idx="733">
                  <c:v>1.5595023216476915E-3</c:v>
                </c:pt>
                <c:pt idx="734">
                  <c:v>1.5083506148503073E-3</c:v>
                </c:pt>
                <c:pt idx="735">
                  <c:v>1.4587308046667459E-3</c:v>
                </c:pt>
                <c:pt idx="736">
                  <c:v>1.4106022569413848E-3</c:v>
                </c:pt>
                <c:pt idx="737">
                  <c:v>1.3639252362389036E-3</c:v>
                </c:pt>
                <c:pt idx="738">
                  <c:v>1.3186608918227423E-3</c:v>
                </c:pt>
                <c:pt idx="739">
                  <c:v>1.2747712436618327E-3</c:v>
                </c:pt>
                <c:pt idx="740">
                  <c:v>1.2322191684730199E-3</c:v>
                </c:pt>
                <c:pt idx="741">
                  <c:v>1.1909683858061166E-3</c:v>
                </c:pt>
                <c:pt idx="742">
                  <c:v>1.1509834441784845E-3</c:v>
                </c:pt>
                <c:pt idx="743">
                  <c:v>1.1122297072655649E-3</c:v>
                </c:pt>
                <c:pt idx="744">
                  <c:v>1.0746733401537356E-3</c:v>
                </c:pt>
                <c:pt idx="745">
                  <c:v>1.0382812956614103E-3</c:v>
                </c:pt>
                <c:pt idx="746">
                  <c:v>1.0030213007342376E-3</c:v>
                </c:pt>
                <c:pt idx="747">
                  <c:v>9.6886184291984591E-4</c:v>
                </c:pt>
                <c:pt idx="748">
                  <c:v>9.3577215692747977E-4</c:v>
                </c:pt>
                <c:pt idx="749">
                  <c:v>9.0372221127752448E-4</c:v>
                </c:pt>
                <c:pt idx="750">
                  <c:v>8.7268269504576015E-4</c:v>
                </c:pt>
                <c:pt idx="751">
                  <c:v>8.4262500470690268E-4</c:v>
                </c:pt>
                <c:pt idx="752">
                  <c:v>8.1352123108180841E-4</c:v>
                </c:pt>
                <c:pt idx="753">
                  <c:v>7.8534414639246997E-4</c:v>
                </c:pt>
                <c:pt idx="754">
                  <c:v>7.580671914287103E-4</c:v>
                </c:pt>
                <c:pt idx="755">
                  <c:v>7.3166446283031089E-4</c:v>
                </c:pt>
                <c:pt idx="756">
                  <c:v>7.061107004880362E-4</c:v>
                </c:pt>
                <c:pt idx="757">
                  <c:v>6.8138127506689212E-4</c:v>
                </c:pt>
                <c:pt idx="758">
                  <c:v>6.5745217565467645E-4</c:v>
                </c:pt>
                <c:pt idx="759">
                  <c:v>6.342999975387576E-4</c:v>
                </c:pt>
                <c:pt idx="760">
                  <c:v>6.119019301137719E-4</c:v>
                </c:pt>
                <c:pt idx="761">
                  <c:v>5.9023574492278561E-4</c:v>
                </c:pt>
                <c:pt idx="762">
                  <c:v>5.6927978383425261E-4</c:v>
                </c:pt>
                <c:pt idx="763">
                  <c:v>5.490129473569587E-4</c:v>
                </c:pt>
                <c:pt idx="764">
                  <c:v>5.2941468309493475E-4</c:v>
                </c:pt>
                <c:pt idx="765">
                  <c:v>5.104649743441856E-4</c:v>
                </c:pt>
                <c:pt idx="766">
                  <c:v>4.9214432883289312E-4</c:v>
                </c:pt>
                <c:pt idx="767">
                  <c:v>4.7443376760662064E-4</c:v>
                </c:pt>
                <c:pt idx="768">
                  <c:v>4.5731481405985675E-4</c:v>
                </c:pt>
                <c:pt idx="769">
                  <c:v>4.4076948311513252E-4</c:v>
                </c:pt>
                <c:pt idx="770">
                  <c:v>4.2478027055075143E-4</c:v>
                </c:pt>
                <c:pt idx="771">
                  <c:v>4.0933014247807883E-4</c:v>
                </c:pt>
                <c:pt idx="772">
                  <c:v>3.9440252496915622E-4</c:v>
                </c:pt>
                <c:pt idx="773">
                  <c:v>3.7998129383532141E-4</c:v>
                </c:pt>
                <c:pt idx="774">
                  <c:v>3.6605076455733496E-4</c:v>
                </c:pt>
                <c:pt idx="775">
                  <c:v>3.5259568236744541E-4</c:v>
                </c:pt>
                <c:pt idx="776">
                  <c:v>3.3960121248365478E-4</c:v>
                </c:pt>
                <c:pt idx="777">
                  <c:v>3.2705293049637498E-4</c:v>
                </c:pt>
                <c:pt idx="778">
                  <c:v>3.1493681290752188E-4</c:v>
                </c:pt>
                <c:pt idx="779">
                  <c:v>3.0323922782200417E-4</c:v>
                </c:pt>
                <c:pt idx="780">
                  <c:v>2.9194692579146027E-4</c:v>
                </c:pt>
                <c:pt idx="781">
                  <c:v>2.8104703080998632E-4</c:v>
                </c:pt>
                <c:pt idx="782">
                  <c:v>2.70527031461521E-4</c:v>
                </c:pt>
                <c:pt idx="783">
                  <c:v>2.6037477221844247E-4</c:v>
                </c:pt>
                <c:pt idx="784">
                  <c:v>2.5057844489086075E-4</c:v>
                </c:pt>
                <c:pt idx="785">
                  <c:v>2.4112658022599324E-4</c:v>
                </c:pt>
                <c:pt idx="786">
                  <c:v>2.3200803965694238E-4</c:v>
                </c:pt>
                <c:pt idx="787">
                  <c:v>2.2321200720010206E-4</c:v>
                </c:pt>
                <c:pt idx="788">
                  <c:v>2.1472798150036704E-4</c:v>
                </c:pt>
                <c:pt idx="789">
                  <c:v>2.0654576802322548E-4</c:v>
                </c:pt>
                <c:pt idx="790">
                  <c:v>1.9865547139277272E-4</c:v>
                </c:pt>
                <c:pt idx="791">
                  <c:v>1.9104748787459762E-4</c:v>
                </c:pt>
                <c:pt idx="792">
                  <c:v>1.8371249800245711E-4</c:v>
                </c:pt>
                <c:pt idx="793">
                  <c:v>1.7664145934757092E-4</c:v>
                </c:pt>
                <c:pt idx="794">
                  <c:v>1.6982559942934359E-4</c:v>
                </c:pt>
                <c:pt idx="795">
                  <c:v>1.6325640876624199E-4</c:v>
                </c:pt>
                <c:pt idx="796">
                  <c:v>1.5692563406553226E-4</c:v>
                </c:pt>
                <c:pt idx="797">
                  <c:v>1.508252715505178E-4</c:v>
                </c:pt>
                <c:pt idx="798">
                  <c:v>1.4494756042389106E-4</c:v>
                </c:pt>
                <c:pt idx="799">
                  <c:v>1.3928497646575994E-4</c:v>
                </c:pt>
                <c:pt idx="800">
                  <c:v>1.3383022576488537E-4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0B-45DD-ABCD-58445DB6DC2F}"/>
            </c:ext>
          </c:extLst>
        </c:ser>
        <c:ser>
          <c:idx val="1"/>
          <c:order val="2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Lbls>
            <c:dLbl>
              <c:idx val="142"/>
              <c:layout>
                <c:manualLayout>
                  <c:x val="-7.3630577427821545E-2"/>
                  <c:y val="-0.1368554972295129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0B-45DD-ABCD-58445DB6DC2F}"/>
                </c:ext>
              </c:extLst>
            </c:dLbl>
            <c:dLbl>
              <c:idx val="204"/>
              <c:layout>
                <c:manualLayout>
                  <c:x val="-0.13751946631671044"/>
                  <c:y val="-0.14611475648877215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0B-45DD-ABCD-58445DB6DC2F}"/>
                </c:ext>
              </c:extLst>
            </c:dLbl>
            <c:dLbl>
              <c:idx val="236"/>
              <c:layout>
                <c:manualLayout>
                  <c:x val="-0.1360015310586177"/>
                  <c:y val="-0.1414851268591425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0B-45DD-ABCD-58445DB6DC2F}"/>
                </c:ext>
              </c:extLst>
            </c:dLbl>
            <c:dLbl>
              <c:idx val="333"/>
              <c:layout>
                <c:manualLayout>
                  <c:x val="-9.9890419947506609E-2"/>
                  <c:y val="-6.7411052785068537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22D-4F09-ADD6-5A5C0D28B7A5}"/>
                </c:ext>
              </c:extLst>
            </c:dLbl>
            <c:dLbl>
              <c:idx val="467"/>
              <c:layout>
                <c:manualLayout>
                  <c:x val="4.008464566929134E-2"/>
                  <c:y val="-6.2781423155438901E-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22D-4F09-ADD6-5A5C0D28B7A5}"/>
                </c:ext>
              </c:extLst>
            </c:dLbl>
            <c:dLbl>
              <c:idx val="564"/>
              <c:layout>
                <c:manualLayout>
                  <c:x val="4.2862423447069115E-2"/>
                  <c:y val="-0.14148512685914252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0B-45DD-ABCD-58445DB6DC2F}"/>
                </c:ext>
              </c:extLst>
            </c:dLbl>
            <c:dLbl>
              <c:idx val="596"/>
              <c:layout>
                <c:manualLayout>
                  <c:x val="3.8566491688538831E-2"/>
                  <c:y val="-0.14611475648877215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0B-45DD-ABCD-58445DB6DC2F}"/>
                </c:ext>
              </c:extLst>
            </c:dLbl>
            <c:dLbl>
              <c:idx val="658"/>
              <c:layout>
                <c:manualLayout>
                  <c:x val="-2.2544619422572281E-2"/>
                  <c:y val="-0.13685549722951298"/>
                </c:manualLayout>
              </c:layout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0B-45DD-ABCD-58445DB6DC2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C00000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'Лист1 (5)'!$T$3:$T$803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0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0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0B-45DD-ABCD-58445DB6DC2F}"/>
            </c:ext>
          </c:extLst>
        </c:ser>
        <c:ser>
          <c:idx val="2"/>
          <c:order val="3"/>
          <c:tx>
            <c:strRef>
              <c:f>'Лист1 (5)'!$Y$2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(5)'!$Y$403</c:f>
                <c:numCache>
                  <c:formatCode>General</c:formatCode>
                  <c:ptCount val="1"/>
                  <c:pt idx="0">
                    <c:v>0.3989422804014327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</c:errBars>
          <c:val>
            <c:numRef>
              <c:f>'Лист1 (5)'!$Y$3:$Y$803</c:f>
              <c:numCache>
                <c:formatCode>General</c:formatCode>
                <c:ptCount val="801"/>
                <c:pt idx="400">
                  <c:v>0.3989422804014327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0B-45DD-ABCD-58445DB6D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051960"/>
        <c:axId val="658052944"/>
        <c:extLst/>
      </c:lineChart>
      <c:catAx>
        <c:axId val="6580519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2944"/>
        <c:crosses val="autoZero"/>
        <c:auto val="1"/>
        <c:lblAlgn val="ctr"/>
        <c:lblOffset val="1"/>
        <c:tickLblSkip val="100"/>
        <c:tickMarkSkip val="1"/>
        <c:noMultiLvlLbl val="0"/>
      </c:catAx>
      <c:valAx>
        <c:axId val="658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areaChart>
        <c:grouping val="standard"/>
        <c:varyColors val="0"/>
        <c:ser>
          <c:idx val="3"/>
          <c:order val="3"/>
          <c:tx>
            <c:v>Отклонение</c:v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cat>
            <c:numRef>
              <c:f>'Лист1 (4)'!$V$3:$V$803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(4)'!$Z$3:$Z$803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5.7303788919117131E-2</c:v>
                </c:pt>
                <c:pt idx="598">
                  <c:v>5.6183141903868049E-2</c:v>
                </c:pt>
                <c:pt idx="599">
                  <c:v>5.5078902372125767E-2</c:v>
                </c:pt>
                <c:pt idx="600">
                  <c:v>5.3990966513188063E-2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6262-4362-BAEE-249D3BFDF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51960"/>
        <c:axId val="658052944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'Лист1 (4)'!$Y$2</c15:sqref>
                        </c15:formulaRef>
                      </c:ext>
                    </c:extLst>
                    <c:strCache>
                      <c:ptCount val="1"/>
                      <c:pt idx="0">
                        <c:v>F(z)</c:v>
                      </c:pt>
                    </c:strCache>
                  </c:strRef>
                </c:tx>
                <c:spPr>
                  <a:solidFill>
                    <a:schemeClr val="accent1">
                      <a:shade val="76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'Лист1 (4)'!$V$3:$V$803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-4</c:v>
                      </c:pt>
                      <c:pt idx="1">
                        <c:v>-3.99</c:v>
                      </c:pt>
                      <c:pt idx="2">
                        <c:v>-3.98</c:v>
                      </c:pt>
                      <c:pt idx="3">
                        <c:v>-3.97</c:v>
                      </c:pt>
                      <c:pt idx="4">
                        <c:v>-3.96</c:v>
                      </c:pt>
                      <c:pt idx="5">
                        <c:v>-3.95</c:v>
                      </c:pt>
                      <c:pt idx="6">
                        <c:v>-3.94</c:v>
                      </c:pt>
                      <c:pt idx="7">
                        <c:v>-3.93</c:v>
                      </c:pt>
                      <c:pt idx="8">
                        <c:v>-3.92</c:v>
                      </c:pt>
                      <c:pt idx="9">
                        <c:v>-3.91</c:v>
                      </c:pt>
                      <c:pt idx="10">
                        <c:v>-3.9</c:v>
                      </c:pt>
                      <c:pt idx="11">
                        <c:v>-3.89</c:v>
                      </c:pt>
                      <c:pt idx="12">
                        <c:v>-3.88</c:v>
                      </c:pt>
                      <c:pt idx="13">
                        <c:v>-3.87</c:v>
                      </c:pt>
                      <c:pt idx="14">
                        <c:v>-3.86</c:v>
                      </c:pt>
                      <c:pt idx="15">
                        <c:v>-3.85</c:v>
                      </c:pt>
                      <c:pt idx="16">
                        <c:v>-3.84</c:v>
                      </c:pt>
                      <c:pt idx="17">
                        <c:v>-3.83</c:v>
                      </c:pt>
                      <c:pt idx="18">
                        <c:v>-3.82</c:v>
                      </c:pt>
                      <c:pt idx="19">
                        <c:v>-3.81</c:v>
                      </c:pt>
                      <c:pt idx="20">
                        <c:v>-3.8</c:v>
                      </c:pt>
                      <c:pt idx="21">
                        <c:v>-3.79</c:v>
                      </c:pt>
                      <c:pt idx="22">
                        <c:v>-3.78</c:v>
                      </c:pt>
                      <c:pt idx="23">
                        <c:v>-3.77</c:v>
                      </c:pt>
                      <c:pt idx="24">
                        <c:v>-3.76</c:v>
                      </c:pt>
                      <c:pt idx="25">
                        <c:v>-3.75</c:v>
                      </c:pt>
                      <c:pt idx="26">
                        <c:v>-3.74</c:v>
                      </c:pt>
                      <c:pt idx="27">
                        <c:v>-3.73</c:v>
                      </c:pt>
                      <c:pt idx="28">
                        <c:v>-3.72</c:v>
                      </c:pt>
                      <c:pt idx="29">
                        <c:v>-3.71</c:v>
                      </c:pt>
                      <c:pt idx="30">
                        <c:v>-3.7</c:v>
                      </c:pt>
                      <c:pt idx="31">
                        <c:v>-3.69</c:v>
                      </c:pt>
                      <c:pt idx="32">
                        <c:v>-3.68</c:v>
                      </c:pt>
                      <c:pt idx="33">
                        <c:v>-3.67</c:v>
                      </c:pt>
                      <c:pt idx="34">
                        <c:v>-3.66</c:v>
                      </c:pt>
                      <c:pt idx="35">
                        <c:v>-3.65</c:v>
                      </c:pt>
                      <c:pt idx="36">
                        <c:v>-3.64</c:v>
                      </c:pt>
                      <c:pt idx="37">
                        <c:v>-3.63</c:v>
                      </c:pt>
                      <c:pt idx="38">
                        <c:v>-3.62</c:v>
                      </c:pt>
                      <c:pt idx="39">
                        <c:v>-3.61</c:v>
                      </c:pt>
                      <c:pt idx="40">
                        <c:v>-3.6</c:v>
                      </c:pt>
                      <c:pt idx="41">
                        <c:v>-3.59</c:v>
                      </c:pt>
                      <c:pt idx="42">
                        <c:v>-3.58</c:v>
                      </c:pt>
                      <c:pt idx="43">
                        <c:v>-3.57</c:v>
                      </c:pt>
                      <c:pt idx="44">
                        <c:v>-3.56</c:v>
                      </c:pt>
                      <c:pt idx="45">
                        <c:v>-3.55</c:v>
                      </c:pt>
                      <c:pt idx="46">
                        <c:v>-3.54</c:v>
                      </c:pt>
                      <c:pt idx="47">
                        <c:v>-3.53</c:v>
                      </c:pt>
                      <c:pt idx="48">
                        <c:v>-3.52</c:v>
                      </c:pt>
                      <c:pt idx="49">
                        <c:v>-3.51</c:v>
                      </c:pt>
                      <c:pt idx="50">
                        <c:v>-3.5</c:v>
                      </c:pt>
                      <c:pt idx="51">
                        <c:v>-3.49</c:v>
                      </c:pt>
                      <c:pt idx="52">
                        <c:v>-3.48</c:v>
                      </c:pt>
                      <c:pt idx="53">
                        <c:v>-3.47</c:v>
                      </c:pt>
                      <c:pt idx="54">
                        <c:v>-3.46</c:v>
                      </c:pt>
                      <c:pt idx="55">
                        <c:v>-3.45</c:v>
                      </c:pt>
                      <c:pt idx="56">
                        <c:v>-3.44</c:v>
                      </c:pt>
                      <c:pt idx="57">
                        <c:v>-3.43</c:v>
                      </c:pt>
                      <c:pt idx="58">
                        <c:v>-3.42</c:v>
                      </c:pt>
                      <c:pt idx="59">
                        <c:v>-3.41</c:v>
                      </c:pt>
                      <c:pt idx="60">
                        <c:v>-3.4</c:v>
                      </c:pt>
                      <c:pt idx="61">
                        <c:v>-3.39</c:v>
                      </c:pt>
                      <c:pt idx="62">
                        <c:v>-3.38</c:v>
                      </c:pt>
                      <c:pt idx="63">
                        <c:v>-3.37</c:v>
                      </c:pt>
                      <c:pt idx="64">
                        <c:v>-3.36</c:v>
                      </c:pt>
                      <c:pt idx="65">
                        <c:v>-3.35</c:v>
                      </c:pt>
                      <c:pt idx="66">
                        <c:v>-3.34</c:v>
                      </c:pt>
                      <c:pt idx="67">
                        <c:v>-3.33</c:v>
                      </c:pt>
                      <c:pt idx="68">
                        <c:v>-3.32</c:v>
                      </c:pt>
                      <c:pt idx="69">
                        <c:v>-3.31</c:v>
                      </c:pt>
                      <c:pt idx="70">
                        <c:v>-3.3</c:v>
                      </c:pt>
                      <c:pt idx="71">
                        <c:v>-3.29</c:v>
                      </c:pt>
                      <c:pt idx="72">
                        <c:v>-3.28</c:v>
                      </c:pt>
                      <c:pt idx="73">
                        <c:v>-3.27</c:v>
                      </c:pt>
                      <c:pt idx="74">
                        <c:v>-3.26</c:v>
                      </c:pt>
                      <c:pt idx="75">
                        <c:v>-3.25</c:v>
                      </c:pt>
                      <c:pt idx="76">
                        <c:v>-3.24</c:v>
                      </c:pt>
                      <c:pt idx="77">
                        <c:v>-3.23</c:v>
                      </c:pt>
                      <c:pt idx="78">
                        <c:v>-3.22</c:v>
                      </c:pt>
                      <c:pt idx="79">
                        <c:v>-3.21</c:v>
                      </c:pt>
                      <c:pt idx="80">
                        <c:v>-3.2</c:v>
                      </c:pt>
                      <c:pt idx="81">
                        <c:v>-3.19</c:v>
                      </c:pt>
                      <c:pt idx="82">
                        <c:v>-3.18</c:v>
                      </c:pt>
                      <c:pt idx="83">
                        <c:v>-3.17</c:v>
                      </c:pt>
                      <c:pt idx="84">
                        <c:v>-3.16</c:v>
                      </c:pt>
                      <c:pt idx="85">
                        <c:v>-3.15</c:v>
                      </c:pt>
                      <c:pt idx="86">
                        <c:v>-3.14</c:v>
                      </c:pt>
                      <c:pt idx="87">
                        <c:v>-3.13</c:v>
                      </c:pt>
                      <c:pt idx="88">
                        <c:v>-3.12</c:v>
                      </c:pt>
                      <c:pt idx="89">
                        <c:v>-3.11</c:v>
                      </c:pt>
                      <c:pt idx="90">
                        <c:v>-3.1</c:v>
                      </c:pt>
                      <c:pt idx="91">
                        <c:v>-3.09</c:v>
                      </c:pt>
                      <c:pt idx="92">
                        <c:v>-3.08</c:v>
                      </c:pt>
                      <c:pt idx="93">
                        <c:v>-3.07</c:v>
                      </c:pt>
                      <c:pt idx="94">
                        <c:v>-3.06</c:v>
                      </c:pt>
                      <c:pt idx="95">
                        <c:v>-3.05</c:v>
                      </c:pt>
                      <c:pt idx="96">
                        <c:v>-3.04</c:v>
                      </c:pt>
                      <c:pt idx="97">
                        <c:v>-3.03</c:v>
                      </c:pt>
                      <c:pt idx="98">
                        <c:v>-3.02</c:v>
                      </c:pt>
                      <c:pt idx="99">
                        <c:v>-3.01</c:v>
                      </c:pt>
                      <c:pt idx="100">
                        <c:v>-3</c:v>
                      </c:pt>
                      <c:pt idx="101">
                        <c:v>-2.99</c:v>
                      </c:pt>
                      <c:pt idx="102">
                        <c:v>-2.98</c:v>
                      </c:pt>
                      <c:pt idx="103">
                        <c:v>-2.97</c:v>
                      </c:pt>
                      <c:pt idx="104">
                        <c:v>-2.96</c:v>
                      </c:pt>
                      <c:pt idx="105">
                        <c:v>-2.95</c:v>
                      </c:pt>
                      <c:pt idx="106">
                        <c:v>-2.94</c:v>
                      </c:pt>
                      <c:pt idx="107">
                        <c:v>-2.93</c:v>
                      </c:pt>
                      <c:pt idx="108">
                        <c:v>-2.92</c:v>
                      </c:pt>
                      <c:pt idx="109">
                        <c:v>-2.91</c:v>
                      </c:pt>
                      <c:pt idx="110">
                        <c:v>-2.9</c:v>
                      </c:pt>
                      <c:pt idx="111">
                        <c:v>-2.89</c:v>
                      </c:pt>
                      <c:pt idx="112">
                        <c:v>-2.88</c:v>
                      </c:pt>
                      <c:pt idx="113">
                        <c:v>-2.87</c:v>
                      </c:pt>
                      <c:pt idx="114">
                        <c:v>-2.86</c:v>
                      </c:pt>
                      <c:pt idx="115">
                        <c:v>-2.85</c:v>
                      </c:pt>
                      <c:pt idx="116">
                        <c:v>-2.84</c:v>
                      </c:pt>
                      <c:pt idx="117">
                        <c:v>-2.83</c:v>
                      </c:pt>
                      <c:pt idx="118">
                        <c:v>-2.82</c:v>
                      </c:pt>
                      <c:pt idx="119">
                        <c:v>-2.81</c:v>
                      </c:pt>
                      <c:pt idx="120">
                        <c:v>-2.8</c:v>
                      </c:pt>
                      <c:pt idx="121">
                        <c:v>-2.79</c:v>
                      </c:pt>
                      <c:pt idx="122">
                        <c:v>-2.78</c:v>
                      </c:pt>
                      <c:pt idx="123">
                        <c:v>-2.77</c:v>
                      </c:pt>
                      <c:pt idx="124">
                        <c:v>-2.76</c:v>
                      </c:pt>
                      <c:pt idx="125">
                        <c:v>-2.75</c:v>
                      </c:pt>
                      <c:pt idx="126">
                        <c:v>-2.74</c:v>
                      </c:pt>
                      <c:pt idx="127">
                        <c:v>-2.73</c:v>
                      </c:pt>
                      <c:pt idx="128">
                        <c:v>-2.72</c:v>
                      </c:pt>
                      <c:pt idx="129">
                        <c:v>-2.71</c:v>
                      </c:pt>
                      <c:pt idx="130">
                        <c:v>-2.7</c:v>
                      </c:pt>
                      <c:pt idx="131">
                        <c:v>-2.69</c:v>
                      </c:pt>
                      <c:pt idx="132">
                        <c:v>-2.68</c:v>
                      </c:pt>
                      <c:pt idx="133">
                        <c:v>-2.67</c:v>
                      </c:pt>
                      <c:pt idx="134">
                        <c:v>-2.66</c:v>
                      </c:pt>
                      <c:pt idx="135">
                        <c:v>-2.65</c:v>
                      </c:pt>
                      <c:pt idx="136">
                        <c:v>-2.64</c:v>
                      </c:pt>
                      <c:pt idx="137">
                        <c:v>-2.63</c:v>
                      </c:pt>
                      <c:pt idx="138">
                        <c:v>-2.62</c:v>
                      </c:pt>
                      <c:pt idx="139">
                        <c:v>-2.61</c:v>
                      </c:pt>
                      <c:pt idx="140">
                        <c:v>-2.6</c:v>
                      </c:pt>
                      <c:pt idx="141">
                        <c:v>-2.59</c:v>
                      </c:pt>
                      <c:pt idx="142">
                        <c:v>-2.58</c:v>
                      </c:pt>
                      <c:pt idx="143">
                        <c:v>-2.57</c:v>
                      </c:pt>
                      <c:pt idx="144">
                        <c:v>-2.56</c:v>
                      </c:pt>
                      <c:pt idx="145">
                        <c:v>-2.5499999999999998</c:v>
                      </c:pt>
                      <c:pt idx="146">
                        <c:v>-2.54</c:v>
                      </c:pt>
                      <c:pt idx="147">
                        <c:v>-2.5299999999999998</c:v>
                      </c:pt>
                      <c:pt idx="148">
                        <c:v>-2.52</c:v>
                      </c:pt>
                      <c:pt idx="149">
                        <c:v>-2.5099999999999998</c:v>
                      </c:pt>
                      <c:pt idx="150">
                        <c:v>-2.5</c:v>
                      </c:pt>
                      <c:pt idx="151">
                        <c:v>-2.4900000000000002</c:v>
                      </c:pt>
                      <c:pt idx="152">
                        <c:v>-2.48</c:v>
                      </c:pt>
                      <c:pt idx="153">
                        <c:v>-2.4700000000000002</c:v>
                      </c:pt>
                      <c:pt idx="154">
                        <c:v>-2.46</c:v>
                      </c:pt>
                      <c:pt idx="155">
                        <c:v>-2.4500000000000002</c:v>
                      </c:pt>
                      <c:pt idx="156">
                        <c:v>-2.44</c:v>
                      </c:pt>
                      <c:pt idx="157">
                        <c:v>-2.4300000000000002</c:v>
                      </c:pt>
                      <c:pt idx="158">
                        <c:v>-2.42</c:v>
                      </c:pt>
                      <c:pt idx="159">
                        <c:v>-2.41</c:v>
                      </c:pt>
                      <c:pt idx="160">
                        <c:v>-2.4</c:v>
                      </c:pt>
                      <c:pt idx="161">
                        <c:v>-2.39</c:v>
                      </c:pt>
                      <c:pt idx="162">
                        <c:v>-2.38</c:v>
                      </c:pt>
                      <c:pt idx="163">
                        <c:v>-2.37</c:v>
                      </c:pt>
                      <c:pt idx="164">
                        <c:v>-2.36</c:v>
                      </c:pt>
                      <c:pt idx="165">
                        <c:v>-2.35</c:v>
                      </c:pt>
                      <c:pt idx="166">
                        <c:v>-2.34</c:v>
                      </c:pt>
                      <c:pt idx="167">
                        <c:v>-2.33</c:v>
                      </c:pt>
                      <c:pt idx="168">
                        <c:v>-2.3199999999999998</c:v>
                      </c:pt>
                      <c:pt idx="169">
                        <c:v>-2.31</c:v>
                      </c:pt>
                      <c:pt idx="170">
                        <c:v>-2.2999999999999998</c:v>
                      </c:pt>
                      <c:pt idx="171">
                        <c:v>-2.29</c:v>
                      </c:pt>
                      <c:pt idx="172">
                        <c:v>-2.2799999999999998</c:v>
                      </c:pt>
                      <c:pt idx="173">
                        <c:v>-2.27</c:v>
                      </c:pt>
                      <c:pt idx="174">
                        <c:v>-2.2599999999999998</c:v>
                      </c:pt>
                      <c:pt idx="175">
                        <c:v>-2.25</c:v>
                      </c:pt>
                      <c:pt idx="176">
                        <c:v>-2.2400000000000002</c:v>
                      </c:pt>
                      <c:pt idx="177">
                        <c:v>-2.23</c:v>
                      </c:pt>
                      <c:pt idx="178">
                        <c:v>-2.2200000000000002</c:v>
                      </c:pt>
                      <c:pt idx="179">
                        <c:v>-2.21</c:v>
                      </c:pt>
                      <c:pt idx="180">
                        <c:v>-2.2000000000000002</c:v>
                      </c:pt>
                      <c:pt idx="181">
                        <c:v>-2.19</c:v>
                      </c:pt>
                      <c:pt idx="182">
                        <c:v>-2.1800000000000002</c:v>
                      </c:pt>
                      <c:pt idx="183">
                        <c:v>-2.17</c:v>
                      </c:pt>
                      <c:pt idx="184">
                        <c:v>-2.16</c:v>
                      </c:pt>
                      <c:pt idx="185">
                        <c:v>-2.15</c:v>
                      </c:pt>
                      <c:pt idx="186">
                        <c:v>-2.14</c:v>
                      </c:pt>
                      <c:pt idx="187">
                        <c:v>-2.13</c:v>
                      </c:pt>
                      <c:pt idx="188">
                        <c:v>-2.12</c:v>
                      </c:pt>
                      <c:pt idx="189">
                        <c:v>-2.11</c:v>
                      </c:pt>
                      <c:pt idx="190">
                        <c:v>-2.1</c:v>
                      </c:pt>
                      <c:pt idx="191">
                        <c:v>-2.09</c:v>
                      </c:pt>
                      <c:pt idx="192">
                        <c:v>-2.08</c:v>
                      </c:pt>
                      <c:pt idx="193">
                        <c:v>-2.0699999999999998</c:v>
                      </c:pt>
                      <c:pt idx="194">
                        <c:v>-2.06</c:v>
                      </c:pt>
                      <c:pt idx="195">
                        <c:v>-2.0499999999999998</c:v>
                      </c:pt>
                      <c:pt idx="196">
                        <c:v>-2.04</c:v>
                      </c:pt>
                      <c:pt idx="197">
                        <c:v>-2.0299999999999998</c:v>
                      </c:pt>
                      <c:pt idx="198">
                        <c:v>-2.02</c:v>
                      </c:pt>
                      <c:pt idx="199">
                        <c:v>-2.0099999999999998</c:v>
                      </c:pt>
                      <c:pt idx="200">
                        <c:v>-2</c:v>
                      </c:pt>
                      <c:pt idx="201">
                        <c:v>-1.99</c:v>
                      </c:pt>
                      <c:pt idx="202">
                        <c:v>-1.98</c:v>
                      </c:pt>
                      <c:pt idx="203">
                        <c:v>-1.97</c:v>
                      </c:pt>
                      <c:pt idx="204">
                        <c:v>-1.96</c:v>
                      </c:pt>
                      <c:pt idx="205">
                        <c:v>-1.95</c:v>
                      </c:pt>
                      <c:pt idx="206">
                        <c:v>-1.94</c:v>
                      </c:pt>
                      <c:pt idx="207">
                        <c:v>-1.93</c:v>
                      </c:pt>
                      <c:pt idx="208">
                        <c:v>-1.92</c:v>
                      </c:pt>
                      <c:pt idx="209">
                        <c:v>-1.91</c:v>
                      </c:pt>
                      <c:pt idx="210">
                        <c:v>-1.9</c:v>
                      </c:pt>
                      <c:pt idx="211">
                        <c:v>-1.89</c:v>
                      </c:pt>
                      <c:pt idx="212">
                        <c:v>-1.88</c:v>
                      </c:pt>
                      <c:pt idx="213">
                        <c:v>-1.87</c:v>
                      </c:pt>
                      <c:pt idx="214">
                        <c:v>-1.86</c:v>
                      </c:pt>
                      <c:pt idx="215">
                        <c:v>-1.85</c:v>
                      </c:pt>
                      <c:pt idx="216">
                        <c:v>-1.84</c:v>
                      </c:pt>
                      <c:pt idx="217">
                        <c:v>-1.83</c:v>
                      </c:pt>
                      <c:pt idx="218">
                        <c:v>-1.82</c:v>
                      </c:pt>
                      <c:pt idx="219">
                        <c:v>-1.81</c:v>
                      </c:pt>
                      <c:pt idx="220">
                        <c:v>-1.8</c:v>
                      </c:pt>
                      <c:pt idx="221">
                        <c:v>-1.79</c:v>
                      </c:pt>
                      <c:pt idx="222">
                        <c:v>-1.78</c:v>
                      </c:pt>
                      <c:pt idx="223">
                        <c:v>-1.77</c:v>
                      </c:pt>
                      <c:pt idx="224">
                        <c:v>-1.76</c:v>
                      </c:pt>
                      <c:pt idx="225">
                        <c:v>-1.75</c:v>
                      </c:pt>
                      <c:pt idx="226">
                        <c:v>-1.74</c:v>
                      </c:pt>
                      <c:pt idx="227">
                        <c:v>-1.73</c:v>
                      </c:pt>
                      <c:pt idx="228">
                        <c:v>-1.72</c:v>
                      </c:pt>
                      <c:pt idx="229">
                        <c:v>-1.71</c:v>
                      </c:pt>
                      <c:pt idx="230">
                        <c:v>-1.7</c:v>
                      </c:pt>
                      <c:pt idx="231">
                        <c:v>-1.69</c:v>
                      </c:pt>
                      <c:pt idx="232">
                        <c:v>-1.68</c:v>
                      </c:pt>
                      <c:pt idx="233">
                        <c:v>-1.67</c:v>
                      </c:pt>
                      <c:pt idx="234">
                        <c:v>-1.66</c:v>
                      </c:pt>
                      <c:pt idx="235">
                        <c:v>-1.65</c:v>
                      </c:pt>
                      <c:pt idx="236">
                        <c:v>-1.64</c:v>
                      </c:pt>
                      <c:pt idx="237">
                        <c:v>-1.63</c:v>
                      </c:pt>
                      <c:pt idx="238">
                        <c:v>-1.62</c:v>
                      </c:pt>
                      <c:pt idx="239">
                        <c:v>-1.61</c:v>
                      </c:pt>
                      <c:pt idx="240">
                        <c:v>-1.6</c:v>
                      </c:pt>
                      <c:pt idx="241">
                        <c:v>-1.59</c:v>
                      </c:pt>
                      <c:pt idx="242">
                        <c:v>-1.58</c:v>
                      </c:pt>
                      <c:pt idx="243">
                        <c:v>-1.57</c:v>
                      </c:pt>
                      <c:pt idx="244">
                        <c:v>-1.56</c:v>
                      </c:pt>
                      <c:pt idx="245">
                        <c:v>-1.55</c:v>
                      </c:pt>
                      <c:pt idx="246">
                        <c:v>-1.54</c:v>
                      </c:pt>
                      <c:pt idx="247">
                        <c:v>-1.53</c:v>
                      </c:pt>
                      <c:pt idx="248">
                        <c:v>-1.52</c:v>
                      </c:pt>
                      <c:pt idx="249">
                        <c:v>-1.51</c:v>
                      </c:pt>
                      <c:pt idx="250">
                        <c:v>-1.5</c:v>
                      </c:pt>
                      <c:pt idx="251">
                        <c:v>-1.49</c:v>
                      </c:pt>
                      <c:pt idx="252">
                        <c:v>-1.48</c:v>
                      </c:pt>
                      <c:pt idx="253">
                        <c:v>-1.47</c:v>
                      </c:pt>
                      <c:pt idx="254">
                        <c:v>-1.46</c:v>
                      </c:pt>
                      <c:pt idx="255">
                        <c:v>-1.45</c:v>
                      </c:pt>
                      <c:pt idx="256">
                        <c:v>-1.44</c:v>
                      </c:pt>
                      <c:pt idx="257">
                        <c:v>-1.43</c:v>
                      </c:pt>
                      <c:pt idx="258">
                        <c:v>-1.42</c:v>
                      </c:pt>
                      <c:pt idx="259">
                        <c:v>-1.41</c:v>
                      </c:pt>
                      <c:pt idx="260">
                        <c:v>-1.4</c:v>
                      </c:pt>
                      <c:pt idx="261">
                        <c:v>-1.39</c:v>
                      </c:pt>
                      <c:pt idx="262">
                        <c:v>-1.38</c:v>
                      </c:pt>
                      <c:pt idx="263">
                        <c:v>-1.37</c:v>
                      </c:pt>
                      <c:pt idx="264">
                        <c:v>-1.36</c:v>
                      </c:pt>
                      <c:pt idx="265">
                        <c:v>-1.35</c:v>
                      </c:pt>
                      <c:pt idx="266">
                        <c:v>-1.34</c:v>
                      </c:pt>
                      <c:pt idx="267">
                        <c:v>-1.33</c:v>
                      </c:pt>
                      <c:pt idx="268">
                        <c:v>-1.32</c:v>
                      </c:pt>
                      <c:pt idx="269">
                        <c:v>-1.31</c:v>
                      </c:pt>
                      <c:pt idx="270">
                        <c:v>-1.3</c:v>
                      </c:pt>
                      <c:pt idx="271">
                        <c:v>-1.29</c:v>
                      </c:pt>
                      <c:pt idx="272">
                        <c:v>-1.28</c:v>
                      </c:pt>
                      <c:pt idx="273">
                        <c:v>-1.27</c:v>
                      </c:pt>
                      <c:pt idx="274">
                        <c:v>-1.26</c:v>
                      </c:pt>
                      <c:pt idx="275">
                        <c:v>-1.25</c:v>
                      </c:pt>
                      <c:pt idx="276">
                        <c:v>-1.24</c:v>
                      </c:pt>
                      <c:pt idx="277">
                        <c:v>-1.23</c:v>
                      </c:pt>
                      <c:pt idx="278">
                        <c:v>-1.22</c:v>
                      </c:pt>
                      <c:pt idx="279">
                        <c:v>-1.21</c:v>
                      </c:pt>
                      <c:pt idx="280">
                        <c:v>-1.2</c:v>
                      </c:pt>
                      <c:pt idx="281">
                        <c:v>-1.19</c:v>
                      </c:pt>
                      <c:pt idx="282">
                        <c:v>-1.18</c:v>
                      </c:pt>
                      <c:pt idx="283">
                        <c:v>-1.17</c:v>
                      </c:pt>
                      <c:pt idx="284">
                        <c:v>-1.1599999999999999</c:v>
                      </c:pt>
                      <c:pt idx="285">
                        <c:v>-1.1499999999999999</c:v>
                      </c:pt>
                      <c:pt idx="286">
                        <c:v>-1.1399999999999999</c:v>
                      </c:pt>
                      <c:pt idx="287">
                        <c:v>-1.1299999999999999</c:v>
                      </c:pt>
                      <c:pt idx="288">
                        <c:v>-1.1200000000000001</c:v>
                      </c:pt>
                      <c:pt idx="289">
                        <c:v>-1.1100000000000001</c:v>
                      </c:pt>
                      <c:pt idx="290">
                        <c:v>-1.1000000000000001</c:v>
                      </c:pt>
                      <c:pt idx="291">
                        <c:v>-1.0900000000000001</c:v>
                      </c:pt>
                      <c:pt idx="292">
                        <c:v>-1.08</c:v>
                      </c:pt>
                      <c:pt idx="293">
                        <c:v>-1.07</c:v>
                      </c:pt>
                      <c:pt idx="294">
                        <c:v>-1.06</c:v>
                      </c:pt>
                      <c:pt idx="295">
                        <c:v>-1.05</c:v>
                      </c:pt>
                      <c:pt idx="296">
                        <c:v>-1.04</c:v>
                      </c:pt>
                      <c:pt idx="297">
                        <c:v>-1.03</c:v>
                      </c:pt>
                      <c:pt idx="298">
                        <c:v>-1.02</c:v>
                      </c:pt>
                      <c:pt idx="299">
                        <c:v>-1.01</c:v>
                      </c:pt>
                      <c:pt idx="300">
                        <c:v>-1</c:v>
                      </c:pt>
                      <c:pt idx="301">
                        <c:v>-0.99</c:v>
                      </c:pt>
                      <c:pt idx="302">
                        <c:v>-0.98</c:v>
                      </c:pt>
                      <c:pt idx="303">
                        <c:v>-0.97</c:v>
                      </c:pt>
                      <c:pt idx="304">
                        <c:v>-0.96</c:v>
                      </c:pt>
                      <c:pt idx="305">
                        <c:v>-0.95</c:v>
                      </c:pt>
                      <c:pt idx="306">
                        <c:v>-0.94</c:v>
                      </c:pt>
                      <c:pt idx="307">
                        <c:v>-0.93</c:v>
                      </c:pt>
                      <c:pt idx="308">
                        <c:v>-0.92</c:v>
                      </c:pt>
                      <c:pt idx="309">
                        <c:v>-0.91</c:v>
                      </c:pt>
                      <c:pt idx="310">
                        <c:v>-0.9</c:v>
                      </c:pt>
                      <c:pt idx="311">
                        <c:v>-0.89</c:v>
                      </c:pt>
                      <c:pt idx="312">
                        <c:v>-0.88</c:v>
                      </c:pt>
                      <c:pt idx="313">
                        <c:v>-0.87</c:v>
                      </c:pt>
                      <c:pt idx="314">
                        <c:v>-0.86</c:v>
                      </c:pt>
                      <c:pt idx="315">
                        <c:v>-0.85</c:v>
                      </c:pt>
                      <c:pt idx="316">
                        <c:v>-0.84</c:v>
                      </c:pt>
                      <c:pt idx="317">
                        <c:v>-0.83</c:v>
                      </c:pt>
                      <c:pt idx="318">
                        <c:v>-0.82</c:v>
                      </c:pt>
                      <c:pt idx="319">
                        <c:v>-0.81</c:v>
                      </c:pt>
                      <c:pt idx="320">
                        <c:v>-0.8</c:v>
                      </c:pt>
                      <c:pt idx="321">
                        <c:v>-0.79</c:v>
                      </c:pt>
                      <c:pt idx="322">
                        <c:v>-0.78</c:v>
                      </c:pt>
                      <c:pt idx="323">
                        <c:v>-0.77</c:v>
                      </c:pt>
                      <c:pt idx="324">
                        <c:v>-0.76</c:v>
                      </c:pt>
                      <c:pt idx="325">
                        <c:v>-0.75</c:v>
                      </c:pt>
                      <c:pt idx="326">
                        <c:v>-0.74</c:v>
                      </c:pt>
                      <c:pt idx="327">
                        <c:v>-0.73</c:v>
                      </c:pt>
                      <c:pt idx="328">
                        <c:v>-0.72</c:v>
                      </c:pt>
                      <c:pt idx="329">
                        <c:v>-0.71</c:v>
                      </c:pt>
                      <c:pt idx="330">
                        <c:v>-0.7</c:v>
                      </c:pt>
                      <c:pt idx="331">
                        <c:v>-0.69</c:v>
                      </c:pt>
                      <c:pt idx="332">
                        <c:v>-0.68</c:v>
                      </c:pt>
                      <c:pt idx="333">
                        <c:v>-0.67</c:v>
                      </c:pt>
                      <c:pt idx="334">
                        <c:v>-0.66</c:v>
                      </c:pt>
                      <c:pt idx="335">
                        <c:v>-0.65</c:v>
                      </c:pt>
                      <c:pt idx="336">
                        <c:v>-0.64</c:v>
                      </c:pt>
                      <c:pt idx="337">
                        <c:v>-0.63</c:v>
                      </c:pt>
                      <c:pt idx="338">
                        <c:v>-0.62</c:v>
                      </c:pt>
                      <c:pt idx="339">
                        <c:v>-0.61</c:v>
                      </c:pt>
                      <c:pt idx="340">
                        <c:v>-0.6</c:v>
                      </c:pt>
                      <c:pt idx="341">
                        <c:v>-0.59</c:v>
                      </c:pt>
                      <c:pt idx="342">
                        <c:v>-0.57999999999999996</c:v>
                      </c:pt>
                      <c:pt idx="343">
                        <c:v>-0.56999999999999995</c:v>
                      </c:pt>
                      <c:pt idx="344">
                        <c:v>-0.56000000000000005</c:v>
                      </c:pt>
                      <c:pt idx="345">
                        <c:v>-0.55000000000000004</c:v>
                      </c:pt>
                      <c:pt idx="346">
                        <c:v>-0.54</c:v>
                      </c:pt>
                      <c:pt idx="347">
                        <c:v>-0.53</c:v>
                      </c:pt>
                      <c:pt idx="348">
                        <c:v>-0.52</c:v>
                      </c:pt>
                      <c:pt idx="349">
                        <c:v>-0.51</c:v>
                      </c:pt>
                      <c:pt idx="350">
                        <c:v>-0.5</c:v>
                      </c:pt>
                      <c:pt idx="351">
                        <c:v>-0.49</c:v>
                      </c:pt>
                      <c:pt idx="352">
                        <c:v>-0.48</c:v>
                      </c:pt>
                      <c:pt idx="353">
                        <c:v>-0.47</c:v>
                      </c:pt>
                      <c:pt idx="354">
                        <c:v>-0.46</c:v>
                      </c:pt>
                      <c:pt idx="355">
                        <c:v>-0.45</c:v>
                      </c:pt>
                      <c:pt idx="356">
                        <c:v>-0.44</c:v>
                      </c:pt>
                      <c:pt idx="357">
                        <c:v>-0.43</c:v>
                      </c:pt>
                      <c:pt idx="358">
                        <c:v>-0.42</c:v>
                      </c:pt>
                      <c:pt idx="359">
                        <c:v>-0.41</c:v>
                      </c:pt>
                      <c:pt idx="360">
                        <c:v>-0.4</c:v>
                      </c:pt>
                      <c:pt idx="361">
                        <c:v>-0.39</c:v>
                      </c:pt>
                      <c:pt idx="362">
                        <c:v>-0.38</c:v>
                      </c:pt>
                      <c:pt idx="363">
                        <c:v>-0.37</c:v>
                      </c:pt>
                      <c:pt idx="364">
                        <c:v>-0.36</c:v>
                      </c:pt>
                      <c:pt idx="365">
                        <c:v>-0.35</c:v>
                      </c:pt>
                      <c:pt idx="366">
                        <c:v>-0.34</c:v>
                      </c:pt>
                      <c:pt idx="367">
                        <c:v>-0.33</c:v>
                      </c:pt>
                      <c:pt idx="368">
                        <c:v>-0.32</c:v>
                      </c:pt>
                      <c:pt idx="369">
                        <c:v>-0.31</c:v>
                      </c:pt>
                      <c:pt idx="370">
                        <c:v>-0.3</c:v>
                      </c:pt>
                      <c:pt idx="371">
                        <c:v>-0.28999999999999998</c:v>
                      </c:pt>
                      <c:pt idx="372">
                        <c:v>-0.28000000000000003</c:v>
                      </c:pt>
                      <c:pt idx="373">
                        <c:v>-0.27</c:v>
                      </c:pt>
                      <c:pt idx="374">
                        <c:v>-0.26</c:v>
                      </c:pt>
                      <c:pt idx="375">
                        <c:v>-0.25</c:v>
                      </c:pt>
                      <c:pt idx="376">
                        <c:v>-0.24</c:v>
                      </c:pt>
                      <c:pt idx="377">
                        <c:v>-0.23</c:v>
                      </c:pt>
                      <c:pt idx="378">
                        <c:v>-0.22</c:v>
                      </c:pt>
                      <c:pt idx="379">
                        <c:v>-0.21</c:v>
                      </c:pt>
                      <c:pt idx="380">
                        <c:v>-0.2</c:v>
                      </c:pt>
                      <c:pt idx="381">
                        <c:v>-0.19</c:v>
                      </c:pt>
                      <c:pt idx="382">
                        <c:v>-0.18</c:v>
                      </c:pt>
                      <c:pt idx="383">
                        <c:v>-0.17</c:v>
                      </c:pt>
                      <c:pt idx="384">
                        <c:v>-0.16</c:v>
                      </c:pt>
                      <c:pt idx="385">
                        <c:v>-0.15</c:v>
                      </c:pt>
                      <c:pt idx="386">
                        <c:v>-0.14000000000000001</c:v>
                      </c:pt>
                      <c:pt idx="387">
                        <c:v>-0.13</c:v>
                      </c:pt>
                      <c:pt idx="388">
                        <c:v>-0.12</c:v>
                      </c:pt>
                      <c:pt idx="389">
                        <c:v>-0.11</c:v>
                      </c:pt>
                      <c:pt idx="390">
                        <c:v>-0.1</c:v>
                      </c:pt>
                      <c:pt idx="391">
                        <c:v>-0.09</c:v>
                      </c:pt>
                      <c:pt idx="392">
                        <c:v>-0.08</c:v>
                      </c:pt>
                      <c:pt idx="393">
                        <c:v>-7.0000000000000007E-2</c:v>
                      </c:pt>
                      <c:pt idx="394">
                        <c:v>-0.06</c:v>
                      </c:pt>
                      <c:pt idx="395">
                        <c:v>-0.05</c:v>
                      </c:pt>
                      <c:pt idx="396">
                        <c:v>-0.04</c:v>
                      </c:pt>
                      <c:pt idx="397">
                        <c:v>-0.03</c:v>
                      </c:pt>
                      <c:pt idx="398">
                        <c:v>-0.02</c:v>
                      </c:pt>
                      <c:pt idx="399">
                        <c:v>-0.01</c:v>
                      </c:pt>
                      <c:pt idx="400">
                        <c:v>0</c:v>
                      </c:pt>
                      <c:pt idx="401">
                        <c:v>0.01</c:v>
                      </c:pt>
                      <c:pt idx="402">
                        <c:v>0.02</c:v>
                      </c:pt>
                      <c:pt idx="403">
                        <c:v>0.03</c:v>
                      </c:pt>
                      <c:pt idx="404">
                        <c:v>0.04</c:v>
                      </c:pt>
                      <c:pt idx="405">
                        <c:v>0.05</c:v>
                      </c:pt>
                      <c:pt idx="406">
                        <c:v>0.06</c:v>
                      </c:pt>
                      <c:pt idx="407">
                        <c:v>7.0000000000000007E-2</c:v>
                      </c:pt>
                      <c:pt idx="408">
                        <c:v>0.08</c:v>
                      </c:pt>
                      <c:pt idx="409">
                        <c:v>0.09</c:v>
                      </c:pt>
                      <c:pt idx="410">
                        <c:v>0.1</c:v>
                      </c:pt>
                      <c:pt idx="411">
                        <c:v>0.11</c:v>
                      </c:pt>
                      <c:pt idx="412">
                        <c:v>0.12</c:v>
                      </c:pt>
                      <c:pt idx="413">
                        <c:v>0.13</c:v>
                      </c:pt>
                      <c:pt idx="414">
                        <c:v>0.14000000000000001</c:v>
                      </c:pt>
                      <c:pt idx="415">
                        <c:v>0.15</c:v>
                      </c:pt>
                      <c:pt idx="416">
                        <c:v>0.16</c:v>
                      </c:pt>
                      <c:pt idx="417">
                        <c:v>0.17</c:v>
                      </c:pt>
                      <c:pt idx="418">
                        <c:v>0.18</c:v>
                      </c:pt>
                      <c:pt idx="419">
                        <c:v>0.19</c:v>
                      </c:pt>
                      <c:pt idx="420">
                        <c:v>0.2</c:v>
                      </c:pt>
                      <c:pt idx="421">
                        <c:v>0.21</c:v>
                      </c:pt>
                      <c:pt idx="422">
                        <c:v>0.22</c:v>
                      </c:pt>
                      <c:pt idx="423">
                        <c:v>0.23</c:v>
                      </c:pt>
                      <c:pt idx="424">
                        <c:v>0.24</c:v>
                      </c:pt>
                      <c:pt idx="425">
                        <c:v>0.25</c:v>
                      </c:pt>
                      <c:pt idx="426">
                        <c:v>0.26</c:v>
                      </c:pt>
                      <c:pt idx="427">
                        <c:v>0.27</c:v>
                      </c:pt>
                      <c:pt idx="428">
                        <c:v>0.28000000000000003</c:v>
                      </c:pt>
                      <c:pt idx="429">
                        <c:v>0.28999999999999998</c:v>
                      </c:pt>
                      <c:pt idx="430">
                        <c:v>0.3</c:v>
                      </c:pt>
                      <c:pt idx="431">
                        <c:v>0.31</c:v>
                      </c:pt>
                      <c:pt idx="432">
                        <c:v>0.32</c:v>
                      </c:pt>
                      <c:pt idx="433">
                        <c:v>0.33</c:v>
                      </c:pt>
                      <c:pt idx="434">
                        <c:v>0.34</c:v>
                      </c:pt>
                      <c:pt idx="435">
                        <c:v>0.35</c:v>
                      </c:pt>
                      <c:pt idx="436">
                        <c:v>0.36</c:v>
                      </c:pt>
                      <c:pt idx="437">
                        <c:v>0.37</c:v>
                      </c:pt>
                      <c:pt idx="438">
                        <c:v>0.38</c:v>
                      </c:pt>
                      <c:pt idx="439">
                        <c:v>0.39</c:v>
                      </c:pt>
                      <c:pt idx="440">
                        <c:v>0.4</c:v>
                      </c:pt>
                      <c:pt idx="441">
                        <c:v>0.41</c:v>
                      </c:pt>
                      <c:pt idx="442">
                        <c:v>0.42</c:v>
                      </c:pt>
                      <c:pt idx="443">
                        <c:v>0.43</c:v>
                      </c:pt>
                      <c:pt idx="444">
                        <c:v>0.44</c:v>
                      </c:pt>
                      <c:pt idx="445">
                        <c:v>0.45</c:v>
                      </c:pt>
                      <c:pt idx="446">
                        <c:v>0.46</c:v>
                      </c:pt>
                      <c:pt idx="447">
                        <c:v>0.47</c:v>
                      </c:pt>
                      <c:pt idx="448">
                        <c:v>0.48</c:v>
                      </c:pt>
                      <c:pt idx="449">
                        <c:v>0.49</c:v>
                      </c:pt>
                      <c:pt idx="450">
                        <c:v>0.5</c:v>
                      </c:pt>
                      <c:pt idx="451">
                        <c:v>0.51</c:v>
                      </c:pt>
                      <c:pt idx="452">
                        <c:v>0.52</c:v>
                      </c:pt>
                      <c:pt idx="453">
                        <c:v>0.53</c:v>
                      </c:pt>
                      <c:pt idx="454">
                        <c:v>0.54</c:v>
                      </c:pt>
                      <c:pt idx="455">
                        <c:v>0.55000000000000004</c:v>
                      </c:pt>
                      <c:pt idx="456">
                        <c:v>0.56000000000000005</c:v>
                      </c:pt>
                      <c:pt idx="457">
                        <c:v>0.56999999999999995</c:v>
                      </c:pt>
                      <c:pt idx="458">
                        <c:v>0.57999999999999996</c:v>
                      </c:pt>
                      <c:pt idx="459">
                        <c:v>0.59</c:v>
                      </c:pt>
                      <c:pt idx="460">
                        <c:v>0.6</c:v>
                      </c:pt>
                      <c:pt idx="461">
                        <c:v>0.61</c:v>
                      </c:pt>
                      <c:pt idx="462">
                        <c:v>0.62</c:v>
                      </c:pt>
                      <c:pt idx="463">
                        <c:v>0.63</c:v>
                      </c:pt>
                      <c:pt idx="464">
                        <c:v>0.64</c:v>
                      </c:pt>
                      <c:pt idx="465">
                        <c:v>0.65</c:v>
                      </c:pt>
                      <c:pt idx="466">
                        <c:v>0.66</c:v>
                      </c:pt>
                      <c:pt idx="467">
                        <c:v>0.67</c:v>
                      </c:pt>
                      <c:pt idx="468">
                        <c:v>0.68</c:v>
                      </c:pt>
                      <c:pt idx="469">
                        <c:v>0.69</c:v>
                      </c:pt>
                      <c:pt idx="470">
                        <c:v>0.7</c:v>
                      </c:pt>
                      <c:pt idx="471">
                        <c:v>0.71</c:v>
                      </c:pt>
                      <c:pt idx="472">
                        <c:v>0.72</c:v>
                      </c:pt>
                      <c:pt idx="473">
                        <c:v>0.73</c:v>
                      </c:pt>
                      <c:pt idx="474">
                        <c:v>0.74</c:v>
                      </c:pt>
                      <c:pt idx="475">
                        <c:v>0.75</c:v>
                      </c:pt>
                      <c:pt idx="476">
                        <c:v>0.76</c:v>
                      </c:pt>
                      <c:pt idx="477">
                        <c:v>0.77</c:v>
                      </c:pt>
                      <c:pt idx="478">
                        <c:v>0.78</c:v>
                      </c:pt>
                      <c:pt idx="479">
                        <c:v>0.79</c:v>
                      </c:pt>
                      <c:pt idx="480">
                        <c:v>0.8</c:v>
                      </c:pt>
                      <c:pt idx="481">
                        <c:v>0.81</c:v>
                      </c:pt>
                      <c:pt idx="482">
                        <c:v>0.82</c:v>
                      </c:pt>
                      <c:pt idx="483">
                        <c:v>0.83</c:v>
                      </c:pt>
                      <c:pt idx="484">
                        <c:v>0.84</c:v>
                      </c:pt>
                      <c:pt idx="485">
                        <c:v>0.85</c:v>
                      </c:pt>
                      <c:pt idx="486">
                        <c:v>0.86</c:v>
                      </c:pt>
                      <c:pt idx="487">
                        <c:v>0.87</c:v>
                      </c:pt>
                      <c:pt idx="488">
                        <c:v>0.88</c:v>
                      </c:pt>
                      <c:pt idx="489">
                        <c:v>0.89</c:v>
                      </c:pt>
                      <c:pt idx="490">
                        <c:v>0.9</c:v>
                      </c:pt>
                      <c:pt idx="491">
                        <c:v>0.91</c:v>
                      </c:pt>
                      <c:pt idx="492">
                        <c:v>0.92</c:v>
                      </c:pt>
                      <c:pt idx="493">
                        <c:v>0.93</c:v>
                      </c:pt>
                      <c:pt idx="494">
                        <c:v>0.94</c:v>
                      </c:pt>
                      <c:pt idx="495">
                        <c:v>0.95</c:v>
                      </c:pt>
                      <c:pt idx="496">
                        <c:v>0.96</c:v>
                      </c:pt>
                      <c:pt idx="497">
                        <c:v>0.97</c:v>
                      </c:pt>
                      <c:pt idx="498">
                        <c:v>0.98</c:v>
                      </c:pt>
                      <c:pt idx="499">
                        <c:v>0.99</c:v>
                      </c:pt>
                      <c:pt idx="500">
                        <c:v>1</c:v>
                      </c:pt>
                      <c:pt idx="501">
                        <c:v>1.01</c:v>
                      </c:pt>
                      <c:pt idx="502">
                        <c:v>1.02</c:v>
                      </c:pt>
                      <c:pt idx="503">
                        <c:v>1.03</c:v>
                      </c:pt>
                      <c:pt idx="504">
                        <c:v>1.04</c:v>
                      </c:pt>
                      <c:pt idx="505">
                        <c:v>1.05</c:v>
                      </c:pt>
                      <c:pt idx="506">
                        <c:v>1.06</c:v>
                      </c:pt>
                      <c:pt idx="507">
                        <c:v>1.07</c:v>
                      </c:pt>
                      <c:pt idx="508">
                        <c:v>1.08</c:v>
                      </c:pt>
                      <c:pt idx="509">
                        <c:v>1.0900000000000001</c:v>
                      </c:pt>
                      <c:pt idx="510">
                        <c:v>1.1000000000000001</c:v>
                      </c:pt>
                      <c:pt idx="511">
                        <c:v>1.1100000000000001</c:v>
                      </c:pt>
                      <c:pt idx="512">
                        <c:v>1.1200000000000001</c:v>
                      </c:pt>
                      <c:pt idx="513">
                        <c:v>1.1299999999999999</c:v>
                      </c:pt>
                      <c:pt idx="514">
                        <c:v>1.1399999999999999</c:v>
                      </c:pt>
                      <c:pt idx="515">
                        <c:v>1.1499999999999999</c:v>
                      </c:pt>
                      <c:pt idx="516">
                        <c:v>1.1599999999999999</c:v>
                      </c:pt>
                      <c:pt idx="517">
                        <c:v>1.17</c:v>
                      </c:pt>
                      <c:pt idx="518">
                        <c:v>1.18</c:v>
                      </c:pt>
                      <c:pt idx="519">
                        <c:v>1.19</c:v>
                      </c:pt>
                      <c:pt idx="520">
                        <c:v>1.2</c:v>
                      </c:pt>
                      <c:pt idx="521">
                        <c:v>1.21</c:v>
                      </c:pt>
                      <c:pt idx="522">
                        <c:v>1.22</c:v>
                      </c:pt>
                      <c:pt idx="523">
                        <c:v>1.23</c:v>
                      </c:pt>
                      <c:pt idx="524">
                        <c:v>1.24</c:v>
                      </c:pt>
                      <c:pt idx="525">
                        <c:v>1.25</c:v>
                      </c:pt>
                      <c:pt idx="526">
                        <c:v>1.26</c:v>
                      </c:pt>
                      <c:pt idx="527">
                        <c:v>1.27</c:v>
                      </c:pt>
                      <c:pt idx="528">
                        <c:v>1.28</c:v>
                      </c:pt>
                      <c:pt idx="529">
                        <c:v>1.29</c:v>
                      </c:pt>
                      <c:pt idx="530">
                        <c:v>1.3</c:v>
                      </c:pt>
                      <c:pt idx="531">
                        <c:v>1.31</c:v>
                      </c:pt>
                      <c:pt idx="532">
                        <c:v>1.32</c:v>
                      </c:pt>
                      <c:pt idx="533">
                        <c:v>1.33</c:v>
                      </c:pt>
                      <c:pt idx="534">
                        <c:v>1.34</c:v>
                      </c:pt>
                      <c:pt idx="535">
                        <c:v>1.35</c:v>
                      </c:pt>
                      <c:pt idx="536">
                        <c:v>1.36</c:v>
                      </c:pt>
                      <c:pt idx="537">
                        <c:v>1.37</c:v>
                      </c:pt>
                      <c:pt idx="538">
                        <c:v>1.38</c:v>
                      </c:pt>
                      <c:pt idx="539">
                        <c:v>1.39</c:v>
                      </c:pt>
                      <c:pt idx="540">
                        <c:v>1.4</c:v>
                      </c:pt>
                      <c:pt idx="541">
                        <c:v>1.41</c:v>
                      </c:pt>
                      <c:pt idx="542">
                        <c:v>1.42</c:v>
                      </c:pt>
                      <c:pt idx="543">
                        <c:v>1.43</c:v>
                      </c:pt>
                      <c:pt idx="544">
                        <c:v>1.44</c:v>
                      </c:pt>
                      <c:pt idx="545">
                        <c:v>1.45</c:v>
                      </c:pt>
                      <c:pt idx="546">
                        <c:v>1.46</c:v>
                      </c:pt>
                      <c:pt idx="547">
                        <c:v>1.47</c:v>
                      </c:pt>
                      <c:pt idx="548">
                        <c:v>1.48</c:v>
                      </c:pt>
                      <c:pt idx="549">
                        <c:v>1.49</c:v>
                      </c:pt>
                      <c:pt idx="550">
                        <c:v>1.5</c:v>
                      </c:pt>
                      <c:pt idx="551">
                        <c:v>1.51</c:v>
                      </c:pt>
                      <c:pt idx="552">
                        <c:v>1.52</c:v>
                      </c:pt>
                      <c:pt idx="553">
                        <c:v>1.53</c:v>
                      </c:pt>
                      <c:pt idx="554">
                        <c:v>1.54</c:v>
                      </c:pt>
                      <c:pt idx="555">
                        <c:v>1.55</c:v>
                      </c:pt>
                      <c:pt idx="556">
                        <c:v>1.56</c:v>
                      </c:pt>
                      <c:pt idx="557">
                        <c:v>1.57</c:v>
                      </c:pt>
                      <c:pt idx="558">
                        <c:v>1.58</c:v>
                      </c:pt>
                      <c:pt idx="559">
                        <c:v>1.59</c:v>
                      </c:pt>
                      <c:pt idx="560">
                        <c:v>1.6</c:v>
                      </c:pt>
                      <c:pt idx="561">
                        <c:v>1.61</c:v>
                      </c:pt>
                      <c:pt idx="562">
                        <c:v>1.62</c:v>
                      </c:pt>
                      <c:pt idx="563">
                        <c:v>1.63</c:v>
                      </c:pt>
                      <c:pt idx="564">
                        <c:v>1.64</c:v>
                      </c:pt>
                      <c:pt idx="565">
                        <c:v>1.65</c:v>
                      </c:pt>
                      <c:pt idx="566">
                        <c:v>1.66</c:v>
                      </c:pt>
                      <c:pt idx="567">
                        <c:v>1.67</c:v>
                      </c:pt>
                      <c:pt idx="568">
                        <c:v>1.68</c:v>
                      </c:pt>
                      <c:pt idx="569">
                        <c:v>1.69</c:v>
                      </c:pt>
                      <c:pt idx="570">
                        <c:v>1.7</c:v>
                      </c:pt>
                      <c:pt idx="571">
                        <c:v>1.71</c:v>
                      </c:pt>
                      <c:pt idx="572">
                        <c:v>1.72</c:v>
                      </c:pt>
                      <c:pt idx="573">
                        <c:v>1.73</c:v>
                      </c:pt>
                      <c:pt idx="574">
                        <c:v>1.74</c:v>
                      </c:pt>
                      <c:pt idx="575">
                        <c:v>1.75</c:v>
                      </c:pt>
                      <c:pt idx="576">
                        <c:v>1.76</c:v>
                      </c:pt>
                      <c:pt idx="577">
                        <c:v>1.77</c:v>
                      </c:pt>
                      <c:pt idx="578">
                        <c:v>1.78</c:v>
                      </c:pt>
                      <c:pt idx="579">
                        <c:v>1.79</c:v>
                      </c:pt>
                      <c:pt idx="580">
                        <c:v>1.8</c:v>
                      </c:pt>
                      <c:pt idx="581">
                        <c:v>1.81</c:v>
                      </c:pt>
                      <c:pt idx="582">
                        <c:v>1.82</c:v>
                      </c:pt>
                      <c:pt idx="583">
                        <c:v>1.83</c:v>
                      </c:pt>
                      <c:pt idx="584">
                        <c:v>1.84</c:v>
                      </c:pt>
                      <c:pt idx="585">
                        <c:v>1.85</c:v>
                      </c:pt>
                      <c:pt idx="586">
                        <c:v>1.86</c:v>
                      </c:pt>
                      <c:pt idx="587">
                        <c:v>1.87</c:v>
                      </c:pt>
                      <c:pt idx="588">
                        <c:v>1.88</c:v>
                      </c:pt>
                      <c:pt idx="589">
                        <c:v>1.89</c:v>
                      </c:pt>
                      <c:pt idx="590">
                        <c:v>1.9</c:v>
                      </c:pt>
                      <c:pt idx="591">
                        <c:v>1.91</c:v>
                      </c:pt>
                      <c:pt idx="592">
                        <c:v>1.92</c:v>
                      </c:pt>
                      <c:pt idx="593">
                        <c:v>1.93</c:v>
                      </c:pt>
                      <c:pt idx="594">
                        <c:v>1.94</c:v>
                      </c:pt>
                      <c:pt idx="595">
                        <c:v>1.95</c:v>
                      </c:pt>
                      <c:pt idx="596">
                        <c:v>1.96</c:v>
                      </c:pt>
                      <c:pt idx="597">
                        <c:v>1.97</c:v>
                      </c:pt>
                      <c:pt idx="598">
                        <c:v>1.98</c:v>
                      </c:pt>
                      <c:pt idx="599">
                        <c:v>1.99</c:v>
                      </c:pt>
                      <c:pt idx="600">
                        <c:v>2</c:v>
                      </c:pt>
                      <c:pt idx="601">
                        <c:v>2.0099999999999998</c:v>
                      </c:pt>
                      <c:pt idx="602">
                        <c:v>2.02</c:v>
                      </c:pt>
                      <c:pt idx="603">
                        <c:v>2.0299999999999998</c:v>
                      </c:pt>
                      <c:pt idx="604">
                        <c:v>2.04</c:v>
                      </c:pt>
                      <c:pt idx="605">
                        <c:v>2.0499999999999998</c:v>
                      </c:pt>
                      <c:pt idx="606">
                        <c:v>2.06</c:v>
                      </c:pt>
                      <c:pt idx="607">
                        <c:v>2.0699999999999998</c:v>
                      </c:pt>
                      <c:pt idx="608">
                        <c:v>2.08</c:v>
                      </c:pt>
                      <c:pt idx="609">
                        <c:v>2.09</c:v>
                      </c:pt>
                      <c:pt idx="610">
                        <c:v>2.1</c:v>
                      </c:pt>
                      <c:pt idx="611">
                        <c:v>2.11</c:v>
                      </c:pt>
                      <c:pt idx="612">
                        <c:v>2.12</c:v>
                      </c:pt>
                      <c:pt idx="613">
                        <c:v>2.13</c:v>
                      </c:pt>
                      <c:pt idx="614">
                        <c:v>2.14</c:v>
                      </c:pt>
                      <c:pt idx="615">
                        <c:v>2.15</c:v>
                      </c:pt>
                      <c:pt idx="616">
                        <c:v>2.16</c:v>
                      </c:pt>
                      <c:pt idx="617">
                        <c:v>2.17</c:v>
                      </c:pt>
                      <c:pt idx="618">
                        <c:v>2.1800000000000002</c:v>
                      </c:pt>
                      <c:pt idx="619">
                        <c:v>2.19</c:v>
                      </c:pt>
                      <c:pt idx="620">
                        <c:v>2.2000000000000002</c:v>
                      </c:pt>
                      <c:pt idx="621">
                        <c:v>2.21</c:v>
                      </c:pt>
                      <c:pt idx="622">
                        <c:v>2.2200000000000002</c:v>
                      </c:pt>
                      <c:pt idx="623">
                        <c:v>2.23</c:v>
                      </c:pt>
                      <c:pt idx="624">
                        <c:v>2.2400000000000002</c:v>
                      </c:pt>
                      <c:pt idx="625">
                        <c:v>2.25</c:v>
                      </c:pt>
                      <c:pt idx="626">
                        <c:v>2.2599999999999998</c:v>
                      </c:pt>
                      <c:pt idx="627">
                        <c:v>2.27</c:v>
                      </c:pt>
                      <c:pt idx="628">
                        <c:v>2.2799999999999998</c:v>
                      </c:pt>
                      <c:pt idx="629">
                        <c:v>2.29</c:v>
                      </c:pt>
                      <c:pt idx="630">
                        <c:v>2.2999999999999998</c:v>
                      </c:pt>
                      <c:pt idx="631">
                        <c:v>2.31</c:v>
                      </c:pt>
                      <c:pt idx="632">
                        <c:v>2.3199999999999998</c:v>
                      </c:pt>
                      <c:pt idx="633">
                        <c:v>2.33</c:v>
                      </c:pt>
                      <c:pt idx="634">
                        <c:v>2.34</c:v>
                      </c:pt>
                      <c:pt idx="635">
                        <c:v>2.35</c:v>
                      </c:pt>
                      <c:pt idx="636">
                        <c:v>2.36</c:v>
                      </c:pt>
                      <c:pt idx="637">
                        <c:v>2.37</c:v>
                      </c:pt>
                      <c:pt idx="638">
                        <c:v>2.38</c:v>
                      </c:pt>
                      <c:pt idx="639">
                        <c:v>2.39</c:v>
                      </c:pt>
                      <c:pt idx="640">
                        <c:v>2.4</c:v>
                      </c:pt>
                      <c:pt idx="641">
                        <c:v>2.41</c:v>
                      </c:pt>
                      <c:pt idx="642">
                        <c:v>2.42</c:v>
                      </c:pt>
                      <c:pt idx="643">
                        <c:v>2.4300000000000002</c:v>
                      </c:pt>
                      <c:pt idx="644">
                        <c:v>2.44</c:v>
                      </c:pt>
                      <c:pt idx="645">
                        <c:v>2.4500000000000002</c:v>
                      </c:pt>
                      <c:pt idx="646">
                        <c:v>2.46</c:v>
                      </c:pt>
                      <c:pt idx="647">
                        <c:v>2.4700000000000002</c:v>
                      </c:pt>
                      <c:pt idx="648">
                        <c:v>2.48</c:v>
                      </c:pt>
                      <c:pt idx="649">
                        <c:v>2.4900000000000002</c:v>
                      </c:pt>
                      <c:pt idx="650">
                        <c:v>2.5</c:v>
                      </c:pt>
                      <c:pt idx="651">
                        <c:v>2.5099999999999998</c:v>
                      </c:pt>
                      <c:pt idx="652">
                        <c:v>2.52</c:v>
                      </c:pt>
                      <c:pt idx="653">
                        <c:v>2.5299999999999998</c:v>
                      </c:pt>
                      <c:pt idx="654">
                        <c:v>2.54</c:v>
                      </c:pt>
                      <c:pt idx="655">
                        <c:v>2.5499999999999998</c:v>
                      </c:pt>
                      <c:pt idx="656">
                        <c:v>2.56</c:v>
                      </c:pt>
                      <c:pt idx="657">
                        <c:v>2.57</c:v>
                      </c:pt>
                      <c:pt idx="658">
                        <c:v>2.58</c:v>
                      </c:pt>
                      <c:pt idx="659">
                        <c:v>2.59</c:v>
                      </c:pt>
                      <c:pt idx="660">
                        <c:v>2.6</c:v>
                      </c:pt>
                      <c:pt idx="661">
                        <c:v>2.61</c:v>
                      </c:pt>
                      <c:pt idx="662">
                        <c:v>2.62</c:v>
                      </c:pt>
                      <c:pt idx="663">
                        <c:v>2.63</c:v>
                      </c:pt>
                      <c:pt idx="664">
                        <c:v>2.64</c:v>
                      </c:pt>
                      <c:pt idx="665">
                        <c:v>2.65</c:v>
                      </c:pt>
                      <c:pt idx="666">
                        <c:v>2.66</c:v>
                      </c:pt>
                      <c:pt idx="667">
                        <c:v>2.67</c:v>
                      </c:pt>
                      <c:pt idx="668">
                        <c:v>2.68</c:v>
                      </c:pt>
                      <c:pt idx="669">
                        <c:v>2.69</c:v>
                      </c:pt>
                      <c:pt idx="670">
                        <c:v>2.7</c:v>
                      </c:pt>
                      <c:pt idx="671">
                        <c:v>2.71</c:v>
                      </c:pt>
                      <c:pt idx="672">
                        <c:v>2.72</c:v>
                      </c:pt>
                      <c:pt idx="673">
                        <c:v>2.73</c:v>
                      </c:pt>
                      <c:pt idx="674">
                        <c:v>2.74</c:v>
                      </c:pt>
                      <c:pt idx="675">
                        <c:v>2.75</c:v>
                      </c:pt>
                      <c:pt idx="676">
                        <c:v>2.76</c:v>
                      </c:pt>
                      <c:pt idx="677">
                        <c:v>2.77</c:v>
                      </c:pt>
                      <c:pt idx="678">
                        <c:v>2.78</c:v>
                      </c:pt>
                      <c:pt idx="679">
                        <c:v>2.79</c:v>
                      </c:pt>
                      <c:pt idx="680">
                        <c:v>2.8</c:v>
                      </c:pt>
                      <c:pt idx="681">
                        <c:v>2.81</c:v>
                      </c:pt>
                      <c:pt idx="682">
                        <c:v>2.82</c:v>
                      </c:pt>
                      <c:pt idx="683">
                        <c:v>2.83</c:v>
                      </c:pt>
                      <c:pt idx="684">
                        <c:v>2.84</c:v>
                      </c:pt>
                      <c:pt idx="685">
                        <c:v>2.85</c:v>
                      </c:pt>
                      <c:pt idx="686">
                        <c:v>2.86</c:v>
                      </c:pt>
                      <c:pt idx="687">
                        <c:v>2.87</c:v>
                      </c:pt>
                      <c:pt idx="688">
                        <c:v>2.88</c:v>
                      </c:pt>
                      <c:pt idx="689">
                        <c:v>2.89</c:v>
                      </c:pt>
                      <c:pt idx="690">
                        <c:v>2.9</c:v>
                      </c:pt>
                      <c:pt idx="691">
                        <c:v>2.91</c:v>
                      </c:pt>
                      <c:pt idx="692">
                        <c:v>2.92</c:v>
                      </c:pt>
                      <c:pt idx="693">
                        <c:v>2.93</c:v>
                      </c:pt>
                      <c:pt idx="694">
                        <c:v>2.94</c:v>
                      </c:pt>
                      <c:pt idx="695">
                        <c:v>2.95</c:v>
                      </c:pt>
                      <c:pt idx="696">
                        <c:v>2.96</c:v>
                      </c:pt>
                      <c:pt idx="697">
                        <c:v>2.97</c:v>
                      </c:pt>
                      <c:pt idx="698">
                        <c:v>2.98</c:v>
                      </c:pt>
                      <c:pt idx="699">
                        <c:v>2.99</c:v>
                      </c:pt>
                      <c:pt idx="700">
                        <c:v>3</c:v>
                      </c:pt>
                      <c:pt idx="701">
                        <c:v>3.01</c:v>
                      </c:pt>
                      <c:pt idx="702">
                        <c:v>3.02</c:v>
                      </c:pt>
                      <c:pt idx="703">
                        <c:v>3.03</c:v>
                      </c:pt>
                      <c:pt idx="704">
                        <c:v>3.04</c:v>
                      </c:pt>
                      <c:pt idx="705">
                        <c:v>3.05</c:v>
                      </c:pt>
                      <c:pt idx="706">
                        <c:v>3.06</c:v>
                      </c:pt>
                      <c:pt idx="707">
                        <c:v>3.07</c:v>
                      </c:pt>
                      <c:pt idx="708">
                        <c:v>3.08</c:v>
                      </c:pt>
                      <c:pt idx="709">
                        <c:v>3.09</c:v>
                      </c:pt>
                      <c:pt idx="710">
                        <c:v>3.1</c:v>
                      </c:pt>
                      <c:pt idx="711">
                        <c:v>3.11</c:v>
                      </c:pt>
                      <c:pt idx="712">
                        <c:v>3.12</c:v>
                      </c:pt>
                      <c:pt idx="713">
                        <c:v>3.13</c:v>
                      </c:pt>
                      <c:pt idx="714">
                        <c:v>3.14</c:v>
                      </c:pt>
                      <c:pt idx="715">
                        <c:v>3.15</c:v>
                      </c:pt>
                      <c:pt idx="716">
                        <c:v>3.16</c:v>
                      </c:pt>
                      <c:pt idx="717">
                        <c:v>3.17</c:v>
                      </c:pt>
                      <c:pt idx="718">
                        <c:v>3.18</c:v>
                      </c:pt>
                      <c:pt idx="719">
                        <c:v>3.19</c:v>
                      </c:pt>
                      <c:pt idx="720">
                        <c:v>3.2</c:v>
                      </c:pt>
                      <c:pt idx="721">
                        <c:v>3.21</c:v>
                      </c:pt>
                      <c:pt idx="722">
                        <c:v>3.22</c:v>
                      </c:pt>
                      <c:pt idx="723">
                        <c:v>3.23</c:v>
                      </c:pt>
                      <c:pt idx="724">
                        <c:v>3.24</c:v>
                      </c:pt>
                      <c:pt idx="725">
                        <c:v>3.25</c:v>
                      </c:pt>
                      <c:pt idx="726">
                        <c:v>3.26</c:v>
                      </c:pt>
                      <c:pt idx="727">
                        <c:v>3.27</c:v>
                      </c:pt>
                      <c:pt idx="728">
                        <c:v>3.28</c:v>
                      </c:pt>
                      <c:pt idx="729">
                        <c:v>3.29</c:v>
                      </c:pt>
                      <c:pt idx="730">
                        <c:v>3.3</c:v>
                      </c:pt>
                      <c:pt idx="731">
                        <c:v>3.31</c:v>
                      </c:pt>
                      <c:pt idx="732">
                        <c:v>3.32</c:v>
                      </c:pt>
                      <c:pt idx="733">
                        <c:v>3.33</c:v>
                      </c:pt>
                      <c:pt idx="734">
                        <c:v>3.34</c:v>
                      </c:pt>
                      <c:pt idx="735">
                        <c:v>3.35</c:v>
                      </c:pt>
                      <c:pt idx="736">
                        <c:v>3.36</c:v>
                      </c:pt>
                      <c:pt idx="737">
                        <c:v>3.37</c:v>
                      </c:pt>
                      <c:pt idx="738">
                        <c:v>3.38</c:v>
                      </c:pt>
                      <c:pt idx="739">
                        <c:v>3.39</c:v>
                      </c:pt>
                      <c:pt idx="740">
                        <c:v>3.4</c:v>
                      </c:pt>
                      <c:pt idx="741">
                        <c:v>3.41</c:v>
                      </c:pt>
                      <c:pt idx="742">
                        <c:v>3.42</c:v>
                      </c:pt>
                      <c:pt idx="743">
                        <c:v>3.43</c:v>
                      </c:pt>
                      <c:pt idx="744">
                        <c:v>3.44</c:v>
                      </c:pt>
                      <c:pt idx="745">
                        <c:v>3.45</c:v>
                      </c:pt>
                      <c:pt idx="746">
                        <c:v>3.46</c:v>
                      </c:pt>
                      <c:pt idx="747">
                        <c:v>3.47</c:v>
                      </c:pt>
                      <c:pt idx="748">
                        <c:v>3.48</c:v>
                      </c:pt>
                      <c:pt idx="749">
                        <c:v>3.49</c:v>
                      </c:pt>
                      <c:pt idx="750">
                        <c:v>3.5</c:v>
                      </c:pt>
                      <c:pt idx="751">
                        <c:v>3.51</c:v>
                      </c:pt>
                      <c:pt idx="752">
                        <c:v>3.52</c:v>
                      </c:pt>
                      <c:pt idx="753">
                        <c:v>3.53</c:v>
                      </c:pt>
                      <c:pt idx="754">
                        <c:v>3.54</c:v>
                      </c:pt>
                      <c:pt idx="755">
                        <c:v>3.55</c:v>
                      </c:pt>
                      <c:pt idx="756">
                        <c:v>3.56</c:v>
                      </c:pt>
                      <c:pt idx="757">
                        <c:v>3.57</c:v>
                      </c:pt>
                      <c:pt idx="758">
                        <c:v>3.58</c:v>
                      </c:pt>
                      <c:pt idx="759">
                        <c:v>3.59</c:v>
                      </c:pt>
                      <c:pt idx="760">
                        <c:v>3.6</c:v>
                      </c:pt>
                      <c:pt idx="761">
                        <c:v>3.61</c:v>
                      </c:pt>
                      <c:pt idx="762">
                        <c:v>3.62</c:v>
                      </c:pt>
                      <c:pt idx="763">
                        <c:v>3.63</c:v>
                      </c:pt>
                      <c:pt idx="764">
                        <c:v>3.64</c:v>
                      </c:pt>
                      <c:pt idx="765">
                        <c:v>3.65</c:v>
                      </c:pt>
                      <c:pt idx="766">
                        <c:v>3.66</c:v>
                      </c:pt>
                      <c:pt idx="767">
                        <c:v>3.67</c:v>
                      </c:pt>
                      <c:pt idx="768">
                        <c:v>3.68</c:v>
                      </c:pt>
                      <c:pt idx="769">
                        <c:v>3.69</c:v>
                      </c:pt>
                      <c:pt idx="770">
                        <c:v>3.7</c:v>
                      </c:pt>
                      <c:pt idx="771">
                        <c:v>3.71</c:v>
                      </c:pt>
                      <c:pt idx="772">
                        <c:v>3.72</c:v>
                      </c:pt>
                      <c:pt idx="773">
                        <c:v>3.73</c:v>
                      </c:pt>
                      <c:pt idx="774">
                        <c:v>3.74</c:v>
                      </c:pt>
                      <c:pt idx="775">
                        <c:v>3.75</c:v>
                      </c:pt>
                      <c:pt idx="776">
                        <c:v>3.76</c:v>
                      </c:pt>
                      <c:pt idx="777">
                        <c:v>3.77</c:v>
                      </c:pt>
                      <c:pt idx="778">
                        <c:v>3.78</c:v>
                      </c:pt>
                      <c:pt idx="779">
                        <c:v>3.79</c:v>
                      </c:pt>
                      <c:pt idx="780">
                        <c:v>3.8</c:v>
                      </c:pt>
                      <c:pt idx="781">
                        <c:v>3.81</c:v>
                      </c:pt>
                      <c:pt idx="782">
                        <c:v>3.82</c:v>
                      </c:pt>
                      <c:pt idx="783">
                        <c:v>3.83</c:v>
                      </c:pt>
                      <c:pt idx="784">
                        <c:v>3.84</c:v>
                      </c:pt>
                      <c:pt idx="785">
                        <c:v>3.85</c:v>
                      </c:pt>
                      <c:pt idx="786">
                        <c:v>3.86</c:v>
                      </c:pt>
                      <c:pt idx="787">
                        <c:v>3.87</c:v>
                      </c:pt>
                      <c:pt idx="788">
                        <c:v>3.88</c:v>
                      </c:pt>
                      <c:pt idx="789">
                        <c:v>3.89</c:v>
                      </c:pt>
                      <c:pt idx="790">
                        <c:v>3.9</c:v>
                      </c:pt>
                      <c:pt idx="791">
                        <c:v>3.91</c:v>
                      </c:pt>
                      <c:pt idx="792">
                        <c:v>3.92</c:v>
                      </c:pt>
                      <c:pt idx="793">
                        <c:v>3.93</c:v>
                      </c:pt>
                      <c:pt idx="794">
                        <c:v>3.94</c:v>
                      </c:pt>
                      <c:pt idx="795">
                        <c:v>3.95</c:v>
                      </c:pt>
                      <c:pt idx="796">
                        <c:v>3.96</c:v>
                      </c:pt>
                      <c:pt idx="797">
                        <c:v>3.97</c:v>
                      </c:pt>
                      <c:pt idx="798">
                        <c:v>3.98</c:v>
                      </c:pt>
                      <c:pt idx="799">
                        <c:v>3.99</c:v>
                      </c:pt>
                      <c:pt idx="800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'Лист1 (4)'!$Y$3:$Y$803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1.3383022576488537E-4</c:v>
                      </c:pt>
                      <c:pt idx="1">
                        <c:v>1.3928497646575994E-4</c:v>
                      </c:pt>
                      <c:pt idx="2">
                        <c:v>1.4494756042389106E-4</c:v>
                      </c:pt>
                      <c:pt idx="3">
                        <c:v>1.508252715505178E-4</c:v>
                      </c:pt>
                      <c:pt idx="4">
                        <c:v>1.5692563406553226E-4</c:v>
                      </c:pt>
                      <c:pt idx="5">
                        <c:v>1.6325640876624199E-4</c:v>
                      </c:pt>
                      <c:pt idx="6">
                        <c:v>1.6982559942934359E-4</c:v>
                      </c:pt>
                      <c:pt idx="7">
                        <c:v>1.7664145934757092E-4</c:v>
                      </c:pt>
                      <c:pt idx="8">
                        <c:v>1.8371249800245711E-4</c:v>
                      </c:pt>
                      <c:pt idx="9">
                        <c:v>1.9104748787459762E-4</c:v>
                      </c:pt>
                      <c:pt idx="10">
                        <c:v>1.9865547139277272E-4</c:v>
                      </c:pt>
                      <c:pt idx="11">
                        <c:v>2.0654576802322548E-4</c:v>
                      </c:pt>
                      <c:pt idx="12">
                        <c:v>2.1472798150036704E-4</c:v>
                      </c:pt>
                      <c:pt idx="13">
                        <c:v>2.2321200720010206E-4</c:v>
                      </c:pt>
                      <c:pt idx="14">
                        <c:v>2.3200803965694238E-4</c:v>
                      </c:pt>
                      <c:pt idx="15">
                        <c:v>2.4112658022599324E-4</c:v>
                      </c:pt>
                      <c:pt idx="16">
                        <c:v>2.5057844489086075E-4</c:v>
                      </c:pt>
                      <c:pt idx="17">
                        <c:v>2.6037477221844247E-4</c:v>
                      </c:pt>
                      <c:pt idx="18">
                        <c:v>2.70527031461521E-4</c:v>
                      </c:pt>
                      <c:pt idx="19">
                        <c:v>2.8104703080998632E-4</c:v>
                      </c:pt>
                      <c:pt idx="20">
                        <c:v>2.9194692579146027E-4</c:v>
                      </c:pt>
                      <c:pt idx="21">
                        <c:v>3.0323922782200417E-4</c:v>
                      </c:pt>
                      <c:pt idx="22">
                        <c:v>3.1493681290752188E-4</c:v>
                      </c:pt>
                      <c:pt idx="23">
                        <c:v>3.2705293049637498E-4</c:v>
                      </c:pt>
                      <c:pt idx="24">
                        <c:v>3.3960121248365478E-4</c:v>
                      </c:pt>
                      <c:pt idx="25">
                        <c:v>3.5259568236744541E-4</c:v>
                      </c:pt>
                      <c:pt idx="26">
                        <c:v>3.6605076455733496E-4</c:v>
                      </c:pt>
                      <c:pt idx="27">
                        <c:v>3.7998129383532141E-4</c:v>
                      </c:pt>
                      <c:pt idx="28">
                        <c:v>3.9440252496915622E-4</c:v>
                      </c:pt>
                      <c:pt idx="29">
                        <c:v>4.0933014247807883E-4</c:v>
                      </c:pt>
                      <c:pt idx="30">
                        <c:v>4.2478027055075143E-4</c:v>
                      </c:pt>
                      <c:pt idx="31">
                        <c:v>4.4076948311513252E-4</c:v>
                      </c:pt>
                      <c:pt idx="32">
                        <c:v>4.5731481405985675E-4</c:v>
                      </c:pt>
                      <c:pt idx="33">
                        <c:v>4.7443376760662064E-4</c:v>
                      </c:pt>
                      <c:pt idx="34">
                        <c:v>4.9214432883289312E-4</c:v>
                      </c:pt>
                      <c:pt idx="35">
                        <c:v>5.104649743441856E-4</c:v>
                      </c:pt>
                      <c:pt idx="36">
                        <c:v>5.2941468309493475E-4</c:v>
                      </c:pt>
                      <c:pt idx="37">
                        <c:v>5.490129473569587E-4</c:v>
                      </c:pt>
                      <c:pt idx="38">
                        <c:v>5.6927978383425261E-4</c:v>
                      </c:pt>
                      <c:pt idx="39">
                        <c:v>5.9023574492278561E-4</c:v>
                      </c:pt>
                      <c:pt idx="40">
                        <c:v>6.119019301137719E-4</c:v>
                      </c:pt>
                      <c:pt idx="41">
                        <c:v>6.342999975387576E-4</c:v>
                      </c:pt>
                      <c:pt idx="42">
                        <c:v>6.5745217565467645E-4</c:v>
                      </c:pt>
                      <c:pt idx="43">
                        <c:v>6.8138127506689212E-4</c:v>
                      </c:pt>
                      <c:pt idx="44">
                        <c:v>7.061107004880362E-4</c:v>
                      </c:pt>
                      <c:pt idx="45">
                        <c:v>7.3166446283031089E-4</c:v>
                      </c:pt>
                      <c:pt idx="46">
                        <c:v>7.580671914287103E-4</c:v>
                      </c:pt>
                      <c:pt idx="47">
                        <c:v>7.8534414639246997E-4</c:v>
                      </c:pt>
                      <c:pt idx="48">
                        <c:v>8.1352123108180841E-4</c:v>
                      </c:pt>
                      <c:pt idx="49">
                        <c:v>8.4262500470690268E-4</c:v>
                      </c:pt>
                      <c:pt idx="50">
                        <c:v>8.7268269504576015E-4</c:v>
                      </c:pt>
                      <c:pt idx="51">
                        <c:v>9.0372221127752448E-4</c:v>
                      </c:pt>
                      <c:pt idx="52">
                        <c:v>9.3577215692747977E-4</c:v>
                      </c:pt>
                      <c:pt idx="53">
                        <c:v>9.6886184291984591E-4</c:v>
                      </c:pt>
                      <c:pt idx="54">
                        <c:v>1.0030213007342376E-3</c:v>
                      </c:pt>
                      <c:pt idx="55">
                        <c:v>1.0382812956614103E-3</c:v>
                      </c:pt>
                      <c:pt idx="56">
                        <c:v>1.0746733401537356E-3</c:v>
                      </c:pt>
                      <c:pt idx="57">
                        <c:v>1.1122297072655649E-3</c:v>
                      </c:pt>
                      <c:pt idx="58">
                        <c:v>1.1509834441784845E-3</c:v>
                      </c:pt>
                      <c:pt idx="59">
                        <c:v>1.1909683858061166E-3</c:v>
                      </c:pt>
                      <c:pt idx="60">
                        <c:v>1.2322191684730199E-3</c:v>
                      </c:pt>
                      <c:pt idx="61">
                        <c:v>1.2747712436618327E-3</c:v>
                      </c:pt>
                      <c:pt idx="62">
                        <c:v>1.3186608918227423E-3</c:v>
                      </c:pt>
                      <c:pt idx="63">
                        <c:v>1.3639252362389036E-3</c:v>
                      </c:pt>
                      <c:pt idx="64">
                        <c:v>1.4106022569413848E-3</c:v>
                      </c:pt>
                      <c:pt idx="65">
                        <c:v>1.4587308046667459E-3</c:v>
                      </c:pt>
                      <c:pt idx="66">
                        <c:v>1.5083506148503073E-3</c:v>
                      </c:pt>
                      <c:pt idx="67">
                        <c:v>1.5595023216476915E-3</c:v>
                      </c:pt>
                      <c:pt idx="68">
                        <c:v>1.6122274719771244E-3</c:v>
                      </c:pt>
                      <c:pt idx="69">
                        <c:v>1.6665685395745797E-3</c:v>
                      </c:pt>
                      <c:pt idx="70">
                        <c:v>1.7225689390536812E-3</c:v>
                      </c:pt>
                      <c:pt idx="71">
                        <c:v>1.7802730399618786E-3</c:v>
                      </c:pt>
                      <c:pt idx="72">
                        <c:v>1.839726180824281E-3</c:v>
                      </c:pt>
                      <c:pt idx="73">
                        <c:v>1.9009746831660803E-3</c:v>
                      </c:pt>
                      <c:pt idx="74">
                        <c:v>1.9640658655043761E-3</c:v>
                      </c:pt>
                      <c:pt idx="75">
                        <c:v>2.0290480572997681E-3</c:v>
                      </c:pt>
                      <c:pt idx="76">
                        <c:v>2.0959706128579419E-3</c:v>
                      </c:pt>
                      <c:pt idx="77">
                        <c:v>2.164883925171062E-3</c:v>
                      </c:pt>
                      <c:pt idx="78">
                        <c:v>2.2358394396885385E-3</c:v>
                      </c:pt>
                      <c:pt idx="79">
                        <c:v>2.3088896680064958E-3</c:v>
                      </c:pt>
                      <c:pt idx="80">
                        <c:v>2.3840882014648404E-3</c:v>
                      </c:pt>
                      <c:pt idx="81">
                        <c:v>2.4614897246407006E-3</c:v>
                      </c:pt>
                      <c:pt idx="82">
                        <c:v>2.5411500287265214E-3</c:v>
                      </c:pt>
                      <c:pt idx="83">
                        <c:v>2.6231260247810244E-3</c:v>
                      </c:pt>
                      <c:pt idx="84">
                        <c:v>2.7074757568406999E-3</c:v>
                      </c:pt>
                      <c:pt idx="85">
                        <c:v>2.7942584148794472E-3</c:v>
                      </c:pt>
                      <c:pt idx="86">
                        <c:v>2.8835343476034392E-3</c:v>
                      </c:pt>
                      <c:pt idx="87">
                        <c:v>2.9753650750682535E-3</c:v>
                      </c:pt>
                      <c:pt idx="88">
                        <c:v>3.0698133011047403E-3</c:v>
                      </c:pt>
                      <c:pt idx="89">
                        <c:v>3.1669429255400811E-3</c:v>
                      </c:pt>
                      <c:pt idx="90">
                        <c:v>3.2668190561999182E-3</c:v>
                      </c:pt>
                      <c:pt idx="91">
                        <c:v>3.3695080206774812E-3</c:v>
                      </c:pt>
                      <c:pt idx="92">
                        <c:v>3.4750773778549375E-3</c:v>
                      </c:pt>
                      <c:pt idx="93">
                        <c:v>3.5835959291623614E-3</c:v>
                      </c:pt>
                      <c:pt idx="94">
                        <c:v>3.6951337295590349E-3</c:v>
                      </c:pt>
                      <c:pt idx="95">
                        <c:v>3.8097620982218104E-3</c:v>
                      </c:pt>
                      <c:pt idx="96">
                        <c:v>3.9275536289247789E-3</c:v>
                      </c:pt>
                      <c:pt idx="97">
                        <c:v>4.04858220009443E-3</c:v>
                      </c:pt>
                      <c:pt idx="98">
                        <c:v>4.1729229845239623E-3</c:v>
                      </c:pt>
                      <c:pt idx="99">
                        <c:v>4.3006524587304498E-3</c:v>
                      </c:pt>
                      <c:pt idx="100">
                        <c:v>4.4318484119380075E-3</c:v>
                      </c:pt>
                      <c:pt idx="101">
                        <c:v>4.5665899546701444E-3</c:v>
                      </c:pt>
                      <c:pt idx="102">
                        <c:v>4.7049575269339792E-3</c:v>
                      </c:pt>
                      <c:pt idx="103">
                        <c:v>4.847032905978944E-3</c:v>
                      </c:pt>
                      <c:pt idx="104">
                        <c:v>4.9928992136123763E-3</c:v>
                      </c:pt>
                      <c:pt idx="105">
                        <c:v>5.1426409230539392E-3</c:v>
                      </c:pt>
                      <c:pt idx="106">
                        <c:v>5.2963438653110201E-3</c:v>
                      </c:pt>
                      <c:pt idx="107">
                        <c:v>5.4540952350565454E-3</c:v>
                      </c:pt>
                      <c:pt idx="108">
                        <c:v>5.615983595990969E-3</c:v>
                      </c:pt>
                      <c:pt idx="109">
                        <c:v>5.7820988856694729E-3</c:v>
                      </c:pt>
                      <c:pt idx="110">
                        <c:v>5.9525324197758538E-3</c:v>
                      </c:pt>
                      <c:pt idx="111">
                        <c:v>6.1273768958236873E-3</c:v>
                      </c:pt>
                      <c:pt idx="112">
                        <c:v>6.3067263962659275E-3</c:v>
                      </c:pt>
                      <c:pt idx="113">
                        <c:v>6.4906763909933643E-3</c:v>
                      </c:pt>
                      <c:pt idx="114">
                        <c:v>6.6793237392026202E-3</c:v>
                      </c:pt>
                      <c:pt idx="115">
                        <c:v>6.8727666906139712E-3</c:v>
                      </c:pt>
                      <c:pt idx="116">
                        <c:v>7.0711048860194487E-3</c:v>
                      </c:pt>
                      <c:pt idx="117">
                        <c:v>7.2744393571412182E-3</c:v>
                      </c:pt>
                      <c:pt idx="118">
                        <c:v>7.4828725257805638E-3</c:v>
                      </c:pt>
                      <c:pt idx="119">
                        <c:v>7.6965082022373218E-3</c:v>
                      </c:pt>
                      <c:pt idx="120">
                        <c:v>7.9154515829799686E-3</c:v>
                      </c:pt>
                      <c:pt idx="121">
                        <c:v>8.1398092475460215E-3</c:v>
                      </c:pt>
                      <c:pt idx="122">
                        <c:v>8.369689154653033E-3</c:v>
                      </c:pt>
                      <c:pt idx="123">
                        <c:v>8.6052006374996715E-3</c:v>
                      </c:pt>
                      <c:pt idx="124">
                        <c:v>8.8464543982372315E-3</c:v>
                      </c:pt>
                      <c:pt idx="125">
                        <c:v>9.0935625015910529E-3</c:v>
                      </c:pt>
                      <c:pt idx="126">
                        <c:v>9.3466383676122835E-3</c:v>
                      </c:pt>
                      <c:pt idx="127">
                        <c:v>9.6057967635395872E-3</c:v>
                      </c:pt>
                      <c:pt idx="128">
                        <c:v>9.8711537947511301E-3</c:v>
                      </c:pt>
                      <c:pt idx="129">
                        <c:v>1.0142826894787077E-2</c:v>
                      </c:pt>
                      <c:pt idx="130">
                        <c:v>1.0420934814422592E-2</c:v>
                      </c:pt>
                      <c:pt idx="131">
                        <c:v>1.0705597609772187E-2</c:v>
                      </c:pt>
                      <c:pt idx="132">
                        <c:v>1.0996936629405572E-2</c:v>
                      </c:pt>
                      <c:pt idx="133">
                        <c:v>1.1295074500456135E-2</c:v>
                      </c:pt>
                      <c:pt idx="134">
                        <c:v>1.1600135113702561E-2</c:v>
                      </c:pt>
                      <c:pt idx="135">
                        <c:v>1.1912243607605179E-2</c:v>
                      </c:pt>
                      <c:pt idx="136">
                        <c:v>1.2231526351277971E-2</c:v>
                      </c:pt>
                      <c:pt idx="137">
                        <c:v>1.2558110926378211E-2</c:v>
                      </c:pt>
                      <c:pt idx="138">
                        <c:v>1.2892126107895304E-2</c:v>
                      </c:pt>
                      <c:pt idx="139">
                        <c:v>1.3233701843821374E-2</c:v>
                      </c:pt>
                      <c:pt idx="140">
                        <c:v>1.3582969233685613E-2</c:v>
                      </c:pt>
                      <c:pt idx="141">
                        <c:v>1.3940060505935825E-2</c:v>
                      </c:pt>
                      <c:pt idx="142">
                        <c:v>1.430510899414969E-2</c:v>
                      </c:pt>
                      <c:pt idx="143">
                        <c:v>1.4678249112060044E-2</c:v>
                      </c:pt>
                      <c:pt idx="144">
                        <c:v>1.5059616327377449E-2</c:v>
                      </c:pt>
                      <c:pt idx="145">
                        <c:v>1.5449347134395174E-2</c:v>
                      </c:pt>
                      <c:pt idx="146">
                        <c:v>1.5847579025360818E-2</c:v>
                      </c:pt>
                      <c:pt idx="147">
                        <c:v>1.6254450460600506E-2</c:v>
                      </c:pt>
                      <c:pt idx="148">
                        <c:v>1.6670100837381057E-2</c:v>
                      </c:pt>
                      <c:pt idx="149">
                        <c:v>1.7094670457496956E-2</c:v>
                      </c:pt>
                      <c:pt idx="150">
                        <c:v>1.752830049356854E-2</c:v>
                      </c:pt>
                      <c:pt idx="151">
                        <c:v>1.7971132954039633E-2</c:v>
                      </c:pt>
                      <c:pt idx="152">
                        <c:v>1.8423310646862048E-2</c:v>
                      </c:pt>
                      <c:pt idx="153">
                        <c:v>1.8884977141856163E-2</c:v>
                      </c:pt>
                      <c:pt idx="154">
                        <c:v>1.9356276731736961E-2</c:v>
                      </c:pt>
                      <c:pt idx="155">
                        <c:v>1.9837354391795313E-2</c:v>
                      </c:pt>
                      <c:pt idx="156">
                        <c:v>2.0328355738225837E-2</c:v>
                      </c:pt>
                      <c:pt idx="157">
                        <c:v>2.0829426985092186E-2</c:v>
                      </c:pt>
                      <c:pt idx="158">
                        <c:v>2.1340714899922782E-2</c:v>
                      </c:pt>
                      <c:pt idx="159">
                        <c:v>2.1862366757929387E-2</c:v>
                      </c:pt>
                      <c:pt idx="160">
                        <c:v>2.2394530294842899E-2</c:v>
                      </c:pt>
                      <c:pt idx="161">
                        <c:v>2.2937353658360693E-2</c:v>
                      </c:pt>
                      <c:pt idx="162">
                        <c:v>2.3490985358201363E-2</c:v>
                      </c:pt>
                      <c:pt idx="163">
                        <c:v>2.4055574214762971E-2</c:v>
                      </c:pt>
                      <c:pt idx="164">
                        <c:v>2.4631269306382507E-2</c:v>
                      </c:pt>
                      <c:pt idx="165">
                        <c:v>2.5218219915194382E-2</c:v>
                      </c:pt>
                      <c:pt idx="166">
                        <c:v>2.581657547158769E-2</c:v>
                      </c:pt>
                      <c:pt idx="167">
                        <c:v>2.6426485497261721E-2</c:v>
                      </c:pt>
                      <c:pt idx="168">
                        <c:v>2.7048099546881785E-2</c:v>
                      </c:pt>
                      <c:pt idx="169">
                        <c:v>2.7681567148336573E-2</c:v>
                      </c:pt>
                      <c:pt idx="170">
                        <c:v>2.8327037741601186E-2</c:v>
                      </c:pt>
                      <c:pt idx="171">
                        <c:v>2.8984660616209412E-2</c:v>
                      </c:pt>
                      <c:pt idx="172">
                        <c:v>2.9654584847341278E-2</c:v>
                      </c:pt>
                      <c:pt idx="173">
                        <c:v>3.0336959230531636E-2</c:v>
                      </c:pt>
                      <c:pt idx="174">
                        <c:v>3.103193221500827E-2</c:v>
                      </c:pt>
                      <c:pt idx="175">
                        <c:v>3.1739651835667418E-2</c:v>
                      </c:pt>
                      <c:pt idx="176">
                        <c:v>3.2460265643697445E-2</c:v>
                      </c:pt>
                      <c:pt idx="177">
                        <c:v>3.3193920635861122E-2</c:v>
                      </c:pt>
                      <c:pt idx="178">
                        <c:v>3.3940763182449186E-2</c:v>
                      </c:pt>
                      <c:pt idx="179">
                        <c:v>3.470093895391882E-2</c:v>
                      </c:pt>
                      <c:pt idx="180">
                        <c:v>3.5474592846231424E-2</c:v>
                      </c:pt>
                      <c:pt idx="181">
                        <c:v>3.6261868904906222E-2</c:v>
                      </c:pt>
                      <c:pt idx="182">
                        <c:v>3.7062910247806474E-2</c:v>
                      </c:pt>
                      <c:pt idx="183">
                        <c:v>3.7877858986677483E-2</c:v>
                      </c:pt>
                      <c:pt idx="184">
                        <c:v>3.8706856147455608E-2</c:v>
                      </c:pt>
                      <c:pt idx="185">
                        <c:v>3.955004158937022E-2</c:v>
                      </c:pt>
                      <c:pt idx="186">
                        <c:v>4.0407553922860308E-2</c:v>
                      </c:pt>
                      <c:pt idx="187">
                        <c:v>4.1279530426330417E-2</c:v>
                      </c:pt>
                      <c:pt idx="188">
                        <c:v>4.2166106961770311E-2</c:v>
                      </c:pt>
                      <c:pt idx="189">
                        <c:v>4.3067417889265734E-2</c:v>
                      </c:pt>
                      <c:pt idx="190">
                        <c:v>4.3983595980427191E-2</c:v>
                      </c:pt>
                      <c:pt idx="191">
                        <c:v>4.49147723307671E-2</c:v>
                      </c:pt>
                      <c:pt idx="192">
                        <c:v>4.5861076271054887E-2</c:v>
                      </c:pt>
                      <c:pt idx="193">
                        <c:v>4.6822635277683163E-2</c:v>
                      </c:pt>
                      <c:pt idx="194">
                        <c:v>4.7799574882077034E-2</c:v>
                      </c:pt>
                      <c:pt idx="195">
                        <c:v>4.8792018579182764E-2</c:v>
                      </c:pt>
                      <c:pt idx="196">
                        <c:v>4.9800087735070775E-2</c:v>
                      </c:pt>
                      <c:pt idx="197">
                        <c:v>5.0823901493691204E-2</c:v>
                      </c:pt>
                      <c:pt idx="198">
                        <c:v>5.1863576682820565E-2</c:v>
                      </c:pt>
                      <c:pt idx="199">
                        <c:v>5.2919227719240312E-2</c:v>
                      </c:pt>
                      <c:pt idx="200">
                        <c:v>5.3990966513188063E-2</c:v>
                      </c:pt>
                      <c:pt idx="201">
                        <c:v>5.5078902372125767E-2</c:v>
                      </c:pt>
                      <c:pt idx="202">
                        <c:v>5.6183141903868049E-2</c:v>
                      </c:pt>
                      <c:pt idx="203">
                        <c:v>5.7303788919117131E-2</c:v>
                      </c:pt>
                      <c:pt idx="204">
                        <c:v>5.8440944333451469E-2</c:v>
                      </c:pt>
                      <c:pt idx="205">
                        <c:v>5.9594706068816075E-2</c:v>
                      </c:pt>
                      <c:pt idx="206">
                        <c:v>6.0765168954564776E-2</c:v>
                      </c:pt>
                      <c:pt idx="207">
                        <c:v>6.1952424628105164E-2</c:v>
                      </c:pt>
                      <c:pt idx="208">
                        <c:v>6.3156561435198655E-2</c:v>
                      </c:pt>
                      <c:pt idx="209">
                        <c:v>6.4377664329969359E-2</c:v>
                      </c:pt>
                      <c:pt idx="210">
                        <c:v>6.5615814774676595E-2</c:v>
                      </c:pt>
                      <c:pt idx="211">
                        <c:v>6.6871090639307157E-2</c:v>
                      </c:pt>
                      <c:pt idx="212">
                        <c:v>6.8143566101044578E-2</c:v>
                      </c:pt>
                      <c:pt idx="213">
                        <c:v>6.9433311543674187E-2</c:v>
                      </c:pt>
                      <c:pt idx="214">
                        <c:v>7.074039345698338E-2</c:v>
                      </c:pt>
                      <c:pt idx="215">
                        <c:v>7.2064874336217985E-2</c:v>
                      </c:pt>
                      <c:pt idx="216">
                        <c:v>7.3406812581656891E-2</c:v>
                      </c:pt>
                      <c:pt idx="217">
                        <c:v>7.4766262398367603E-2</c:v>
                      </c:pt>
                      <c:pt idx="218">
                        <c:v>7.6143273696207311E-2</c:v>
                      </c:pt>
                      <c:pt idx="219">
                        <c:v>7.7537891990133986E-2</c:v>
                      </c:pt>
                      <c:pt idx="220">
                        <c:v>7.8950158300894149E-2</c:v>
                      </c:pt>
                      <c:pt idx="221">
                        <c:v>8.038010905615417E-2</c:v>
                      </c:pt>
                      <c:pt idx="222">
                        <c:v>8.1827775992142804E-2</c:v>
                      </c:pt>
                      <c:pt idx="223">
                        <c:v>8.3293186055874463E-2</c:v>
                      </c:pt>
                      <c:pt idx="224">
                        <c:v>8.4776361308022227E-2</c:v>
                      </c:pt>
                      <c:pt idx="225">
                        <c:v>8.6277318826511532E-2</c:v>
                      </c:pt>
                      <c:pt idx="226">
                        <c:v>8.7796070610905622E-2</c:v>
                      </c:pt>
                      <c:pt idx="227">
                        <c:v>8.9332623487655E-2</c:v>
                      </c:pt>
                      <c:pt idx="228">
                        <c:v>9.0886979016282871E-2</c:v>
                      </c:pt>
                      <c:pt idx="229">
                        <c:v>9.2459133396580684E-2</c:v>
                      </c:pt>
                      <c:pt idx="230">
                        <c:v>9.4049077376886947E-2</c:v>
                      </c:pt>
                      <c:pt idx="231">
                        <c:v>9.5656796163524016E-2</c:v>
                      </c:pt>
                      <c:pt idx="232">
                        <c:v>9.7282269331467511E-2</c:v>
                      </c:pt>
                      <c:pt idx="233">
                        <c:v>9.8925470736323712E-2</c:v>
                      </c:pt>
                      <c:pt idx="234">
                        <c:v>0.10058636842769057</c:v>
                      </c:pt>
                      <c:pt idx="235">
                        <c:v>0.10226492456397804</c:v>
                      </c:pt>
                      <c:pt idx="236">
                        <c:v>0.10396109532876423</c:v>
                      </c:pt>
                      <c:pt idx="237">
                        <c:v>0.10567483084876363</c:v>
                      </c:pt>
                      <c:pt idx="238">
                        <c:v>0.1074060751134838</c:v>
                      </c:pt>
                      <c:pt idx="239">
                        <c:v>0.10915476589664735</c:v>
                      </c:pt>
                      <c:pt idx="240">
                        <c:v>0.11092083467945554</c:v>
                      </c:pt>
                      <c:pt idx="241">
                        <c:v>0.11270420657577056</c:v>
                      </c:pt>
                      <c:pt idx="242">
                        <c:v>0.11450480025929236</c:v>
                      </c:pt>
                      <c:pt idx="243">
                        <c:v>0.11632252789280709</c:v>
                      </c:pt>
                      <c:pt idx="244">
                        <c:v>0.11815729505958227</c:v>
                      </c:pt>
                      <c:pt idx="245">
                        <c:v>0.12000900069698558</c:v>
                      </c:pt>
                      <c:pt idx="246">
                        <c:v>0.12187753703240178</c:v>
                      </c:pt>
                      <c:pt idx="247">
                        <c:v>0.12376278952152313</c:v>
                      </c:pt>
                      <c:pt idx="248">
                        <c:v>0.12566463678908815</c:v>
                      </c:pt>
                      <c:pt idx="249">
                        <c:v>0.12758295057214186</c:v>
                      </c:pt>
                      <c:pt idx="250">
                        <c:v>0.12951759566589174</c:v>
                      </c:pt>
                      <c:pt idx="251">
                        <c:v>0.13146842987223104</c:v>
                      </c:pt>
                      <c:pt idx="252">
                        <c:v>0.13343530395100231</c:v>
                      </c:pt>
                      <c:pt idx="253">
                        <c:v>0.1354180615740713</c:v>
                      </c:pt>
                      <c:pt idx="254">
                        <c:v>0.13741653928228179</c:v>
                      </c:pt>
                      <c:pt idx="255">
                        <c:v>0.13943056644536028</c:v>
                      </c:pt>
                      <c:pt idx="256">
                        <c:v>0.14145996522483878</c:v>
                      </c:pt>
                      <c:pt idx="257">
                        <c:v>0.14350455054006242</c:v>
                      </c:pt>
                      <c:pt idx="258">
                        <c:v>0.14556413003734761</c:v>
                      </c:pt>
                      <c:pt idx="259">
                        <c:v>0.14763850406235574</c:v>
                      </c:pt>
                      <c:pt idx="260">
                        <c:v>0.14972746563574488</c:v>
                      </c:pt>
                      <c:pt idx="261">
                        <c:v>0.15183080043216168</c:v>
                      </c:pt>
                      <c:pt idx="262">
                        <c:v>0.15394828676263372</c:v>
                      </c:pt>
                      <c:pt idx="263">
                        <c:v>0.15607969556042084</c:v>
                      </c:pt>
                      <c:pt idx="264">
                        <c:v>0.15822479037038303</c:v>
                      </c:pt>
                      <c:pt idx="265">
                        <c:v>0.1603833273419196</c:v>
                      </c:pt>
                      <c:pt idx="266">
                        <c:v>0.16255505522553412</c:v>
                      </c:pt>
                      <c:pt idx="267">
                        <c:v>0.1647397153730768</c:v>
                      </c:pt>
                      <c:pt idx="268">
                        <c:v>0.16693704174171381</c:v>
                      </c:pt>
                      <c:pt idx="269">
                        <c:v>0.16914676090167238</c:v>
                      </c:pt>
                      <c:pt idx="270">
                        <c:v>0.17136859204780736</c:v>
                      </c:pt>
                      <c:pt idx="271">
                        <c:v>0.17360224701503299</c:v>
                      </c:pt>
                      <c:pt idx="272">
                        <c:v>0.17584743029766237</c:v>
                      </c:pt>
                      <c:pt idx="273">
                        <c:v>0.17810383907269359</c:v>
                      </c:pt>
                      <c:pt idx="274">
                        <c:v>0.18037116322708033</c:v>
                      </c:pt>
                      <c:pt idx="275">
                        <c:v>0.18264908538902191</c:v>
                      </c:pt>
                      <c:pt idx="276">
                        <c:v>0.18493728096330531</c:v>
                      </c:pt>
                      <c:pt idx="277">
                        <c:v>0.18723541817072956</c:v>
                      </c:pt>
                      <c:pt idx="278">
                        <c:v>0.18954315809164024</c:v>
                      </c:pt>
                      <c:pt idx="279">
                        <c:v>0.19186015471359938</c:v>
                      </c:pt>
                      <c:pt idx="280">
                        <c:v>0.19418605498321295</c:v>
                      </c:pt>
                      <c:pt idx="281">
                        <c:v>0.19652049886213654</c:v>
                      </c:pt>
                      <c:pt idx="282">
                        <c:v>0.19886311938727591</c:v>
                      </c:pt>
                      <c:pt idx="283">
                        <c:v>0.2012135427351974</c:v>
                      </c:pt>
                      <c:pt idx="284">
                        <c:v>0.20357138829075944</c:v>
                      </c:pt>
                      <c:pt idx="285">
                        <c:v>0.20593626871997478</c:v>
                      </c:pt>
                      <c:pt idx="286">
                        <c:v>0.20830779004710837</c:v>
                      </c:pt>
                      <c:pt idx="287">
                        <c:v>0.21068555173601533</c:v>
                      </c:pt>
                      <c:pt idx="288">
                        <c:v>0.21306914677571784</c:v>
                      </c:pt>
                      <c:pt idx="289">
                        <c:v>0.21545816177021967</c:v>
                      </c:pt>
                      <c:pt idx="290">
                        <c:v>0.21785217703255053</c:v>
                      </c:pt>
                      <c:pt idx="291">
                        <c:v>0.22025076668303326</c:v>
                      </c:pt>
                      <c:pt idx="292">
                        <c:v>0.22265349875176113</c:v>
                      </c:pt>
                      <c:pt idx="293">
                        <c:v>0.22505993528526966</c:v>
                      </c:pt>
                      <c:pt idx="294">
                        <c:v>0.22746963245738591</c:v>
                      </c:pt>
                      <c:pt idx="295">
                        <c:v>0.22988214068423302</c:v>
                      </c:pt>
                      <c:pt idx="296">
                        <c:v>0.2322970047433662</c:v>
                      </c:pt>
                      <c:pt idx="297">
                        <c:v>0.23471376389701182</c:v>
                      </c:pt>
                      <c:pt idx="298">
                        <c:v>0.23713195201937959</c:v>
                      </c:pt>
                      <c:pt idx="299">
                        <c:v>0.23955109772801336</c:v>
                      </c:pt>
                      <c:pt idx="300">
                        <c:v>0.24197072451914337</c:v>
                      </c:pt>
                      <c:pt idx="301">
                        <c:v>0.24439035090699956</c:v>
                      </c:pt>
                      <c:pt idx="302">
                        <c:v>0.24680949056704274</c:v>
                      </c:pt>
                      <c:pt idx="303">
                        <c:v>0.24922765248306594</c:v>
                      </c:pt>
                      <c:pt idx="304">
                        <c:v>0.25164434109811712</c:v>
                      </c:pt>
                      <c:pt idx="305">
                        <c:v>0.25405905646918903</c:v>
                      </c:pt>
                      <c:pt idx="306">
                        <c:v>0.25647129442562033</c:v>
                      </c:pt>
                      <c:pt idx="307">
                        <c:v>0.2588805467311488</c:v>
                      </c:pt>
                      <c:pt idx="308">
                        <c:v>0.26128630124955315</c:v>
                      </c:pt>
                      <c:pt idx="309">
                        <c:v>0.26368804211381813</c:v>
                      </c:pt>
                      <c:pt idx="310">
                        <c:v>0.26608524989875482</c:v>
                      </c:pt>
                      <c:pt idx="311">
                        <c:v>0.26847740179700241</c:v>
                      </c:pt>
                      <c:pt idx="312">
                        <c:v>0.27086397179833799</c:v>
                      </c:pt>
                      <c:pt idx="313">
                        <c:v>0.27324443087221623</c:v>
                      </c:pt>
                      <c:pt idx="314">
                        <c:v>0.27561824715345667</c:v>
                      </c:pt>
                      <c:pt idx="315">
                        <c:v>0.27798488613099648</c:v>
                      </c:pt>
                      <c:pt idx="316">
                        <c:v>0.28034381083962062</c:v>
                      </c:pt>
                      <c:pt idx="317">
                        <c:v>0.28269448205458025</c:v>
                      </c:pt>
                      <c:pt idx="318">
                        <c:v>0.28503635848900727</c:v>
                      </c:pt>
                      <c:pt idx="319">
                        <c:v>0.28736889699402829</c:v>
                      </c:pt>
                      <c:pt idx="320">
                        <c:v>0.28969155276148273</c:v>
                      </c:pt>
                      <c:pt idx="321">
                        <c:v>0.29200377952914142</c:v>
                      </c:pt>
                      <c:pt idx="322">
                        <c:v>0.29430502978832512</c:v>
                      </c:pt>
                      <c:pt idx="323">
                        <c:v>0.29659475499381571</c:v>
                      </c:pt>
                      <c:pt idx="324">
                        <c:v>0.29887240577595275</c:v>
                      </c:pt>
                      <c:pt idx="325">
                        <c:v>0.30113743215480443</c:v>
                      </c:pt>
                      <c:pt idx="326">
                        <c:v>0.30338928375630014</c:v>
                      </c:pt>
                      <c:pt idx="327">
                        <c:v>0.30562741003020988</c:v>
                      </c:pt>
                      <c:pt idx="328">
                        <c:v>0.30785126046985295</c:v>
                      </c:pt>
                      <c:pt idx="329">
                        <c:v>0.31006028483341613</c:v>
                      </c:pt>
                      <c:pt idx="330">
                        <c:v>0.31225393336676127</c:v>
                      </c:pt>
                      <c:pt idx="331">
                        <c:v>0.31443165702759734</c:v>
                      </c:pt>
                      <c:pt idx="332">
                        <c:v>0.31659290771089277</c:v>
                      </c:pt>
                      <c:pt idx="333">
                        <c:v>0.31873713847540153</c:v>
                      </c:pt>
                      <c:pt idx="334">
                        <c:v>0.32086380377117252</c:v>
                      </c:pt>
                      <c:pt idx="335">
                        <c:v>0.32297235966791427</c:v>
                      </c:pt>
                      <c:pt idx="336">
                        <c:v>0.32506226408408218</c:v>
                      </c:pt>
                      <c:pt idx="337">
                        <c:v>0.32713297701655447</c:v>
                      </c:pt>
                      <c:pt idx="338">
                        <c:v>0.32918396077076478</c:v>
                      </c:pt>
                      <c:pt idx="339">
                        <c:v>0.33121468019115297</c:v>
                      </c:pt>
                      <c:pt idx="340">
                        <c:v>0.33322460289179967</c:v>
                      </c:pt>
                      <c:pt idx="341">
                        <c:v>0.33521319948710609</c:v>
                      </c:pt>
                      <c:pt idx="342">
                        <c:v>0.33717994382238059</c:v>
                      </c:pt>
                      <c:pt idx="343">
                        <c:v>0.33912431320419223</c:v>
                      </c:pt>
                      <c:pt idx="344">
                        <c:v>0.34104578863035256</c:v>
                      </c:pt>
                      <c:pt idx="345">
                        <c:v>0.3429438550193839</c:v>
                      </c:pt>
                      <c:pt idx="346">
                        <c:v>0.34481800143933333</c:v>
                      </c:pt>
                      <c:pt idx="347">
                        <c:v>0.34666772133579166</c:v>
                      </c:pt>
                      <c:pt idx="348">
                        <c:v>0.34849251275897447</c:v>
                      </c:pt>
                      <c:pt idx="349">
                        <c:v>0.35029187858972582</c:v>
                      </c:pt>
                      <c:pt idx="350">
                        <c:v>0.35206532676429952</c:v>
                      </c:pt>
                      <c:pt idx="351">
                        <c:v>0.35381237049777969</c:v>
                      </c:pt>
                      <c:pt idx="352">
                        <c:v>0.35553252850599709</c:v>
                      </c:pt>
                      <c:pt idx="353">
                        <c:v>0.35722532522580086</c:v>
                      </c:pt>
                      <c:pt idx="354">
                        <c:v>0.35889029103354464</c:v>
                      </c:pt>
                      <c:pt idx="355">
                        <c:v>0.36052696246164795</c:v>
                      </c:pt>
                      <c:pt idx="356">
                        <c:v>0.36213488241309222</c:v>
                      </c:pt>
                      <c:pt idx="357">
                        <c:v>0.36371360037371342</c:v>
                      </c:pt>
                      <c:pt idx="358">
                        <c:v>0.36526267262215389</c:v>
                      </c:pt>
                      <c:pt idx="359">
                        <c:v>0.36678166243733612</c:v>
                      </c:pt>
                      <c:pt idx="360">
                        <c:v>0.36827014030332333</c:v>
                      </c:pt>
                      <c:pt idx="361">
                        <c:v>0.36972768411143236</c:v>
                      </c:pt>
                      <c:pt idx="362">
                        <c:v>0.37115387935946603</c:v>
                      </c:pt>
                      <c:pt idx="363">
                        <c:v>0.37254831934793342</c:v>
                      </c:pt>
                      <c:pt idx="364">
                        <c:v>0.37391060537312842</c:v>
                      </c:pt>
                      <c:pt idx="365">
                        <c:v>0.37524034691693792</c:v>
                      </c:pt>
                      <c:pt idx="366">
                        <c:v>0.37653716183325392</c:v>
                      </c:pt>
                      <c:pt idx="367">
                        <c:v>0.37780067653086458</c:v>
                      </c:pt>
                      <c:pt idx="368">
                        <c:v>0.37903052615270166</c:v>
                      </c:pt>
                      <c:pt idx="369">
                        <c:v>0.38022635475132494</c:v>
                      </c:pt>
                      <c:pt idx="370">
                        <c:v>0.38138781546052414</c:v>
                      </c:pt>
                      <c:pt idx="371">
                        <c:v>0.38251457066292405</c:v>
                      </c:pt>
                      <c:pt idx="372">
                        <c:v>0.38360629215347858</c:v>
                      </c:pt>
                      <c:pt idx="373">
                        <c:v>0.38466266129874283</c:v>
                      </c:pt>
                      <c:pt idx="374">
                        <c:v>0.38568336919181612</c:v>
                      </c:pt>
                      <c:pt idx="375">
                        <c:v>0.38666811680284924</c:v>
                      </c:pt>
                      <c:pt idx="376">
                        <c:v>0.38761661512501416</c:v>
                      </c:pt>
                      <c:pt idx="377">
                        <c:v>0.38852858531583589</c:v>
                      </c:pt>
                      <c:pt idx="378">
                        <c:v>0.38940375883379041</c:v>
                      </c:pt>
                      <c:pt idx="379">
                        <c:v>0.39024187757007428</c:v>
                      </c:pt>
                      <c:pt idx="380">
                        <c:v>0.39104269397545588</c:v>
                      </c:pt>
                      <c:pt idx="381">
                        <c:v>0.39180597118212113</c:v>
                      </c:pt>
                      <c:pt idx="382">
                        <c:v>0.3925314831204289</c:v>
                      </c:pt>
                      <c:pt idx="383">
                        <c:v>0.39321901463049719</c:v>
                      </c:pt>
                      <c:pt idx="384">
                        <c:v>0.39386836156854083</c:v>
                      </c:pt>
                      <c:pt idx="385">
                        <c:v>0.39447933090788895</c:v>
                      </c:pt>
                      <c:pt idx="386">
                        <c:v>0.39505174083461125</c:v>
                      </c:pt>
                      <c:pt idx="387">
                        <c:v>0.39558542083768738</c:v>
                      </c:pt>
                      <c:pt idx="388">
                        <c:v>0.3960802117936561</c:v>
                      </c:pt>
                      <c:pt idx="389">
                        <c:v>0.39653596604568575</c:v>
                      </c:pt>
                      <c:pt idx="390">
                        <c:v>0.39695254747701181</c:v>
                      </c:pt>
                      <c:pt idx="391">
                        <c:v>0.39732983157868834</c:v>
                      </c:pt>
                      <c:pt idx="392">
                        <c:v>0.39766770551160885</c:v>
                      </c:pt>
                      <c:pt idx="393">
                        <c:v>0.39796606816275104</c:v>
                      </c:pt>
                      <c:pt idx="394">
                        <c:v>0.39822483019560695</c:v>
                      </c:pt>
                      <c:pt idx="395">
                        <c:v>0.39844391409476404</c:v>
                      </c:pt>
                      <c:pt idx="396">
                        <c:v>0.39862325420460504</c:v>
                      </c:pt>
                      <c:pt idx="397">
                        <c:v>0.39876279676209969</c:v>
                      </c:pt>
                      <c:pt idx="398">
                        <c:v>0.39886249992366613</c:v>
                      </c:pt>
                      <c:pt idx="399">
                        <c:v>0.39892233378608216</c:v>
                      </c:pt>
                      <c:pt idx="400">
                        <c:v>0.3989422804014327</c:v>
                      </c:pt>
                      <c:pt idx="401">
                        <c:v>0.39892233378608216</c:v>
                      </c:pt>
                      <c:pt idx="402">
                        <c:v>0.39886249992366613</c:v>
                      </c:pt>
                      <c:pt idx="403">
                        <c:v>0.39876279676209969</c:v>
                      </c:pt>
                      <c:pt idx="404">
                        <c:v>0.39862325420460504</c:v>
                      </c:pt>
                      <c:pt idx="405">
                        <c:v>0.39844391409476404</c:v>
                      </c:pt>
                      <c:pt idx="406">
                        <c:v>0.39822483019560695</c:v>
                      </c:pt>
                      <c:pt idx="407">
                        <c:v>0.39796606816275104</c:v>
                      </c:pt>
                      <c:pt idx="408">
                        <c:v>0.39766770551160885</c:v>
                      </c:pt>
                      <c:pt idx="409">
                        <c:v>0.39732983157868834</c:v>
                      </c:pt>
                      <c:pt idx="410">
                        <c:v>0.39695254747701181</c:v>
                      </c:pt>
                      <c:pt idx="411">
                        <c:v>0.39653596604568575</c:v>
                      </c:pt>
                      <c:pt idx="412">
                        <c:v>0.3960802117936561</c:v>
                      </c:pt>
                      <c:pt idx="413">
                        <c:v>0.39558542083768738</c:v>
                      </c:pt>
                      <c:pt idx="414">
                        <c:v>0.39505174083461125</c:v>
                      </c:pt>
                      <c:pt idx="415">
                        <c:v>0.39447933090788895</c:v>
                      </c:pt>
                      <c:pt idx="416">
                        <c:v>0.39386836156854083</c:v>
                      </c:pt>
                      <c:pt idx="417">
                        <c:v>0.39321901463049719</c:v>
                      </c:pt>
                      <c:pt idx="418">
                        <c:v>0.3925314831204289</c:v>
                      </c:pt>
                      <c:pt idx="419">
                        <c:v>0.39180597118212113</c:v>
                      </c:pt>
                      <c:pt idx="420">
                        <c:v>0.39104269397545588</c:v>
                      </c:pt>
                      <c:pt idx="421">
                        <c:v>0.39024187757007428</c:v>
                      </c:pt>
                      <c:pt idx="422">
                        <c:v>0.38940375883379041</c:v>
                      </c:pt>
                      <c:pt idx="423">
                        <c:v>0.38852858531583589</c:v>
                      </c:pt>
                      <c:pt idx="424">
                        <c:v>0.38761661512501416</c:v>
                      </c:pt>
                      <c:pt idx="425">
                        <c:v>0.38666811680284924</c:v>
                      </c:pt>
                      <c:pt idx="426">
                        <c:v>0.38568336919181612</c:v>
                      </c:pt>
                      <c:pt idx="427">
                        <c:v>0.38466266129874283</c:v>
                      </c:pt>
                      <c:pt idx="428">
                        <c:v>0.38360629215347858</c:v>
                      </c:pt>
                      <c:pt idx="429">
                        <c:v>0.38251457066292405</c:v>
                      </c:pt>
                      <c:pt idx="430">
                        <c:v>0.38138781546052414</c:v>
                      </c:pt>
                      <c:pt idx="431">
                        <c:v>0.38022635475132494</c:v>
                      </c:pt>
                      <c:pt idx="432">
                        <c:v>0.37903052615270166</c:v>
                      </c:pt>
                      <c:pt idx="433">
                        <c:v>0.37780067653086458</c:v>
                      </c:pt>
                      <c:pt idx="434">
                        <c:v>0.37653716183325392</c:v>
                      </c:pt>
                      <c:pt idx="435">
                        <c:v>0.37524034691693792</c:v>
                      </c:pt>
                      <c:pt idx="436">
                        <c:v>0.37391060537312842</c:v>
                      </c:pt>
                      <c:pt idx="437">
                        <c:v>0.37254831934793342</c:v>
                      </c:pt>
                      <c:pt idx="438">
                        <c:v>0.37115387935946603</c:v>
                      </c:pt>
                      <c:pt idx="439">
                        <c:v>0.36972768411143236</c:v>
                      </c:pt>
                      <c:pt idx="440">
                        <c:v>0.36827014030332333</c:v>
                      </c:pt>
                      <c:pt idx="441">
                        <c:v>0.36678166243733612</c:v>
                      </c:pt>
                      <c:pt idx="442">
                        <c:v>0.36526267262215389</c:v>
                      </c:pt>
                      <c:pt idx="443">
                        <c:v>0.36371360037371342</c:v>
                      </c:pt>
                      <c:pt idx="444">
                        <c:v>0.36213488241309222</c:v>
                      </c:pt>
                      <c:pt idx="445">
                        <c:v>0.36052696246164795</c:v>
                      </c:pt>
                      <c:pt idx="446">
                        <c:v>0.35889029103354464</c:v>
                      </c:pt>
                      <c:pt idx="447">
                        <c:v>0.35722532522580086</c:v>
                      </c:pt>
                      <c:pt idx="448">
                        <c:v>0.35553252850599709</c:v>
                      </c:pt>
                      <c:pt idx="449">
                        <c:v>0.35381237049777969</c:v>
                      </c:pt>
                      <c:pt idx="450">
                        <c:v>0.35206532676429952</c:v>
                      </c:pt>
                      <c:pt idx="451">
                        <c:v>0.35029187858972582</c:v>
                      </c:pt>
                      <c:pt idx="452">
                        <c:v>0.34849251275897447</c:v>
                      </c:pt>
                      <c:pt idx="453">
                        <c:v>0.34666772133579166</c:v>
                      </c:pt>
                      <c:pt idx="454">
                        <c:v>0.34481800143933333</c:v>
                      </c:pt>
                      <c:pt idx="455">
                        <c:v>0.3429438550193839</c:v>
                      </c:pt>
                      <c:pt idx="456">
                        <c:v>0.34104578863035256</c:v>
                      </c:pt>
                      <c:pt idx="457">
                        <c:v>0.33912431320419223</c:v>
                      </c:pt>
                      <c:pt idx="458">
                        <c:v>0.33717994382238059</c:v>
                      </c:pt>
                      <c:pt idx="459">
                        <c:v>0.33521319948710609</c:v>
                      </c:pt>
                      <c:pt idx="460">
                        <c:v>0.33322460289179967</c:v>
                      </c:pt>
                      <c:pt idx="461">
                        <c:v>0.33121468019115297</c:v>
                      </c:pt>
                      <c:pt idx="462">
                        <c:v>0.32918396077076478</c:v>
                      </c:pt>
                      <c:pt idx="463">
                        <c:v>0.32713297701655447</c:v>
                      </c:pt>
                      <c:pt idx="464">
                        <c:v>0.32506226408408218</c:v>
                      </c:pt>
                      <c:pt idx="465">
                        <c:v>0.32297235966791427</c:v>
                      </c:pt>
                      <c:pt idx="466">
                        <c:v>0.32086380377117252</c:v>
                      </c:pt>
                      <c:pt idx="467">
                        <c:v>0.31873713847540153</c:v>
                      </c:pt>
                      <c:pt idx="468">
                        <c:v>0.31659290771089277</c:v>
                      </c:pt>
                      <c:pt idx="469">
                        <c:v>0.31443165702759734</c:v>
                      </c:pt>
                      <c:pt idx="470">
                        <c:v>0.31225393336676127</c:v>
                      </c:pt>
                      <c:pt idx="471">
                        <c:v>0.31006028483341613</c:v>
                      </c:pt>
                      <c:pt idx="472">
                        <c:v>0.30785126046985295</c:v>
                      </c:pt>
                      <c:pt idx="473">
                        <c:v>0.30562741003020988</c:v>
                      </c:pt>
                      <c:pt idx="474">
                        <c:v>0.30338928375630014</c:v>
                      </c:pt>
                      <c:pt idx="475">
                        <c:v>0.30113743215480443</c:v>
                      </c:pt>
                      <c:pt idx="476">
                        <c:v>0.29887240577595275</c:v>
                      </c:pt>
                      <c:pt idx="477">
                        <c:v>0.29659475499381571</c:v>
                      </c:pt>
                      <c:pt idx="478">
                        <c:v>0.29430502978832512</c:v>
                      </c:pt>
                      <c:pt idx="479">
                        <c:v>0.29200377952914142</c:v>
                      </c:pt>
                      <c:pt idx="480">
                        <c:v>0.28969155276148273</c:v>
                      </c:pt>
                      <c:pt idx="481">
                        <c:v>0.28736889699402829</c:v>
                      </c:pt>
                      <c:pt idx="482">
                        <c:v>0.28503635848900727</c:v>
                      </c:pt>
                      <c:pt idx="483">
                        <c:v>0.28269448205458025</c:v>
                      </c:pt>
                      <c:pt idx="484">
                        <c:v>0.28034381083962062</c:v>
                      </c:pt>
                      <c:pt idx="485">
                        <c:v>0.27798488613099648</c:v>
                      </c:pt>
                      <c:pt idx="486">
                        <c:v>0.27561824715345667</c:v>
                      </c:pt>
                      <c:pt idx="487">
                        <c:v>0.27324443087221623</c:v>
                      </c:pt>
                      <c:pt idx="488">
                        <c:v>0.27086397179833799</c:v>
                      </c:pt>
                      <c:pt idx="489">
                        <c:v>0.26847740179700241</c:v>
                      </c:pt>
                      <c:pt idx="490">
                        <c:v>0.26608524989875482</c:v>
                      </c:pt>
                      <c:pt idx="491">
                        <c:v>0.26368804211381813</c:v>
                      </c:pt>
                      <c:pt idx="492">
                        <c:v>0.26128630124955315</c:v>
                      </c:pt>
                      <c:pt idx="493">
                        <c:v>0.2588805467311488</c:v>
                      </c:pt>
                      <c:pt idx="494">
                        <c:v>0.25647129442562033</c:v>
                      </c:pt>
                      <c:pt idx="495">
                        <c:v>0.25405905646918903</c:v>
                      </c:pt>
                      <c:pt idx="496">
                        <c:v>0.25164434109811712</c:v>
                      </c:pt>
                      <c:pt idx="497">
                        <c:v>0.24922765248306594</c:v>
                      </c:pt>
                      <c:pt idx="498">
                        <c:v>0.24680949056704274</c:v>
                      </c:pt>
                      <c:pt idx="499">
                        <c:v>0.24439035090699956</c:v>
                      </c:pt>
                      <c:pt idx="500">
                        <c:v>0.24197072451914337</c:v>
                      </c:pt>
                      <c:pt idx="501">
                        <c:v>0.23955109772801336</c:v>
                      </c:pt>
                      <c:pt idx="502">
                        <c:v>0.23713195201937959</c:v>
                      </c:pt>
                      <c:pt idx="503">
                        <c:v>0.23471376389701182</c:v>
                      </c:pt>
                      <c:pt idx="504">
                        <c:v>0.2322970047433662</c:v>
                      </c:pt>
                      <c:pt idx="505">
                        <c:v>0.22988214068423302</c:v>
                      </c:pt>
                      <c:pt idx="506">
                        <c:v>0.22746963245738591</c:v>
                      </c:pt>
                      <c:pt idx="507">
                        <c:v>0.22505993528526966</c:v>
                      </c:pt>
                      <c:pt idx="508">
                        <c:v>0.22265349875176113</c:v>
                      </c:pt>
                      <c:pt idx="509">
                        <c:v>0.22025076668303326</c:v>
                      </c:pt>
                      <c:pt idx="510">
                        <c:v>0.21785217703255053</c:v>
                      </c:pt>
                      <c:pt idx="511">
                        <c:v>0.21545816177021967</c:v>
                      </c:pt>
                      <c:pt idx="512">
                        <c:v>0.21306914677571784</c:v>
                      </c:pt>
                      <c:pt idx="513">
                        <c:v>0.21068555173601533</c:v>
                      </c:pt>
                      <c:pt idx="514">
                        <c:v>0.20830779004710837</c:v>
                      </c:pt>
                      <c:pt idx="515">
                        <c:v>0.20593626871997478</c:v>
                      </c:pt>
                      <c:pt idx="516">
                        <c:v>0.20357138829075944</c:v>
                      </c:pt>
                      <c:pt idx="517">
                        <c:v>0.2012135427351974</c:v>
                      </c:pt>
                      <c:pt idx="518">
                        <c:v>0.19886311938727591</c:v>
                      </c:pt>
                      <c:pt idx="519">
                        <c:v>0.19652049886213654</c:v>
                      </c:pt>
                      <c:pt idx="520">
                        <c:v>0.19418605498321295</c:v>
                      </c:pt>
                      <c:pt idx="521">
                        <c:v>0.19186015471359938</c:v>
                      </c:pt>
                      <c:pt idx="522">
                        <c:v>0.18954315809164024</c:v>
                      </c:pt>
                      <c:pt idx="523">
                        <c:v>0.18723541817072956</c:v>
                      </c:pt>
                      <c:pt idx="524">
                        <c:v>0.18493728096330531</c:v>
                      </c:pt>
                      <c:pt idx="525">
                        <c:v>0.18264908538902191</c:v>
                      </c:pt>
                      <c:pt idx="526">
                        <c:v>0.18037116322708033</c:v>
                      </c:pt>
                      <c:pt idx="527">
                        <c:v>0.17810383907269359</c:v>
                      </c:pt>
                      <c:pt idx="528">
                        <c:v>0.17584743029766237</c:v>
                      </c:pt>
                      <c:pt idx="529">
                        <c:v>0.17360224701503299</c:v>
                      </c:pt>
                      <c:pt idx="530">
                        <c:v>0.17136859204780736</c:v>
                      </c:pt>
                      <c:pt idx="531">
                        <c:v>0.16914676090167238</c:v>
                      </c:pt>
                      <c:pt idx="532">
                        <c:v>0.16693704174171381</c:v>
                      </c:pt>
                      <c:pt idx="533">
                        <c:v>0.1647397153730768</c:v>
                      </c:pt>
                      <c:pt idx="534">
                        <c:v>0.16255505522553412</c:v>
                      </c:pt>
                      <c:pt idx="535">
                        <c:v>0.1603833273419196</c:v>
                      </c:pt>
                      <c:pt idx="536">
                        <c:v>0.15822479037038303</c:v>
                      </c:pt>
                      <c:pt idx="537">
                        <c:v>0.15607969556042084</c:v>
                      </c:pt>
                      <c:pt idx="538">
                        <c:v>0.15394828676263372</c:v>
                      </c:pt>
                      <c:pt idx="539">
                        <c:v>0.15183080043216168</c:v>
                      </c:pt>
                      <c:pt idx="540">
                        <c:v>0.14972746563574488</c:v>
                      </c:pt>
                      <c:pt idx="541">
                        <c:v>0.14763850406235574</c:v>
                      </c:pt>
                      <c:pt idx="542">
                        <c:v>0.14556413003734761</c:v>
                      </c:pt>
                      <c:pt idx="543">
                        <c:v>0.14350455054006242</c:v>
                      </c:pt>
                      <c:pt idx="544">
                        <c:v>0.14145996522483878</c:v>
                      </c:pt>
                      <c:pt idx="545">
                        <c:v>0.13943056644536028</c:v>
                      </c:pt>
                      <c:pt idx="546">
                        <c:v>0.13741653928228179</c:v>
                      </c:pt>
                      <c:pt idx="547">
                        <c:v>0.1354180615740713</c:v>
                      </c:pt>
                      <c:pt idx="548">
                        <c:v>0.13343530395100231</c:v>
                      </c:pt>
                      <c:pt idx="549">
                        <c:v>0.13146842987223104</c:v>
                      </c:pt>
                      <c:pt idx="550">
                        <c:v>0.12951759566589174</c:v>
                      </c:pt>
                      <c:pt idx="551">
                        <c:v>0.12758295057214186</c:v>
                      </c:pt>
                      <c:pt idx="552">
                        <c:v>0.12566463678908815</c:v>
                      </c:pt>
                      <c:pt idx="553">
                        <c:v>0.12376278952152313</c:v>
                      </c:pt>
                      <c:pt idx="554">
                        <c:v>0.12187753703240178</c:v>
                      </c:pt>
                      <c:pt idx="555">
                        <c:v>0.12000900069698558</c:v>
                      </c:pt>
                      <c:pt idx="556">
                        <c:v>0.11815729505958227</c:v>
                      </c:pt>
                      <c:pt idx="557">
                        <c:v>0.11632252789280709</c:v>
                      </c:pt>
                      <c:pt idx="558">
                        <c:v>0.11450480025929236</c:v>
                      </c:pt>
                      <c:pt idx="559">
                        <c:v>0.11270420657577056</c:v>
                      </c:pt>
                      <c:pt idx="560">
                        <c:v>0.11092083467945554</c:v>
                      </c:pt>
                      <c:pt idx="561">
                        <c:v>0.10915476589664735</c:v>
                      </c:pt>
                      <c:pt idx="562">
                        <c:v>0.1074060751134838</c:v>
                      </c:pt>
                      <c:pt idx="563">
                        <c:v>0.10567483084876363</c:v>
                      </c:pt>
                      <c:pt idx="564">
                        <c:v>0.10396109532876423</c:v>
                      </c:pt>
                      <c:pt idx="565">
                        <c:v>0.10226492456397804</c:v>
                      </c:pt>
                      <c:pt idx="566">
                        <c:v>0.10058636842769057</c:v>
                      </c:pt>
                      <c:pt idx="567">
                        <c:v>9.8925470736323712E-2</c:v>
                      </c:pt>
                      <c:pt idx="568">
                        <c:v>9.7282269331467511E-2</c:v>
                      </c:pt>
                      <c:pt idx="569">
                        <c:v>9.5656796163524016E-2</c:v>
                      </c:pt>
                      <c:pt idx="570">
                        <c:v>9.4049077376886947E-2</c:v>
                      </c:pt>
                      <c:pt idx="571">
                        <c:v>9.2459133396580684E-2</c:v>
                      </c:pt>
                      <c:pt idx="572">
                        <c:v>9.0886979016282871E-2</c:v>
                      </c:pt>
                      <c:pt idx="573">
                        <c:v>8.9332623487655E-2</c:v>
                      </c:pt>
                      <c:pt idx="574">
                        <c:v>8.7796070610905622E-2</c:v>
                      </c:pt>
                      <c:pt idx="575">
                        <c:v>8.6277318826511532E-2</c:v>
                      </c:pt>
                      <c:pt idx="576">
                        <c:v>8.4776361308022227E-2</c:v>
                      </c:pt>
                      <c:pt idx="577">
                        <c:v>8.3293186055874463E-2</c:v>
                      </c:pt>
                      <c:pt idx="578">
                        <c:v>8.1827775992142804E-2</c:v>
                      </c:pt>
                      <c:pt idx="579">
                        <c:v>8.038010905615417E-2</c:v>
                      </c:pt>
                      <c:pt idx="580">
                        <c:v>7.8950158300894149E-2</c:v>
                      </c:pt>
                      <c:pt idx="581">
                        <c:v>7.7537891990133986E-2</c:v>
                      </c:pt>
                      <c:pt idx="582">
                        <c:v>7.6143273696207311E-2</c:v>
                      </c:pt>
                      <c:pt idx="583">
                        <c:v>7.4766262398367603E-2</c:v>
                      </c:pt>
                      <c:pt idx="584">
                        <c:v>7.3406812581656891E-2</c:v>
                      </c:pt>
                      <c:pt idx="585">
                        <c:v>7.2064874336217985E-2</c:v>
                      </c:pt>
                      <c:pt idx="586">
                        <c:v>7.074039345698338E-2</c:v>
                      </c:pt>
                      <c:pt idx="587">
                        <c:v>6.9433311543674187E-2</c:v>
                      </c:pt>
                      <c:pt idx="588">
                        <c:v>6.8143566101044578E-2</c:v>
                      </c:pt>
                      <c:pt idx="589">
                        <c:v>6.6871090639307157E-2</c:v>
                      </c:pt>
                      <c:pt idx="590">
                        <c:v>6.5615814774676595E-2</c:v>
                      </c:pt>
                      <c:pt idx="591">
                        <c:v>6.4377664329969359E-2</c:v>
                      </c:pt>
                      <c:pt idx="592">
                        <c:v>6.3156561435198655E-2</c:v>
                      </c:pt>
                      <c:pt idx="593">
                        <c:v>6.1952424628105164E-2</c:v>
                      </c:pt>
                      <c:pt idx="594">
                        <c:v>6.0765168954564776E-2</c:v>
                      </c:pt>
                      <c:pt idx="595">
                        <c:v>5.9594706068816075E-2</c:v>
                      </c:pt>
                      <c:pt idx="596">
                        <c:v>5.8440944333451469E-2</c:v>
                      </c:pt>
                      <c:pt idx="597">
                        <c:v>5.7303788919117131E-2</c:v>
                      </c:pt>
                      <c:pt idx="598">
                        <c:v>5.6183141903868049E-2</c:v>
                      </c:pt>
                      <c:pt idx="599">
                        <c:v>5.5078902372125767E-2</c:v>
                      </c:pt>
                      <c:pt idx="600">
                        <c:v>5.3990966513188063E-2</c:v>
                      </c:pt>
                      <c:pt idx="601">
                        <c:v>#N/A</c:v>
                      </c:pt>
                      <c:pt idx="602">
                        <c:v>#N/A</c:v>
                      </c:pt>
                      <c:pt idx="603">
                        <c:v>#N/A</c:v>
                      </c:pt>
                      <c:pt idx="604">
                        <c:v>#N/A</c:v>
                      </c:pt>
                      <c:pt idx="605">
                        <c:v>#N/A</c:v>
                      </c:pt>
                      <c:pt idx="606">
                        <c:v>#N/A</c:v>
                      </c:pt>
                      <c:pt idx="607">
                        <c:v>#N/A</c:v>
                      </c:pt>
                      <c:pt idx="608">
                        <c:v>#N/A</c:v>
                      </c:pt>
                      <c:pt idx="609">
                        <c:v>#N/A</c:v>
                      </c:pt>
                      <c:pt idx="610">
                        <c:v>#N/A</c:v>
                      </c:pt>
                      <c:pt idx="611">
                        <c:v>#N/A</c:v>
                      </c:pt>
                      <c:pt idx="612">
                        <c:v>#N/A</c:v>
                      </c:pt>
                      <c:pt idx="613">
                        <c:v>#N/A</c:v>
                      </c:pt>
                      <c:pt idx="614">
                        <c:v>#N/A</c:v>
                      </c:pt>
                      <c:pt idx="615">
                        <c:v>#N/A</c:v>
                      </c:pt>
                      <c:pt idx="616">
                        <c:v>#N/A</c:v>
                      </c:pt>
                      <c:pt idx="617">
                        <c:v>#N/A</c:v>
                      </c:pt>
                      <c:pt idx="618">
                        <c:v>#N/A</c:v>
                      </c:pt>
                      <c:pt idx="619">
                        <c:v>#N/A</c:v>
                      </c:pt>
                      <c:pt idx="620">
                        <c:v>#N/A</c:v>
                      </c:pt>
                      <c:pt idx="621">
                        <c:v>#N/A</c:v>
                      </c:pt>
                      <c:pt idx="622">
                        <c:v>#N/A</c:v>
                      </c:pt>
                      <c:pt idx="623">
                        <c:v>#N/A</c:v>
                      </c:pt>
                      <c:pt idx="624">
                        <c:v>#N/A</c:v>
                      </c:pt>
                      <c:pt idx="625">
                        <c:v>#N/A</c:v>
                      </c:pt>
                      <c:pt idx="626">
                        <c:v>#N/A</c:v>
                      </c:pt>
                      <c:pt idx="627">
                        <c:v>#N/A</c:v>
                      </c:pt>
                      <c:pt idx="628">
                        <c:v>#N/A</c:v>
                      </c:pt>
                      <c:pt idx="629">
                        <c:v>#N/A</c:v>
                      </c:pt>
                      <c:pt idx="630">
                        <c:v>#N/A</c:v>
                      </c:pt>
                      <c:pt idx="631">
                        <c:v>#N/A</c:v>
                      </c:pt>
                      <c:pt idx="632">
                        <c:v>#N/A</c:v>
                      </c:pt>
                      <c:pt idx="633">
                        <c:v>#N/A</c:v>
                      </c:pt>
                      <c:pt idx="634">
                        <c:v>#N/A</c:v>
                      </c:pt>
                      <c:pt idx="635">
                        <c:v>#N/A</c:v>
                      </c:pt>
                      <c:pt idx="636">
                        <c:v>#N/A</c:v>
                      </c:pt>
                      <c:pt idx="637">
                        <c:v>#N/A</c:v>
                      </c:pt>
                      <c:pt idx="638">
                        <c:v>#N/A</c:v>
                      </c:pt>
                      <c:pt idx="639">
                        <c:v>#N/A</c:v>
                      </c:pt>
                      <c:pt idx="640">
                        <c:v>#N/A</c:v>
                      </c:pt>
                      <c:pt idx="641">
                        <c:v>#N/A</c:v>
                      </c:pt>
                      <c:pt idx="642">
                        <c:v>#N/A</c:v>
                      </c:pt>
                      <c:pt idx="643">
                        <c:v>#N/A</c:v>
                      </c:pt>
                      <c:pt idx="644">
                        <c:v>#N/A</c:v>
                      </c:pt>
                      <c:pt idx="645">
                        <c:v>#N/A</c:v>
                      </c:pt>
                      <c:pt idx="646">
                        <c:v>#N/A</c:v>
                      </c:pt>
                      <c:pt idx="647">
                        <c:v>#N/A</c:v>
                      </c:pt>
                      <c:pt idx="648">
                        <c:v>#N/A</c:v>
                      </c:pt>
                      <c:pt idx="649">
                        <c:v>#N/A</c:v>
                      </c:pt>
                      <c:pt idx="650">
                        <c:v>#N/A</c:v>
                      </c:pt>
                      <c:pt idx="651">
                        <c:v>#N/A</c:v>
                      </c:pt>
                      <c:pt idx="652">
                        <c:v>#N/A</c:v>
                      </c:pt>
                      <c:pt idx="653">
                        <c:v>#N/A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  <c:pt idx="699">
                        <c:v>#N/A</c:v>
                      </c:pt>
                      <c:pt idx="700">
                        <c:v>#N/A</c:v>
                      </c:pt>
                      <c:pt idx="701">
                        <c:v>#N/A</c:v>
                      </c:pt>
                      <c:pt idx="702">
                        <c:v>#N/A</c:v>
                      </c:pt>
                      <c:pt idx="703">
                        <c:v>#N/A</c:v>
                      </c:pt>
                      <c:pt idx="704">
                        <c:v>#N/A</c:v>
                      </c:pt>
                      <c:pt idx="705">
                        <c:v>#N/A</c:v>
                      </c:pt>
                      <c:pt idx="706">
                        <c:v>#N/A</c:v>
                      </c:pt>
                      <c:pt idx="707">
                        <c:v>#N/A</c:v>
                      </c:pt>
                      <c:pt idx="708">
                        <c:v>#N/A</c:v>
                      </c:pt>
                      <c:pt idx="709">
                        <c:v>#N/A</c:v>
                      </c:pt>
                      <c:pt idx="710">
                        <c:v>#N/A</c:v>
                      </c:pt>
                      <c:pt idx="711">
                        <c:v>#N/A</c:v>
                      </c:pt>
                      <c:pt idx="712">
                        <c:v>#N/A</c:v>
                      </c:pt>
                      <c:pt idx="713">
                        <c:v>#N/A</c:v>
                      </c:pt>
                      <c:pt idx="714">
                        <c:v>#N/A</c:v>
                      </c:pt>
                      <c:pt idx="715">
                        <c:v>#N/A</c:v>
                      </c:pt>
                      <c:pt idx="716">
                        <c:v>#N/A</c:v>
                      </c:pt>
                      <c:pt idx="717">
                        <c:v>#N/A</c:v>
                      </c:pt>
                      <c:pt idx="718">
                        <c:v>#N/A</c:v>
                      </c:pt>
                      <c:pt idx="719">
                        <c:v>#N/A</c:v>
                      </c:pt>
                      <c:pt idx="720">
                        <c:v>#N/A</c:v>
                      </c:pt>
                      <c:pt idx="721">
                        <c:v>#N/A</c:v>
                      </c:pt>
                      <c:pt idx="722">
                        <c:v>#N/A</c:v>
                      </c:pt>
                      <c:pt idx="723">
                        <c:v>#N/A</c:v>
                      </c:pt>
                      <c:pt idx="724">
                        <c:v>#N/A</c:v>
                      </c:pt>
                      <c:pt idx="725">
                        <c:v>#N/A</c:v>
                      </c:pt>
                      <c:pt idx="726">
                        <c:v>#N/A</c:v>
                      </c:pt>
                      <c:pt idx="727">
                        <c:v>#N/A</c:v>
                      </c:pt>
                      <c:pt idx="728">
                        <c:v>#N/A</c:v>
                      </c:pt>
                      <c:pt idx="729">
                        <c:v>#N/A</c:v>
                      </c:pt>
                      <c:pt idx="730">
                        <c:v>#N/A</c:v>
                      </c:pt>
                      <c:pt idx="731">
                        <c:v>#N/A</c:v>
                      </c:pt>
                      <c:pt idx="732">
                        <c:v>#N/A</c:v>
                      </c:pt>
                      <c:pt idx="733">
                        <c:v>#N/A</c:v>
                      </c:pt>
                      <c:pt idx="734">
                        <c:v>#N/A</c:v>
                      </c:pt>
                      <c:pt idx="735">
                        <c:v>#N/A</c:v>
                      </c:pt>
                      <c:pt idx="736">
                        <c:v>#N/A</c:v>
                      </c:pt>
                      <c:pt idx="737">
                        <c:v>#N/A</c:v>
                      </c:pt>
                      <c:pt idx="738">
                        <c:v>#N/A</c:v>
                      </c:pt>
                      <c:pt idx="739">
                        <c:v>#N/A</c:v>
                      </c:pt>
                      <c:pt idx="740">
                        <c:v>#N/A</c:v>
                      </c:pt>
                      <c:pt idx="741">
                        <c:v>#N/A</c:v>
                      </c:pt>
                      <c:pt idx="742">
                        <c:v>#N/A</c:v>
                      </c:pt>
                      <c:pt idx="743">
                        <c:v>#N/A</c:v>
                      </c:pt>
                      <c:pt idx="744">
                        <c:v>#N/A</c:v>
                      </c:pt>
                      <c:pt idx="745">
                        <c:v>#N/A</c:v>
                      </c:pt>
                      <c:pt idx="746">
                        <c:v>#N/A</c:v>
                      </c:pt>
                      <c:pt idx="747">
                        <c:v>#N/A</c:v>
                      </c:pt>
                      <c:pt idx="748">
                        <c:v>#N/A</c:v>
                      </c:pt>
                      <c:pt idx="749">
                        <c:v>#N/A</c:v>
                      </c:pt>
                      <c:pt idx="750">
                        <c:v>#N/A</c:v>
                      </c:pt>
                      <c:pt idx="751">
                        <c:v>#N/A</c:v>
                      </c:pt>
                      <c:pt idx="752">
                        <c:v>#N/A</c:v>
                      </c:pt>
                      <c:pt idx="753">
                        <c:v>#N/A</c:v>
                      </c:pt>
                      <c:pt idx="754">
                        <c:v>#N/A</c:v>
                      </c:pt>
                      <c:pt idx="755">
                        <c:v>#N/A</c:v>
                      </c:pt>
                      <c:pt idx="756">
                        <c:v>#N/A</c:v>
                      </c:pt>
                      <c:pt idx="757">
                        <c:v>#N/A</c:v>
                      </c:pt>
                      <c:pt idx="758">
                        <c:v>#N/A</c:v>
                      </c:pt>
                      <c:pt idx="759">
                        <c:v>#N/A</c:v>
                      </c:pt>
                      <c:pt idx="760">
                        <c:v>#N/A</c:v>
                      </c:pt>
                      <c:pt idx="761">
                        <c:v>#N/A</c:v>
                      </c:pt>
                      <c:pt idx="762">
                        <c:v>#N/A</c:v>
                      </c:pt>
                      <c:pt idx="763">
                        <c:v>#N/A</c:v>
                      </c:pt>
                      <c:pt idx="764">
                        <c:v>#N/A</c:v>
                      </c:pt>
                      <c:pt idx="765">
                        <c:v>#N/A</c:v>
                      </c:pt>
                      <c:pt idx="766">
                        <c:v>#N/A</c:v>
                      </c:pt>
                      <c:pt idx="767">
                        <c:v>#N/A</c:v>
                      </c:pt>
                      <c:pt idx="768">
                        <c:v>#N/A</c:v>
                      </c:pt>
                      <c:pt idx="769">
                        <c:v>#N/A</c:v>
                      </c:pt>
                      <c:pt idx="770">
                        <c:v>#N/A</c:v>
                      </c:pt>
                      <c:pt idx="771">
                        <c:v>#N/A</c:v>
                      </c:pt>
                      <c:pt idx="772">
                        <c:v>#N/A</c:v>
                      </c:pt>
                      <c:pt idx="773">
                        <c:v>#N/A</c:v>
                      </c:pt>
                      <c:pt idx="774">
                        <c:v>#N/A</c:v>
                      </c:pt>
                      <c:pt idx="775">
                        <c:v>#N/A</c:v>
                      </c:pt>
                      <c:pt idx="776">
                        <c:v>#N/A</c:v>
                      </c:pt>
                      <c:pt idx="777">
                        <c:v>#N/A</c:v>
                      </c:pt>
                      <c:pt idx="778">
                        <c:v>#N/A</c:v>
                      </c:pt>
                      <c:pt idx="779">
                        <c:v>#N/A</c:v>
                      </c:pt>
                      <c:pt idx="780">
                        <c:v>#N/A</c:v>
                      </c:pt>
                      <c:pt idx="781">
                        <c:v>#N/A</c:v>
                      </c:pt>
                      <c:pt idx="782">
                        <c:v>#N/A</c:v>
                      </c:pt>
                      <c:pt idx="783">
                        <c:v>#N/A</c:v>
                      </c:pt>
                      <c:pt idx="784">
                        <c:v>#N/A</c:v>
                      </c:pt>
                      <c:pt idx="785">
                        <c:v>#N/A</c:v>
                      </c:pt>
                      <c:pt idx="786">
                        <c:v>#N/A</c:v>
                      </c:pt>
                      <c:pt idx="787">
                        <c:v>#N/A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  <c:pt idx="799">
                        <c:v>#N/A</c:v>
                      </c:pt>
                      <c:pt idx="800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262-4362-BAEE-249D3BFDF841}"/>
                  </c:ext>
                </c:extLst>
              </c15:ser>
            </c15:filteredAreaSeries>
          </c:ext>
        </c:extLst>
      </c:areaChart>
      <c:lineChart>
        <c:grouping val="standard"/>
        <c:varyColors val="0"/>
        <c:ser>
          <c:idx val="0"/>
          <c:order val="0"/>
          <c:tx>
            <c:strRef>
              <c:f>'Лист1 (4)'!$W$2</c:f>
              <c:strCache>
                <c:ptCount val="1"/>
                <c:pt idx="0">
                  <c:v>График плотности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'Лист1 (4)'!$V$3:$V$803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(4)'!$W$3:$W$803</c:f>
              <c:numCache>
                <c:formatCode>General</c:formatCode>
                <c:ptCount val="801"/>
                <c:pt idx="0">
                  <c:v>1.3383022576488537E-4</c:v>
                </c:pt>
                <c:pt idx="1">
                  <c:v>1.3928497646575994E-4</c:v>
                </c:pt>
                <c:pt idx="2">
                  <c:v>1.4494756042389106E-4</c:v>
                </c:pt>
                <c:pt idx="3">
                  <c:v>1.508252715505178E-4</c:v>
                </c:pt>
                <c:pt idx="4">
                  <c:v>1.5692563406553226E-4</c:v>
                </c:pt>
                <c:pt idx="5">
                  <c:v>1.6325640876624199E-4</c:v>
                </c:pt>
                <c:pt idx="6">
                  <c:v>1.6982559942934359E-4</c:v>
                </c:pt>
                <c:pt idx="7">
                  <c:v>1.7664145934757092E-4</c:v>
                </c:pt>
                <c:pt idx="8">
                  <c:v>1.8371249800245711E-4</c:v>
                </c:pt>
                <c:pt idx="9">
                  <c:v>1.9104748787459762E-4</c:v>
                </c:pt>
                <c:pt idx="10">
                  <c:v>1.9865547139277272E-4</c:v>
                </c:pt>
                <c:pt idx="11">
                  <c:v>2.0654576802322548E-4</c:v>
                </c:pt>
                <c:pt idx="12">
                  <c:v>2.1472798150036704E-4</c:v>
                </c:pt>
                <c:pt idx="13">
                  <c:v>2.2321200720010206E-4</c:v>
                </c:pt>
                <c:pt idx="14">
                  <c:v>2.3200803965694238E-4</c:v>
                </c:pt>
                <c:pt idx="15">
                  <c:v>2.4112658022599324E-4</c:v>
                </c:pt>
                <c:pt idx="16">
                  <c:v>2.5057844489086075E-4</c:v>
                </c:pt>
                <c:pt idx="17">
                  <c:v>2.6037477221844247E-4</c:v>
                </c:pt>
                <c:pt idx="18">
                  <c:v>2.70527031461521E-4</c:v>
                </c:pt>
                <c:pt idx="19">
                  <c:v>2.8104703080998632E-4</c:v>
                </c:pt>
                <c:pt idx="20">
                  <c:v>2.9194692579146027E-4</c:v>
                </c:pt>
                <c:pt idx="21">
                  <c:v>3.0323922782200417E-4</c:v>
                </c:pt>
                <c:pt idx="22">
                  <c:v>3.1493681290752188E-4</c:v>
                </c:pt>
                <c:pt idx="23">
                  <c:v>3.2705293049637498E-4</c:v>
                </c:pt>
                <c:pt idx="24">
                  <c:v>3.3960121248365478E-4</c:v>
                </c:pt>
                <c:pt idx="25">
                  <c:v>3.5259568236744541E-4</c:v>
                </c:pt>
                <c:pt idx="26">
                  <c:v>3.6605076455733496E-4</c:v>
                </c:pt>
                <c:pt idx="27">
                  <c:v>3.7998129383532141E-4</c:v>
                </c:pt>
                <c:pt idx="28">
                  <c:v>3.9440252496915622E-4</c:v>
                </c:pt>
                <c:pt idx="29">
                  <c:v>4.0933014247807883E-4</c:v>
                </c:pt>
                <c:pt idx="30">
                  <c:v>4.2478027055075143E-4</c:v>
                </c:pt>
                <c:pt idx="31">
                  <c:v>4.4076948311513252E-4</c:v>
                </c:pt>
                <c:pt idx="32">
                  <c:v>4.5731481405985675E-4</c:v>
                </c:pt>
                <c:pt idx="33">
                  <c:v>4.7443376760662064E-4</c:v>
                </c:pt>
                <c:pt idx="34">
                  <c:v>4.9214432883289312E-4</c:v>
                </c:pt>
                <c:pt idx="35">
                  <c:v>5.104649743441856E-4</c:v>
                </c:pt>
                <c:pt idx="36">
                  <c:v>5.2941468309493475E-4</c:v>
                </c:pt>
                <c:pt idx="37">
                  <c:v>5.490129473569587E-4</c:v>
                </c:pt>
                <c:pt idx="38">
                  <c:v>5.6927978383425261E-4</c:v>
                </c:pt>
                <c:pt idx="39">
                  <c:v>5.9023574492278561E-4</c:v>
                </c:pt>
                <c:pt idx="40">
                  <c:v>6.119019301137719E-4</c:v>
                </c:pt>
                <c:pt idx="41">
                  <c:v>6.342999975387576E-4</c:v>
                </c:pt>
                <c:pt idx="42">
                  <c:v>6.5745217565467645E-4</c:v>
                </c:pt>
                <c:pt idx="43">
                  <c:v>6.8138127506689212E-4</c:v>
                </c:pt>
                <c:pt idx="44">
                  <c:v>7.061107004880362E-4</c:v>
                </c:pt>
                <c:pt idx="45">
                  <c:v>7.3166446283031089E-4</c:v>
                </c:pt>
                <c:pt idx="46">
                  <c:v>7.580671914287103E-4</c:v>
                </c:pt>
                <c:pt idx="47">
                  <c:v>7.8534414639246997E-4</c:v>
                </c:pt>
                <c:pt idx="48">
                  <c:v>8.1352123108180841E-4</c:v>
                </c:pt>
                <c:pt idx="49">
                  <c:v>8.4262500470690268E-4</c:v>
                </c:pt>
                <c:pt idx="50">
                  <c:v>8.7268269504576015E-4</c:v>
                </c:pt>
                <c:pt idx="51">
                  <c:v>9.0372221127752448E-4</c:v>
                </c:pt>
                <c:pt idx="52">
                  <c:v>9.3577215692747977E-4</c:v>
                </c:pt>
                <c:pt idx="53">
                  <c:v>9.6886184291984591E-4</c:v>
                </c:pt>
                <c:pt idx="54">
                  <c:v>1.0030213007342376E-3</c:v>
                </c:pt>
                <c:pt idx="55">
                  <c:v>1.0382812956614103E-3</c:v>
                </c:pt>
                <c:pt idx="56">
                  <c:v>1.0746733401537356E-3</c:v>
                </c:pt>
                <c:pt idx="57">
                  <c:v>1.1122297072655649E-3</c:v>
                </c:pt>
                <c:pt idx="58">
                  <c:v>1.1509834441784845E-3</c:v>
                </c:pt>
                <c:pt idx="59">
                  <c:v>1.1909683858061166E-3</c:v>
                </c:pt>
                <c:pt idx="60">
                  <c:v>1.2322191684730199E-3</c:v>
                </c:pt>
                <c:pt idx="61">
                  <c:v>1.2747712436618327E-3</c:v>
                </c:pt>
                <c:pt idx="62">
                  <c:v>1.3186608918227423E-3</c:v>
                </c:pt>
                <c:pt idx="63">
                  <c:v>1.3639252362389036E-3</c:v>
                </c:pt>
                <c:pt idx="64">
                  <c:v>1.4106022569413848E-3</c:v>
                </c:pt>
                <c:pt idx="65">
                  <c:v>1.4587308046667459E-3</c:v>
                </c:pt>
                <c:pt idx="66">
                  <c:v>1.5083506148503073E-3</c:v>
                </c:pt>
                <c:pt idx="67">
                  <c:v>1.5595023216476915E-3</c:v>
                </c:pt>
                <c:pt idx="68">
                  <c:v>1.6122274719771244E-3</c:v>
                </c:pt>
                <c:pt idx="69">
                  <c:v>1.6665685395745797E-3</c:v>
                </c:pt>
                <c:pt idx="70">
                  <c:v>1.7225689390536812E-3</c:v>
                </c:pt>
                <c:pt idx="71">
                  <c:v>1.7802730399618786E-3</c:v>
                </c:pt>
                <c:pt idx="72">
                  <c:v>1.839726180824281E-3</c:v>
                </c:pt>
                <c:pt idx="73">
                  <c:v>1.9009746831660803E-3</c:v>
                </c:pt>
                <c:pt idx="74">
                  <c:v>1.9640658655043761E-3</c:v>
                </c:pt>
                <c:pt idx="75">
                  <c:v>2.0290480572997681E-3</c:v>
                </c:pt>
                <c:pt idx="76">
                  <c:v>2.0959706128579419E-3</c:v>
                </c:pt>
                <c:pt idx="77">
                  <c:v>2.164883925171062E-3</c:v>
                </c:pt>
                <c:pt idx="78">
                  <c:v>2.2358394396885385E-3</c:v>
                </c:pt>
                <c:pt idx="79">
                  <c:v>2.3088896680064958E-3</c:v>
                </c:pt>
                <c:pt idx="80">
                  <c:v>2.3840882014648404E-3</c:v>
                </c:pt>
                <c:pt idx="81">
                  <c:v>2.4614897246407006E-3</c:v>
                </c:pt>
                <c:pt idx="82">
                  <c:v>2.5411500287265214E-3</c:v>
                </c:pt>
                <c:pt idx="83">
                  <c:v>2.6231260247810244E-3</c:v>
                </c:pt>
                <c:pt idx="84">
                  <c:v>2.7074757568406999E-3</c:v>
                </c:pt>
                <c:pt idx="85">
                  <c:v>2.7942584148794472E-3</c:v>
                </c:pt>
                <c:pt idx="86">
                  <c:v>2.8835343476034392E-3</c:v>
                </c:pt>
                <c:pt idx="87">
                  <c:v>2.9753650750682535E-3</c:v>
                </c:pt>
                <c:pt idx="88">
                  <c:v>3.0698133011047403E-3</c:v>
                </c:pt>
                <c:pt idx="89">
                  <c:v>3.1669429255400811E-3</c:v>
                </c:pt>
                <c:pt idx="90">
                  <c:v>3.2668190561999182E-3</c:v>
                </c:pt>
                <c:pt idx="91">
                  <c:v>3.3695080206774812E-3</c:v>
                </c:pt>
                <c:pt idx="92">
                  <c:v>3.4750773778549375E-3</c:v>
                </c:pt>
                <c:pt idx="93">
                  <c:v>3.5835959291623614E-3</c:v>
                </c:pt>
                <c:pt idx="94">
                  <c:v>3.6951337295590349E-3</c:v>
                </c:pt>
                <c:pt idx="95">
                  <c:v>3.8097620982218104E-3</c:v>
                </c:pt>
                <c:pt idx="96">
                  <c:v>3.9275536289247789E-3</c:v>
                </c:pt>
                <c:pt idx="97">
                  <c:v>4.04858220009443E-3</c:v>
                </c:pt>
                <c:pt idx="98">
                  <c:v>4.1729229845239623E-3</c:v>
                </c:pt>
                <c:pt idx="99">
                  <c:v>4.3006524587304498E-3</c:v>
                </c:pt>
                <c:pt idx="100">
                  <c:v>4.4318484119380075E-3</c:v>
                </c:pt>
                <c:pt idx="101">
                  <c:v>4.5665899546701444E-3</c:v>
                </c:pt>
                <c:pt idx="102">
                  <c:v>4.7049575269339792E-3</c:v>
                </c:pt>
                <c:pt idx="103">
                  <c:v>4.847032905978944E-3</c:v>
                </c:pt>
                <c:pt idx="104">
                  <c:v>4.9928992136123763E-3</c:v>
                </c:pt>
                <c:pt idx="105">
                  <c:v>5.1426409230539392E-3</c:v>
                </c:pt>
                <c:pt idx="106">
                  <c:v>5.2963438653110201E-3</c:v>
                </c:pt>
                <c:pt idx="107">
                  <c:v>5.4540952350565454E-3</c:v>
                </c:pt>
                <c:pt idx="108">
                  <c:v>5.615983595990969E-3</c:v>
                </c:pt>
                <c:pt idx="109">
                  <c:v>5.7820988856694729E-3</c:v>
                </c:pt>
                <c:pt idx="110">
                  <c:v>5.9525324197758538E-3</c:v>
                </c:pt>
                <c:pt idx="111">
                  <c:v>6.1273768958236873E-3</c:v>
                </c:pt>
                <c:pt idx="112">
                  <c:v>6.3067263962659275E-3</c:v>
                </c:pt>
                <c:pt idx="113">
                  <c:v>6.4906763909933643E-3</c:v>
                </c:pt>
                <c:pt idx="114">
                  <c:v>6.6793237392026202E-3</c:v>
                </c:pt>
                <c:pt idx="115">
                  <c:v>6.8727666906139712E-3</c:v>
                </c:pt>
                <c:pt idx="116">
                  <c:v>7.0711048860194487E-3</c:v>
                </c:pt>
                <c:pt idx="117">
                  <c:v>7.2744393571412182E-3</c:v>
                </c:pt>
                <c:pt idx="118">
                  <c:v>7.4828725257805638E-3</c:v>
                </c:pt>
                <c:pt idx="119">
                  <c:v>7.6965082022373218E-3</c:v>
                </c:pt>
                <c:pt idx="120">
                  <c:v>7.9154515829799686E-3</c:v>
                </c:pt>
                <c:pt idx="121">
                  <c:v>8.1398092475460215E-3</c:v>
                </c:pt>
                <c:pt idx="122">
                  <c:v>8.369689154653033E-3</c:v>
                </c:pt>
                <c:pt idx="123">
                  <c:v>8.6052006374996715E-3</c:v>
                </c:pt>
                <c:pt idx="124">
                  <c:v>8.8464543982372315E-3</c:v>
                </c:pt>
                <c:pt idx="125">
                  <c:v>9.0935625015910529E-3</c:v>
                </c:pt>
                <c:pt idx="126">
                  <c:v>9.3466383676122835E-3</c:v>
                </c:pt>
                <c:pt idx="127">
                  <c:v>9.6057967635395872E-3</c:v>
                </c:pt>
                <c:pt idx="128">
                  <c:v>9.8711537947511301E-3</c:v>
                </c:pt>
                <c:pt idx="129">
                  <c:v>1.0142826894787077E-2</c:v>
                </c:pt>
                <c:pt idx="130">
                  <c:v>1.0420934814422592E-2</c:v>
                </c:pt>
                <c:pt idx="131">
                  <c:v>1.0705597609772187E-2</c:v>
                </c:pt>
                <c:pt idx="132">
                  <c:v>1.0996936629405572E-2</c:v>
                </c:pt>
                <c:pt idx="133">
                  <c:v>1.1295074500456135E-2</c:v>
                </c:pt>
                <c:pt idx="134">
                  <c:v>1.1600135113702561E-2</c:v>
                </c:pt>
                <c:pt idx="135">
                  <c:v>1.1912243607605179E-2</c:v>
                </c:pt>
                <c:pt idx="136">
                  <c:v>1.2231526351277971E-2</c:v>
                </c:pt>
                <c:pt idx="137">
                  <c:v>1.2558110926378211E-2</c:v>
                </c:pt>
                <c:pt idx="138">
                  <c:v>1.2892126107895304E-2</c:v>
                </c:pt>
                <c:pt idx="139">
                  <c:v>1.3233701843821374E-2</c:v>
                </c:pt>
                <c:pt idx="140">
                  <c:v>1.3582969233685613E-2</c:v>
                </c:pt>
                <c:pt idx="141">
                  <c:v>1.3940060505935825E-2</c:v>
                </c:pt>
                <c:pt idx="142">
                  <c:v>1.430510899414969E-2</c:v>
                </c:pt>
                <c:pt idx="143">
                  <c:v>1.4678249112060044E-2</c:v>
                </c:pt>
                <c:pt idx="144">
                  <c:v>1.5059616327377449E-2</c:v>
                </c:pt>
                <c:pt idx="145">
                  <c:v>1.5449347134395174E-2</c:v>
                </c:pt>
                <c:pt idx="146">
                  <c:v>1.5847579025360818E-2</c:v>
                </c:pt>
                <c:pt idx="147">
                  <c:v>1.6254450460600506E-2</c:v>
                </c:pt>
                <c:pt idx="148">
                  <c:v>1.6670100837381057E-2</c:v>
                </c:pt>
                <c:pt idx="149">
                  <c:v>1.7094670457496956E-2</c:v>
                </c:pt>
                <c:pt idx="150">
                  <c:v>1.752830049356854E-2</c:v>
                </c:pt>
                <c:pt idx="151">
                  <c:v>1.7971132954039633E-2</c:v>
                </c:pt>
                <c:pt idx="152">
                  <c:v>1.8423310646862048E-2</c:v>
                </c:pt>
                <c:pt idx="153">
                  <c:v>1.8884977141856163E-2</c:v>
                </c:pt>
                <c:pt idx="154">
                  <c:v>1.9356276731736961E-2</c:v>
                </c:pt>
                <c:pt idx="155">
                  <c:v>1.9837354391795313E-2</c:v>
                </c:pt>
                <c:pt idx="156">
                  <c:v>2.0328355738225837E-2</c:v>
                </c:pt>
                <c:pt idx="157">
                  <c:v>2.0829426985092186E-2</c:v>
                </c:pt>
                <c:pt idx="158">
                  <c:v>2.1340714899922782E-2</c:v>
                </c:pt>
                <c:pt idx="159">
                  <c:v>2.1862366757929387E-2</c:v>
                </c:pt>
                <c:pt idx="160">
                  <c:v>2.2394530294842899E-2</c:v>
                </c:pt>
                <c:pt idx="161">
                  <c:v>2.2937353658360693E-2</c:v>
                </c:pt>
                <c:pt idx="162">
                  <c:v>2.3490985358201363E-2</c:v>
                </c:pt>
                <c:pt idx="163">
                  <c:v>2.4055574214762971E-2</c:v>
                </c:pt>
                <c:pt idx="164">
                  <c:v>2.4631269306382507E-2</c:v>
                </c:pt>
                <c:pt idx="165">
                  <c:v>2.5218219915194382E-2</c:v>
                </c:pt>
                <c:pt idx="166">
                  <c:v>2.581657547158769E-2</c:v>
                </c:pt>
                <c:pt idx="167">
                  <c:v>2.6426485497261721E-2</c:v>
                </c:pt>
                <c:pt idx="168">
                  <c:v>2.7048099546881785E-2</c:v>
                </c:pt>
                <c:pt idx="169">
                  <c:v>2.7681567148336573E-2</c:v>
                </c:pt>
                <c:pt idx="170">
                  <c:v>2.8327037741601186E-2</c:v>
                </c:pt>
                <c:pt idx="171">
                  <c:v>2.8984660616209412E-2</c:v>
                </c:pt>
                <c:pt idx="172">
                  <c:v>2.9654584847341278E-2</c:v>
                </c:pt>
                <c:pt idx="173">
                  <c:v>3.0336959230531636E-2</c:v>
                </c:pt>
                <c:pt idx="174">
                  <c:v>3.103193221500827E-2</c:v>
                </c:pt>
                <c:pt idx="175">
                  <c:v>3.1739651835667418E-2</c:v>
                </c:pt>
                <c:pt idx="176">
                  <c:v>3.2460265643697445E-2</c:v>
                </c:pt>
                <c:pt idx="177">
                  <c:v>3.3193920635861122E-2</c:v>
                </c:pt>
                <c:pt idx="178">
                  <c:v>3.3940763182449186E-2</c:v>
                </c:pt>
                <c:pt idx="179">
                  <c:v>3.470093895391882E-2</c:v>
                </c:pt>
                <c:pt idx="180">
                  <c:v>3.5474592846231424E-2</c:v>
                </c:pt>
                <c:pt idx="181">
                  <c:v>3.6261868904906222E-2</c:v>
                </c:pt>
                <c:pt idx="182">
                  <c:v>3.7062910247806474E-2</c:v>
                </c:pt>
                <c:pt idx="183">
                  <c:v>3.7877858986677483E-2</c:v>
                </c:pt>
                <c:pt idx="184">
                  <c:v>3.8706856147455608E-2</c:v>
                </c:pt>
                <c:pt idx="185">
                  <c:v>3.955004158937022E-2</c:v>
                </c:pt>
                <c:pt idx="186">
                  <c:v>4.0407553922860308E-2</c:v>
                </c:pt>
                <c:pt idx="187">
                  <c:v>4.1279530426330417E-2</c:v>
                </c:pt>
                <c:pt idx="188">
                  <c:v>4.2166106961770311E-2</c:v>
                </c:pt>
                <c:pt idx="189">
                  <c:v>4.3067417889265734E-2</c:v>
                </c:pt>
                <c:pt idx="190">
                  <c:v>4.3983595980427191E-2</c:v>
                </c:pt>
                <c:pt idx="191">
                  <c:v>4.49147723307671E-2</c:v>
                </c:pt>
                <c:pt idx="192">
                  <c:v>4.5861076271054887E-2</c:v>
                </c:pt>
                <c:pt idx="193">
                  <c:v>4.6822635277683163E-2</c:v>
                </c:pt>
                <c:pt idx="194">
                  <c:v>4.7799574882077034E-2</c:v>
                </c:pt>
                <c:pt idx="195">
                  <c:v>4.8792018579182764E-2</c:v>
                </c:pt>
                <c:pt idx="196">
                  <c:v>4.9800087735070775E-2</c:v>
                </c:pt>
                <c:pt idx="197">
                  <c:v>5.0823901493691204E-2</c:v>
                </c:pt>
                <c:pt idx="198">
                  <c:v>5.1863576682820565E-2</c:v>
                </c:pt>
                <c:pt idx="199">
                  <c:v>5.2919227719240312E-2</c:v>
                </c:pt>
                <c:pt idx="200">
                  <c:v>5.3990966513188063E-2</c:v>
                </c:pt>
                <c:pt idx="201">
                  <c:v>5.5078902372125767E-2</c:v>
                </c:pt>
                <c:pt idx="202">
                  <c:v>5.6183141903868049E-2</c:v>
                </c:pt>
                <c:pt idx="203">
                  <c:v>5.7303788919117131E-2</c:v>
                </c:pt>
                <c:pt idx="204">
                  <c:v>5.8440944333451469E-2</c:v>
                </c:pt>
                <c:pt idx="205">
                  <c:v>5.9594706068816075E-2</c:v>
                </c:pt>
                <c:pt idx="206">
                  <c:v>6.0765168954564776E-2</c:v>
                </c:pt>
                <c:pt idx="207">
                  <c:v>6.1952424628105164E-2</c:v>
                </c:pt>
                <c:pt idx="208">
                  <c:v>6.3156561435198655E-2</c:v>
                </c:pt>
                <c:pt idx="209">
                  <c:v>6.4377664329969359E-2</c:v>
                </c:pt>
                <c:pt idx="210">
                  <c:v>6.5615814774676595E-2</c:v>
                </c:pt>
                <c:pt idx="211">
                  <c:v>6.6871090639307157E-2</c:v>
                </c:pt>
                <c:pt idx="212">
                  <c:v>6.8143566101044578E-2</c:v>
                </c:pt>
                <c:pt idx="213">
                  <c:v>6.9433311543674187E-2</c:v>
                </c:pt>
                <c:pt idx="214">
                  <c:v>7.074039345698338E-2</c:v>
                </c:pt>
                <c:pt idx="215">
                  <c:v>7.2064874336217985E-2</c:v>
                </c:pt>
                <c:pt idx="216">
                  <c:v>7.3406812581656891E-2</c:v>
                </c:pt>
                <c:pt idx="217">
                  <c:v>7.4766262398367603E-2</c:v>
                </c:pt>
                <c:pt idx="218">
                  <c:v>7.6143273696207311E-2</c:v>
                </c:pt>
                <c:pt idx="219">
                  <c:v>7.7537891990133986E-2</c:v>
                </c:pt>
                <c:pt idx="220">
                  <c:v>7.8950158300894149E-2</c:v>
                </c:pt>
                <c:pt idx="221">
                  <c:v>8.038010905615417E-2</c:v>
                </c:pt>
                <c:pt idx="222">
                  <c:v>8.1827775992142804E-2</c:v>
                </c:pt>
                <c:pt idx="223">
                  <c:v>8.3293186055874463E-2</c:v>
                </c:pt>
                <c:pt idx="224">
                  <c:v>8.4776361308022227E-2</c:v>
                </c:pt>
                <c:pt idx="225">
                  <c:v>8.6277318826511532E-2</c:v>
                </c:pt>
                <c:pt idx="226">
                  <c:v>8.7796070610905622E-2</c:v>
                </c:pt>
                <c:pt idx="227">
                  <c:v>8.9332623487655E-2</c:v>
                </c:pt>
                <c:pt idx="228">
                  <c:v>9.0886979016282871E-2</c:v>
                </c:pt>
                <c:pt idx="229">
                  <c:v>9.2459133396580684E-2</c:v>
                </c:pt>
                <c:pt idx="230">
                  <c:v>9.4049077376886947E-2</c:v>
                </c:pt>
                <c:pt idx="231">
                  <c:v>9.5656796163524016E-2</c:v>
                </c:pt>
                <c:pt idx="232">
                  <c:v>9.7282269331467511E-2</c:v>
                </c:pt>
                <c:pt idx="233">
                  <c:v>9.8925470736323712E-2</c:v>
                </c:pt>
                <c:pt idx="234">
                  <c:v>0.10058636842769057</c:v>
                </c:pt>
                <c:pt idx="235">
                  <c:v>0.10226492456397804</c:v>
                </c:pt>
                <c:pt idx="236">
                  <c:v>0.10396109532876423</c:v>
                </c:pt>
                <c:pt idx="237">
                  <c:v>0.10567483084876363</c:v>
                </c:pt>
                <c:pt idx="238">
                  <c:v>0.1074060751134838</c:v>
                </c:pt>
                <c:pt idx="239">
                  <c:v>0.10915476589664735</c:v>
                </c:pt>
                <c:pt idx="240">
                  <c:v>0.11092083467945554</c:v>
                </c:pt>
                <c:pt idx="241">
                  <c:v>0.11270420657577056</c:v>
                </c:pt>
                <c:pt idx="242">
                  <c:v>0.11450480025929236</c:v>
                </c:pt>
                <c:pt idx="243">
                  <c:v>0.11632252789280709</c:v>
                </c:pt>
                <c:pt idx="244">
                  <c:v>0.11815729505958227</c:v>
                </c:pt>
                <c:pt idx="245">
                  <c:v>0.12000900069698558</c:v>
                </c:pt>
                <c:pt idx="246">
                  <c:v>0.12187753703240178</c:v>
                </c:pt>
                <c:pt idx="247">
                  <c:v>0.12376278952152313</c:v>
                </c:pt>
                <c:pt idx="248">
                  <c:v>0.12566463678908815</c:v>
                </c:pt>
                <c:pt idx="249">
                  <c:v>0.12758295057214186</c:v>
                </c:pt>
                <c:pt idx="250">
                  <c:v>0.12951759566589174</c:v>
                </c:pt>
                <c:pt idx="251">
                  <c:v>0.13146842987223104</c:v>
                </c:pt>
                <c:pt idx="252">
                  <c:v>0.13343530395100231</c:v>
                </c:pt>
                <c:pt idx="253">
                  <c:v>0.1354180615740713</c:v>
                </c:pt>
                <c:pt idx="254">
                  <c:v>0.13741653928228179</c:v>
                </c:pt>
                <c:pt idx="255">
                  <c:v>0.13943056644536028</c:v>
                </c:pt>
                <c:pt idx="256">
                  <c:v>0.14145996522483878</c:v>
                </c:pt>
                <c:pt idx="257">
                  <c:v>0.14350455054006242</c:v>
                </c:pt>
                <c:pt idx="258">
                  <c:v>0.14556413003734761</c:v>
                </c:pt>
                <c:pt idx="259">
                  <c:v>0.14763850406235574</c:v>
                </c:pt>
                <c:pt idx="260">
                  <c:v>0.14972746563574488</c:v>
                </c:pt>
                <c:pt idx="261">
                  <c:v>0.15183080043216168</c:v>
                </c:pt>
                <c:pt idx="262">
                  <c:v>0.15394828676263372</c:v>
                </c:pt>
                <c:pt idx="263">
                  <c:v>0.15607969556042084</c:v>
                </c:pt>
                <c:pt idx="264">
                  <c:v>0.15822479037038303</c:v>
                </c:pt>
                <c:pt idx="265">
                  <c:v>0.1603833273419196</c:v>
                </c:pt>
                <c:pt idx="266">
                  <c:v>0.16255505522553412</c:v>
                </c:pt>
                <c:pt idx="267">
                  <c:v>0.1647397153730768</c:v>
                </c:pt>
                <c:pt idx="268">
                  <c:v>0.16693704174171381</c:v>
                </c:pt>
                <c:pt idx="269">
                  <c:v>0.16914676090167238</c:v>
                </c:pt>
                <c:pt idx="270">
                  <c:v>0.17136859204780736</c:v>
                </c:pt>
                <c:pt idx="271">
                  <c:v>0.17360224701503299</c:v>
                </c:pt>
                <c:pt idx="272">
                  <c:v>0.17584743029766237</c:v>
                </c:pt>
                <c:pt idx="273">
                  <c:v>0.17810383907269359</c:v>
                </c:pt>
                <c:pt idx="274">
                  <c:v>0.18037116322708033</c:v>
                </c:pt>
                <c:pt idx="275">
                  <c:v>0.18264908538902191</c:v>
                </c:pt>
                <c:pt idx="276">
                  <c:v>0.18493728096330531</c:v>
                </c:pt>
                <c:pt idx="277">
                  <c:v>0.18723541817072956</c:v>
                </c:pt>
                <c:pt idx="278">
                  <c:v>0.18954315809164024</c:v>
                </c:pt>
                <c:pt idx="279">
                  <c:v>0.19186015471359938</c:v>
                </c:pt>
                <c:pt idx="280">
                  <c:v>0.19418605498321295</c:v>
                </c:pt>
                <c:pt idx="281">
                  <c:v>0.19652049886213654</c:v>
                </c:pt>
                <c:pt idx="282">
                  <c:v>0.19886311938727591</c:v>
                </c:pt>
                <c:pt idx="283">
                  <c:v>0.2012135427351974</c:v>
                </c:pt>
                <c:pt idx="284">
                  <c:v>0.20357138829075944</c:v>
                </c:pt>
                <c:pt idx="285">
                  <c:v>0.20593626871997478</c:v>
                </c:pt>
                <c:pt idx="286">
                  <c:v>0.20830779004710837</c:v>
                </c:pt>
                <c:pt idx="287">
                  <c:v>0.21068555173601533</c:v>
                </c:pt>
                <c:pt idx="288">
                  <c:v>0.21306914677571784</c:v>
                </c:pt>
                <c:pt idx="289">
                  <c:v>0.21545816177021967</c:v>
                </c:pt>
                <c:pt idx="290">
                  <c:v>0.21785217703255053</c:v>
                </c:pt>
                <c:pt idx="291">
                  <c:v>0.22025076668303326</c:v>
                </c:pt>
                <c:pt idx="292">
                  <c:v>0.22265349875176113</c:v>
                </c:pt>
                <c:pt idx="293">
                  <c:v>0.22505993528526966</c:v>
                </c:pt>
                <c:pt idx="294">
                  <c:v>0.22746963245738591</c:v>
                </c:pt>
                <c:pt idx="295">
                  <c:v>0.22988214068423302</c:v>
                </c:pt>
                <c:pt idx="296">
                  <c:v>0.2322970047433662</c:v>
                </c:pt>
                <c:pt idx="297">
                  <c:v>0.23471376389701182</c:v>
                </c:pt>
                <c:pt idx="298">
                  <c:v>0.23713195201937959</c:v>
                </c:pt>
                <c:pt idx="299">
                  <c:v>0.23955109772801336</c:v>
                </c:pt>
                <c:pt idx="300">
                  <c:v>0.24197072451914337</c:v>
                </c:pt>
                <c:pt idx="301">
                  <c:v>0.24439035090699956</c:v>
                </c:pt>
                <c:pt idx="302">
                  <c:v>0.24680949056704274</c:v>
                </c:pt>
                <c:pt idx="303">
                  <c:v>0.24922765248306594</c:v>
                </c:pt>
                <c:pt idx="304">
                  <c:v>0.25164434109811712</c:v>
                </c:pt>
                <c:pt idx="305">
                  <c:v>0.25405905646918903</c:v>
                </c:pt>
                <c:pt idx="306">
                  <c:v>0.25647129442562033</c:v>
                </c:pt>
                <c:pt idx="307">
                  <c:v>0.2588805467311488</c:v>
                </c:pt>
                <c:pt idx="308">
                  <c:v>0.26128630124955315</c:v>
                </c:pt>
                <c:pt idx="309">
                  <c:v>0.26368804211381813</c:v>
                </c:pt>
                <c:pt idx="310">
                  <c:v>0.26608524989875482</c:v>
                </c:pt>
                <c:pt idx="311">
                  <c:v>0.26847740179700241</c:v>
                </c:pt>
                <c:pt idx="312">
                  <c:v>0.27086397179833799</c:v>
                </c:pt>
                <c:pt idx="313">
                  <c:v>0.27324443087221623</c:v>
                </c:pt>
                <c:pt idx="314">
                  <c:v>0.27561824715345667</c:v>
                </c:pt>
                <c:pt idx="315">
                  <c:v>0.27798488613099648</c:v>
                </c:pt>
                <c:pt idx="316">
                  <c:v>0.28034381083962062</c:v>
                </c:pt>
                <c:pt idx="317">
                  <c:v>0.28269448205458025</c:v>
                </c:pt>
                <c:pt idx="318">
                  <c:v>0.28503635848900727</c:v>
                </c:pt>
                <c:pt idx="319">
                  <c:v>0.28736889699402829</c:v>
                </c:pt>
                <c:pt idx="320">
                  <c:v>0.28969155276148273</c:v>
                </c:pt>
                <c:pt idx="321">
                  <c:v>0.29200377952914142</c:v>
                </c:pt>
                <c:pt idx="322">
                  <c:v>0.29430502978832512</c:v>
                </c:pt>
                <c:pt idx="323">
                  <c:v>0.29659475499381571</c:v>
                </c:pt>
                <c:pt idx="324">
                  <c:v>0.29887240577595275</c:v>
                </c:pt>
                <c:pt idx="325">
                  <c:v>0.30113743215480443</c:v>
                </c:pt>
                <c:pt idx="326">
                  <c:v>0.30338928375630014</c:v>
                </c:pt>
                <c:pt idx="327">
                  <c:v>0.30562741003020988</c:v>
                </c:pt>
                <c:pt idx="328">
                  <c:v>0.30785126046985295</c:v>
                </c:pt>
                <c:pt idx="329">
                  <c:v>0.31006028483341613</c:v>
                </c:pt>
                <c:pt idx="330">
                  <c:v>0.31225393336676127</c:v>
                </c:pt>
                <c:pt idx="331">
                  <c:v>0.31443165702759734</c:v>
                </c:pt>
                <c:pt idx="332">
                  <c:v>0.31659290771089277</c:v>
                </c:pt>
                <c:pt idx="333">
                  <c:v>0.31873713847540153</c:v>
                </c:pt>
                <c:pt idx="334">
                  <c:v>0.32086380377117252</c:v>
                </c:pt>
                <c:pt idx="335">
                  <c:v>0.32297235966791427</c:v>
                </c:pt>
                <c:pt idx="336">
                  <c:v>0.32506226408408218</c:v>
                </c:pt>
                <c:pt idx="337">
                  <c:v>0.32713297701655447</c:v>
                </c:pt>
                <c:pt idx="338">
                  <c:v>0.32918396077076478</c:v>
                </c:pt>
                <c:pt idx="339">
                  <c:v>0.33121468019115297</c:v>
                </c:pt>
                <c:pt idx="340">
                  <c:v>0.33322460289179967</c:v>
                </c:pt>
                <c:pt idx="341">
                  <c:v>0.33521319948710609</c:v>
                </c:pt>
                <c:pt idx="342">
                  <c:v>0.33717994382238059</c:v>
                </c:pt>
                <c:pt idx="343">
                  <c:v>0.33912431320419223</c:v>
                </c:pt>
                <c:pt idx="344">
                  <c:v>0.34104578863035256</c:v>
                </c:pt>
                <c:pt idx="345">
                  <c:v>0.3429438550193839</c:v>
                </c:pt>
                <c:pt idx="346">
                  <c:v>0.34481800143933333</c:v>
                </c:pt>
                <c:pt idx="347">
                  <c:v>0.34666772133579166</c:v>
                </c:pt>
                <c:pt idx="348">
                  <c:v>0.34849251275897447</c:v>
                </c:pt>
                <c:pt idx="349">
                  <c:v>0.35029187858972582</c:v>
                </c:pt>
                <c:pt idx="350">
                  <c:v>0.35206532676429952</c:v>
                </c:pt>
                <c:pt idx="351">
                  <c:v>0.35381237049777969</c:v>
                </c:pt>
                <c:pt idx="352">
                  <c:v>0.35553252850599709</c:v>
                </c:pt>
                <c:pt idx="353">
                  <c:v>0.35722532522580086</c:v>
                </c:pt>
                <c:pt idx="354">
                  <c:v>0.35889029103354464</c:v>
                </c:pt>
                <c:pt idx="355">
                  <c:v>0.36052696246164795</c:v>
                </c:pt>
                <c:pt idx="356">
                  <c:v>0.36213488241309222</c:v>
                </c:pt>
                <c:pt idx="357">
                  <c:v>0.36371360037371342</c:v>
                </c:pt>
                <c:pt idx="358">
                  <c:v>0.36526267262215389</c:v>
                </c:pt>
                <c:pt idx="359">
                  <c:v>0.36678166243733612</c:v>
                </c:pt>
                <c:pt idx="360">
                  <c:v>0.36827014030332333</c:v>
                </c:pt>
                <c:pt idx="361">
                  <c:v>0.36972768411143236</c:v>
                </c:pt>
                <c:pt idx="362">
                  <c:v>0.37115387935946603</c:v>
                </c:pt>
                <c:pt idx="363">
                  <c:v>0.37254831934793342</c:v>
                </c:pt>
                <c:pt idx="364">
                  <c:v>0.37391060537312842</c:v>
                </c:pt>
                <c:pt idx="365">
                  <c:v>0.37524034691693792</c:v>
                </c:pt>
                <c:pt idx="366">
                  <c:v>0.37653716183325392</c:v>
                </c:pt>
                <c:pt idx="367">
                  <c:v>0.37780067653086458</c:v>
                </c:pt>
                <c:pt idx="368">
                  <c:v>0.37903052615270166</c:v>
                </c:pt>
                <c:pt idx="369">
                  <c:v>0.38022635475132494</c:v>
                </c:pt>
                <c:pt idx="370">
                  <c:v>0.38138781546052414</c:v>
                </c:pt>
                <c:pt idx="371">
                  <c:v>0.38251457066292405</c:v>
                </c:pt>
                <c:pt idx="372">
                  <c:v>0.38360629215347858</c:v>
                </c:pt>
                <c:pt idx="373">
                  <c:v>0.38466266129874283</c:v>
                </c:pt>
                <c:pt idx="374">
                  <c:v>0.38568336919181612</c:v>
                </c:pt>
                <c:pt idx="375">
                  <c:v>0.38666811680284924</c:v>
                </c:pt>
                <c:pt idx="376">
                  <c:v>0.38761661512501416</c:v>
                </c:pt>
                <c:pt idx="377">
                  <c:v>0.38852858531583589</c:v>
                </c:pt>
                <c:pt idx="378">
                  <c:v>0.38940375883379041</c:v>
                </c:pt>
                <c:pt idx="379">
                  <c:v>0.39024187757007428</c:v>
                </c:pt>
                <c:pt idx="380">
                  <c:v>0.39104269397545588</c:v>
                </c:pt>
                <c:pt idx="381">
                  <c:v>0.39180597118212113</c:v>
                </c:pt>
                <c:pt idx="382">
                  <c:v>0.3925314831204289</c:v>
                </c:pt>
                <c:pt idx="383">
                  <c:v>0.39321901463049719</c:v>
                </c:pt>
                <c:pt idx="384">
                  <c:v>0.39386836156854083</c:v>
                </c:pt>
                <c:pt idx="385">
                  <c:v>0.39447933090788895</c:v>
                </c:pt>
                <c:pt idx="386">
                  <c:v>0.39505174083461125</c:v>
                </c:pt>
                <c:pt idx="387">
                  <c:v>0.39558542083768738</c:v>
                </c:pt>
                <c:pt idx="388">
                  <c:v>0.3960802117936561</c:v>
                </c:pt>
                <c:pt idx="389">
                  <c:v>0.39653596604568575</c:v>
                </c:pt>
                <c:pt idx="390">
                  <c:v>0.39695254747701181</c:v>
                </c:pt>
                <c:pt idx="391">
                  <c:v>0.39732983157868834</c:v>
                </c:pt>
                <c:pt idx="392">
                  <c:v>0.39766770551160885</c:v>
                </c:pt>
                <c:pt idx="393">
                  <c:v>0.39796606816275104</c:v>
                </c:pt>
                <c:pt idx="394">
                  <c:v>0.39822483019560695</c:v>
                </c:pt>
                <c:pt idx="395">
                  <c:v>0.39844391409476404</c:v>
                </c:pt>
                <c:pt idx="396">
                  <c:v>0.39862325420460504</c:v>
                </c:pt>
                <c:pt idx="397">
                  <c:v>0.39876279676209969</c:v>
                </c:pt>
                <c:pt idx="398">
                  <c:v>0.39886249992366613</c:v>
                </c:pt>
                <c:pt idx="399">
                  <c:v>0.39892233378608216</c:v>
                </c:pt>
                <c:pt idx="400">
                  <c:v>0.3989422804014327</c:v>
                </c:pt>
                <c:pt idx="401">
                  <c:v>0.39892233378608216</c:v>
                </c:pt>
                <c:pt idx="402">
                  <c:v>0.39886249992366613</c:v>
                </c:pt>
                <c:pt idx="403">
                  <c:v>0.39876279676209969</c:v>
                </c:pt>
                <c:pt idx="404">
                  <c:v>0.39862325420460504</c:v>
                </c:pt>
                <c:pt idx="405">
                  <c:v>0.39844391409476404</c:v>
                </c:pt>
                <c:pt idx="406">
                  <c:v>0.39822483019560695</c:v>
                </c:pt>
                <c:pt idx="407">
                  <c:v>0.39796606816275104</c:v>
                </c:pt>
                <c:pt idx="408">
                  <c:v>0.39766770551160885</c:v>
                </c:pt>
                <c:pt idx="409">
                  <c:v>0.39732983157868834</c:v>
                </c:pt>
                <c:pt idx="410">
                  <c:v>0.39695254747701181</c:v>
                </c:pt>
                <c:pt idx="411">
                  <c:v>0.39653596604568575</c:v>
                </c:pt>
                <c:pt idx="412">
                  <c:v>0.3960802117936561</c:v>
                </c:pt>
                <c:pt idx="413">
                  <c:v>0.39558542083768738</c:v>
                </c:pt>
                <c:pt idx="414">
                  <c:v>0.39505174083461125</c:v>
                </c:pt>
                <c:pt idx="415">
                  <c:v>0.39447933090788895</c:v>
                </c:pt>
                <c:pt idx="416">
                  <c:v>0.39386836156854083</c:v>
                </c:pt>
                <c:pt idx="417">
                  <c:v>0.39321901463049719</c:v>
                </c:pt>
                <c:pt idx="418">
                  <c:v>0.3925314831204289</c:v>
                </c:pt>
                <c:pt idx="419">
                  <c:v>0.39180597118212113</c:v>
                </c:pt>
                <c:pt idx="420">
                  <c:v>0.39104269397545588</c:v>
                </c:pt>
                <c:pt idx="421">
                  <c:v>0.39024187757007428</c:v>
                </c:pt>
                <c:pt idx="422">
                  <c:v>0.38940375883379041</c:v>
                </c:pt>
                <c:pt idx="423">
                  <c:v>0.38852858531583589</c:v>
                </c:pt>
                <c:pt idx="424">
                  <c:v>0.38761661512501416</c:v>
                </c:pt>
                <c:pt idx="425">
                  <c:v>0.38666811680284924</c:v>
                </c:pt>
                <c:pt idx="426">
                  <c:v>0.38568336919181612</c:v>
                </c:pt>
                <c:pt idx="427">
                  <c:v>0.38466266129874283</c:v>
                </c:pt>
                <c:pt idx="428">
                  <c:v>0.38360629215347858</c:v>
                </c:pt>
                <c:pt idx="429">
                  <c:v>0.38251457066292405</c:v>
                </c:pt>
                <c:pt idx="430">
                  <c:v>0.38138781546052414</c:v>
                </c:pt>
                <c:pt idx="431">
                  <c:v>0.38022635475132494</c:v>
                </c:pt>
                <c:pt idx="432">
                  <c:v>0.37903052615270166</c:v>
                </c:pt>
                <c:pt idx="433">
                  <c:v>0.37780067653086458</c:v>
                </c:pt>
                <c:pt idx="434">
                  <c:v>0.37653716183325392</c:v>
                </c:pt>
                <c:pt idx="435">
                  <c:v>0.37524034691693792</c:v>
                </c:pt>
                <c:pt idx="436">
                  <c:v>0.37391060537312842</c:v>
                </c:pt>
                <c:pt idx="437">
                  <c:v>0.37254831934793342</c:v>
                </c:pt>
                <c:pt idx="438">
                  <c:v>0.37115387935946603</c:v>
                </c:pt>
                <c:pt idx="439">
                  <c:v>0.36972768411143236</c:v>
                </c:pt>
                <c:pt idx="440">
                  <c:v>0.36827014030332333</c:v>
                </c:pt>
                <c:pt idx="441">
                  <c:v>0.36678166243733612</c:v>
                </c:pt>
                <c:pt idx="442">
                  <c:v>0.36526267262215389</c:v>
                </c:pt>
                <c:pt idx="443">
                  <c:v>0.36371360037371342</c:v>
                </c:pt>
                <c:pt idx="444">
                  <c:v>0.36213488241309222</c:v>
                </c:pt>
                <c:pt idx="445">
                  <c:v>0.36052696246164795</c:v>
                </c:pt>
                <c:pt idx="446">
                  <c:v>0.35889029103354464</c:v>
                </c:pt>
                <c:pt idx="447">
                  <c:v>0.35722532522580086</c:v>
                </c:pt>
                <c:pt idx="448">
                  <c:v>0.35553252850599709</c:v>
                </c:pt>
                <c:pt idx="449">
                  <c:v>0.35381237049777969</c:v>
                </c:pt>
                <c:pt idx="450">
                  <c:v>0.35206532676429952</c:v>
                </c:pt>
                <c:pt idx="451">
                  <c:v>0.35029187858972582</c:v>
                </c:pt>
                <c:pt idx="452">
                  <c:v>0.34849251275897447</c:v>
                </c:pt>
                <c:pt idx="453">
                  <c:v>0.34666772133579166</c:v>
                </c:pt>
                <c:pt idx="454">
                  <c:v>0.34481800143933333</c:v>
                </c:pt>
                <c:pt idx="455">
                  <c:v>0.3429438550193839</c:v>
                </c:pt>
                <c:pt idx="456">
                  <c:v>0.34104578863035256</c:v>
                </c:pt>
                <c:pt idx="457">
                  <c:v>0.33912431320419223</c:v>
                </c:pt>
                <c:pt idx="458">
                  <c:v>0.33717994382238059</c:v>
                </c:pt>
                <c:pt idx="459">
                  <c:v>0.33521319948710609</c:v>
                </c:pt>
                <c:pt idx="460">
                  <c:v>0.33322460289179967</c:v>
                </c:pt>
                <c:pt idx="461">
                  <c:v>0.33121468019115297</c:v>
                </c:pt>
                <c:pt idx="462">
                  <c:v>0.32918396077076478</c:v>
                </c:pt>
                <c:pt idx="463">
                  <c:v>0.32713297701655447</c:v>
                </c:pt>
                <c:pt idx="464">
                  <c:v>0.32506226408408218</c:v>
                </c:pt>
                <c:pt idx="465">
                  <c:v>0.32297235966791427</c:v>
                </c:pt>
                <c:pt idx="466">
                  <c:v>0.32086380377117252</c:v>
                </c:pt>
                <c:pt idx="467">
                  <c:v>0.31873713847540153</c:v>
                </c:pt>
                <c:pt idx="468">
                  <c:v>0.31659290771089277</c:v>
                </c:pt>
                <c:pt idx="469">
                  <c:v>0.31443165702759734</c:v>
                </c:pt>
                <c:pt idx="470">
                  <c:v>0.31225393336676127</c:v>
                </c:pt>
                <c:pt idx="471">
                  <c:v>0.31006028483341613</c:v>
                </c:pt>
                <c:pt idx="472">
                  <c:v>0.30785126046985295</c:v>
                </c:pt>
                <c:pt idx="473">
                  <c:v>0.30562741003020988</c:v>
                </c:pt>
                <c:pt idx="474">
                  <c:v>0.30338928375630014</c:v>
                </c:pt>
                <c:pt idx="475">
                  <c:v>0.30113743215480443</c:v>
                </c:pt>
                <c:pt idx="476">
                  <c:v>0.29887240577595275</c:v>
                </c:pt>
                <c:pt idx="477">
                  <c:v>0.29659475499381571</c:v>
                </c:pt>
                <c:pt idx="478">
                  <c:v>0.29430502978832512</c:v>
                </c:pt>
                <c:pt idx="479">
                  <c:v>0.29200377952914142</c:v>
                </c:pt>
                <c:pt idx="480">
                  <c:v>0.28969155276148273</c:v>
                </c:pt>
                <c:pt idx="481">
                  <c:v>0.28736889699402829</c:v>
                </c:pt>
                <c:pt idx="482">
                  <c:v>0.28503635848900727</c:v>
                </c:pt>
                <c:pt idx="483">
                  <c:v>0.28269448205458025</c:v>
                </c:pt>
                <c:pt idx="484">
                  <c:v>0.28034381083962062</c:v>
                </c:pt>
                <c:pt idx="485">
                  <c:v>0.27798488613099648</c:v>
                </c:pt>
                <c:pt idx="486">
                  <c:v>0.27561824715345667</c:v>
                </c:pt>
                <c:pt idx="487">
                  <c:v>0.27324443087221623</c:v>
                </c:pt>
                <c:pt idx="488">
                  <c:v>0.27086397179833799</c:v>
                </c:pt>
                <c:pt idx="489">
                  <c:v>0.26847740179700241</c:v>
                </c:pt>
                <c:pt idx="490">
                  <c:v>0.26608524989875482</c:v>
                </c:pt>
                <c:pt idx="491">
                  <c:v>0.26368804211381813</c:v>
                </c:pt>
                <c:pt idx="492">
                  <c:v>0.26128630124955315</c:v>
                </c:pt>
                <c:pt idx="493">
                  <c:v>0.2588805467311488</c:v>
                </c:pt>
                <c:pt idx="494">
                  <c:v>0.25647129442562033</c:v>
                </c:pt>
                <c:pt idx="495">
                  <c:v>0.25405905646918903</c:v>
                </c:pt>
                <c:pt idx="496">
                  <c:v>0.25164434109811712</c:v>
                </c:pt>
                <c:pt idx="497">
                  <c:v>0.24922765248306594</c:v>
                </c:pt>
                <c:pt idx="498">
                  <c:v>0.24680949056704274</c:v>
                </c:pt>
                <c:pt idx="499">
                  <c:v>0.24439035090699956</c:v>
                </c:pt>
                <c:pt idx="500">
                  <c:v>0.24197072451914337</c:v>
                </c:pt>
                <c:pt idx="501">
                  <c:v>0.23955109772801336</c:v>
                </c:pt>
                <c:pt idx="502">
                  <c:v>0.23713195201937959</c:v>
                </c:pt>
                <c:pt idx="503">
                  <c:v>0.23471376389701182</c:v>
                </c:pt>
                <c:pt idx="504">
                  <c:v>0.2322970047433662</c:v>
                </c:pt>
                <c:pt idx="505">
                  <c:v>0.22988214068423302</c:v>
                </c:pt>
                <c:pt idx="506">
                  <c:v>0.22746963245738591</c:v>
                </c:pt>
                <c:pt idx="507">
                  <c:v>0.22505993528526966</c:v>
                </c:pt>
                <c:pt idx="508">
                  <c:v>0.22265349875176113</c:v>
                </c:pt>
                <c:pt idx="509">
                  <c:v>0.22025076668303326</c:v>
                </c:pt>
                <c:pt idx="510">
                  <c:v>0.21785217703255053</c:v>
                </c:pt>
                <c:pt idx="511">
                  <c:v>0.21545816177021967</c:v>
                </c:pt>
                <c:pt idx="512">
                  <c:v>0.21306914677571784</c:v>
                </c:pt>
                <c:pt idx="513">
                  <c:v>0.21068555173601533</c:v>
                </c:pt>
                <c:pt idx="514">
                  <c:v>0.20830779004710837</c:v>
                </c:pt>
                <c:pt idx="515">
                  <c:v>0.20593626871997478</c:v>
                </c:pt>
                <c:pt idx="516">
                  <c:v>0.20357138829075944</c:v>
                </c:pt>
                <c:pt idx="517">
                  <c:v>0.2012135427351974</c:v>
                </c:pt>
                <c:pt idx="518">
                  <c:v>0.19886311938727591</c:v>
                </c:pt>
                <c:pt idx="519">
                  <c:v>0.19652049886213654</c:v>
                </c:pt>
                <c:pt idx="520">
                  <c:v>0.19418605498321295</c:v>
                </c:pt>
                <c:pt idx="521">
                  <c:v>0.19186015471359938</c:v>
                </c:pt>
                <c:pt idx="522">
                  <c:v>0.18954315809164024</c:v>
                </c:pt>
                <c:pt idx="523">
                  <c:v>0.18723541817072956</c:v>
                </c:pt>
                <c:pt idx="524">
                  <c:v>0.18493728096330531</c:v>
                </c:pt>
                <c:pt idx="525">
                  <c:v>0.18264908538902191</c:v>
                </c:pt>
                <c:pt idx="526">
                  <c:v>0.18037116322708033</c:v>
                </c:pt>
                <c:pt idx="527">
                  <c:v>0.17810383907269359</c:v>
                </c:pt>
                <c:pt idx="528">
                  <c:v>0.17584743029766237</c:v>
                </c:pt>
                <c:pt idx="529">
                  <c:v>0.17360224701503299</c:v>
                </c:pt>
                <c:pt idx="530">
                  <c:v>0.17136859204780736</c:v>
                </c:pt>
                <c:pt idx="531">
                  <c:v>0.16914676090167238</c:v>
                </c:pt>
                <c:pt idx="532">
                  <c:v>0.16693704174171381</c:v>
                </c:pt>
                <c:pt idx="533">
                  <c:v>0.1647397153730768</c:v>
                </c:pt>
                <c:pt idx="534">
                  <c:v>0.16255505522553412</c:v>
                </c:pt>
                <c:pt idx="535">
                  <c:v>0.1603833273419196</c:v>
                </c:pt>
                <c:pt idx="536">
                  <c:v>0.15822479037038303</c:v>
                </c:pt>
                <c:pt idx="537">
                  <c:v>0.15607969556042084</c:v>
                </c:pt>
                <c:pt idx="538">
                  <c:v>0.15394828676263372</c:v>
                </c:pt>
                <c:pt idx="539">
                  <c:v>0.15183080043216168</c:v>
                </c:pt>
                <c:pt idx="540">
                  <c:v>0.14972746563574488</c:v>
                </c:pt>
                <c:pt idx="541">
                  <c:v>0.14763850406235574</c:v>
                </c:pt>
                <c:pt idx="542">
                  <c:v>0.14556413003734761</c:v>
                </c:pt>
                <c:pt idx="543">
                  <c:v>0.14350455054006242</c:v>
                </c:pt>
                <c:pt idx="544">
                  <c:v>0.14145996522483878</c:v>
                </c:pt>
                <c:pt idx="545">
                  <c:v>0.13943056644536028</c:v>
                </c:pt>
                <c:pt idx="546">
                  <c:v>0.13741653928228179</c:v>
                </c:pt>
                <c:pt idx="547">
                  <c:v>0.1354180615740713</c:v>
                </c:pt>
                <c:pt idx="548">
                  <c:v>0.13343530395100231</c:v>
                </c:pt>
                <c:pt idx="549">
                  <c:v>0.13146842987223104</c:v>
                </c:pt>
                <c:pt idx="550">
                  <c:v>0.12951759566589174</c:v>
                </c:pt>
                <c:pt idx="551">
                  <c:v>0.12758295057214186</c:v>
                </c:pt>
                <c:pt idx="552">
                  <c:v>0.12566463678908815</c:v>
                </c:pt>
                <c:pt idx="553">
                  <c:v>0.12376278952152313</c:v>
                </c:pt>
                <c:pt idx="554">
                  <c:v>0.12187753703240178</c:v>
                </c:pt>
                <c:pt idx="555">
                  <c:v>0.12000900069698558</c:v>
                </c:pt>
                <c:pt idx="556">
                  <c:v>0.11815729505958227</c:v>
                </c:pt>
                <c:pt idx="557">
                  <c:v>0.11632252789280709</c:v>
                </c:pt>
                <c:pt idx="558">
                  <c:v>0.11450480025929236</c:v>
                </c:pt>
                <c:pt idx="559">
                  <c:v>0.11270420657577056</c:v>
                </c:pt>
                <c:pt idx="560">
                  <c:v>0.11092083467945554</c:v>
                </c:pt>
                <c:pt idx="561">
                  <c:v>0.10915476589664735</c:v>
                </c:pt>
                <c:pt idx="562">
                  <c:v>0.1074060751134838</c:v>
                </c:pt>
                <c:pt idx="563">
                  <c:v>0.10567483084876363</c:v>
                </c:pt>
                <c:pt idx="564">
                  <c:v>0.10396109532876423</c:v>
                </c:pt>
                <c:pt idx="565">
                  <c:v>0.10226492456397804</c:v>
                </c:pt>
                <c:pt idx="566">
                  <c:v>0.10058636842769057</c:v>
                </c:pt>
                <c:pt idx="567">
                  <c:v>9.8925470736323712E-2</c:v>
                </c:pt>
                <c:pt idx="568">
                  <c:v>9.7282269331467511E-2</c:v>
                </c:pt>
                <c:pt idx="569">
                  <c:v>9.5656796163524016E-2</c:v>
                </c:pt>
                <c:pt idx="570">
                  <c:v>9.4049077376886947E-2</c:v>
                </c:pt>
                <c:pt idx="571">
                  <c:v>9.2459133396580684E-2</c:v>
                </c:pt>
                <c:pt idx="572">
                  <c:v>9.0886979016282871E-2</c:v>
                </c:pt>
                <c:pt idx="573">
                  <c:v>8.9332623487655E-2</c:v>
                </c:pt>
                <c:pt idx="574">
                  <c:v>8.7796070610905622E-2</c:v>
                </c:pt>
                <c:pt idx="575">
                  <c:v>8.6277318826511532E-2</c:v>
                </c:pt>
                <c:pt idx="576">
                  <c:v>8.4776361308022227E-2</c:v>
                </c:pt>
                <c:pt idx="577">
                  <c:v>8.3293186055874463E-2</c:v>
                </c:pt>
                <c:pt idx="578">
                  <c:v>8.1827775992142804E-2</c:v>
                </c:pt>
                <c:pt idx="579">
                  <c:v>8.038010905615417E-2</c:v>
                </c:pt>
                <c:pt idx="580">
                  <c:v>7.8950158300894149E-2</c:v>
                </c:pt>
                <c:pt idx="581">
                  <c:v>7.7537891990133986E-2</c:v>
                </c:pt>
                <c:pt idx="582">
                  <c:v>7.6143273696207311E-2</c:v>
                </c:pt>
                <c:pt idx="583">
                  <c:v>7.4766262398367603E-2</c:v>
                </c:pt>
                <c:pt idx="584">
                  <c:v>7.3406812581656891E-2</c:v>
                </c:pt>
                <c:pt idx="585">
                  <c:v>7.2064874336217985E-2</c:v>
                </c:pt>
                <c:pt idx="586">
                  <c:v>7.074039345698338E-2</c:v>
                </c:pt>
                <c:pt idx="587">
                  <c:v>6.9433311543674187E-2</c:v>
                </c:pt>
                <c:pt idx="588">
                  <c:v>6.8143566101044578E-2</c:v>
                </c:pt>
                <c:pt idx="589">
                  <c:v>6.6871090639307157E-2</c:v>
                </c:pt>
                <c:pt idx="590">
                  <c:v>6.5615814774676595E-2</c:v>
                </c:pt>
                <c:pt idx="591">
                  <c:v>6.4377664329969359E-2</c:v>
                </c:pt>
                <c:pt idx="592">
                  <c:v>6.3156561435198655E-2</c:v>
                </c:pt>
                <c:pt idx="593">
                  <c:v>6.1952424628105164E-2</c:v>
                </c:pt>
                <c:pt idx="594">
                  <c:v>6.0765168954564776E-2</c:v>
                </c:pt>
                <c:pt idx="595">
                  <c:v>5.9594706068816075E-2</c:v>
                </c:pt>
                <c:pt idx="596">
                  <c:v>5.8440944333451469E-2</c:v>
                </c:pt>
                <c:pt idx="597">
                  <c:v>5.7303788919117131E-2</c:v>
                </c:pt>
                <c:pt idx="598">
                  <c:v>5.6183141903868049E-2</c:v>
                </c:pt>
                <c:pt idx="599">
                  <c:v>5.5078902372125767E-2</c:v>
                </c:pt>
                <c:pt idx="600">
                  <c:v>5.3990966513188063E-2</c:v>
                </c:pt>
                <c:pt idx="601">
                  <c:v>5.2919227719240312E-2</c:v>
                </c:pt>
                <c:pt idx="602">
                  <c:v>5.1863576682820565E-2</c:v>
                </c:pt>
                <c:pt idx="603">
                  <c:v>5.0823901493691204E-2</c:v>
                </c:pt>
                <c:pt idx="604">
                  <c:v>4.9800087735070775E-2</c:v>
                </c:pt>
                <c:pt idx="605">
                  <c:v>4.8792018579182764E-2</c:v>
                </c:pt>
                <c:pt idx="606">
                  <c:v>4.7799574882077034E-2</c:v>
                </c:pt>
                <c:pt idx="607">
                  <c:v>4.6822635277683163E-2</c:v>
                </c:pt>
                <c:pt idx="608">
                  <c:v>4.5861076271054887E-2</c:v>
                </c:pt>
                <c:pt idx="609">
                  <c:v>4.49147723307671E-2</c:v>
                </c:pt>
                <c:pt idx="610">
                  <c:v>4.3983595980427191E-2</c:v>
                </c:pt>
                <c:pt idx="611">
                  <c:v>4.3067417889265734E-2</c:v>
                </c:pt>
                <c:pt idx="612">
                  <c:v>4.2166106961770311E-2</c:v>
                </c:pt>
                <c:pt idx="613">
                  <c:v>4.1279530426330417E-2</c:v>
                </c:pt>
                <c:pt idx="614">
                  <c:v>4.0407553922860308E-2</c:v>
                </c:pt>
                <c:pt idx="615">
                  <c:v>3.955004158937022E-2</c:v>
                </c:pt>
                <c:pt idx="616">
                  <c:v>3.8706856147455608E-2</c:v>
                </c:pt>
                <c:pt idx="617">
                  <c:v>3.7877858986677483E-2</c:v>
                </c:pt>
                <c:pt idx="618">
                  <c:v>3.7062910247806474E-2</c:v>
                </c:pt>
                <c:pt idx="619">
                  <c:v>3.6261868904906222E-2</c:v>
                </c:pt>
                <c:pt idx="620">
                  <c:v>3.5474592846231424E-2</c:v>
                </c:pt>
                <c:pt idx="621">
                  <c:v>3.470093895391882E-2</c:v>
                </c:pt>
                <c:pt idx="622">
                  <c:v>3.3940763182449186E-2</c:v>
                </c:pt>
                <c:pt idx="623">
                  <c:v>3.3193920635861122E-2</c:v>
                </c:pt>
                <c:pt idx="624">
                  <c:v>3.2460265643697445E-2</c:v>
                </c:pt>
                <c:pt idx="625">
                  <c:v>3.1739651835667418E-2</c:v>
                </c:pt>
                <c:pt idx="626">
                  <c:v>3.103193221500827E-2</c:v>
                </c:pt>
                <c:pt idx="627">
                  <c:v>3.0336959230531636E-2</c:v>
                </c:pt>
                <c:pt idx="628">
                  <c:v>2.9654584847341278E-2</c:v>
                </c:pt>
                <c:pt idx="629">
                  <c:v>2.8984660616209412E-2</c:v>
                </c:pt>
                <c:pt idx="630">
                  <c:v>2.8327037741601186E-2</c:v>
                </c:pt>
                <c:pt idx="631">
                  <c:v>2.7681567148336573E-2</c:v>
                </c:pt>
                <c:pt idx="632">
                  <c:v>2.7048099546881785E-2</c:v>
                </c:pt>
                <c:pt idx="633">
                  <c:v>2.6426485497261721E-2</c:v>
                </c:pt>
                <c:pt idx="634">
                  <c:v>2.581657547158769E-2</c:v>
                </c:pt>
                <c:pt idx="635">
                  <c:v>2.5218219915194382E-2</c:v>
                </c:pt>
                <c:pt idx="636">
                  <c:v>2.4631269306382507E-2</c:v>
                </c:pt>
                <c:pt idx="637">
                  <c:v>2.4055574214762971E-2</c:v>
                </c:pt>
                <c:pt idx="638">
                  <c:v>2.3490985358201363E-2</c:v>
                </c:pt>
                <c:pt idx="639">
                  <c:v>2.2937353658360693E-2</c:v>
                </c:pt>
                <c:pt idx="640">
                  <c:v>2.2394530294842899E-2</c:v>
                </c:pt>
                <c:pt idx="641">
                  <c:v>2.1862366757929387E-2</c:v>
                </c:pt>
                <c:pt idx="642">
                  <c:v>2.1340714899922782E-2</c:v>
                </c:pt>
                <c:pt idx="643">
                  <c:v>2.0829426985092186E-2</c:v>
                </c:pt>
                <c:pt idx="644">
                  <c:v>2.0328355738225837E-2</c:v>
                </c:pt>
                <c:pt idx="645">
                  <c:v>1.9837354391795313E-2</c:v>
                </c:pt>
                <c:pt idx="646">
                  <c:v>1.9356276731736961E-2</c:v>
                </c:pt>
                <c:pt idx="647">
                  <c:v>1.8884977141856163E-2</c:v>
                </c:pt>
                <c:pt idx="648">
                  <c:v>1.8423310646862048E-2</c:v>
                </c:pt>
                <c:pt idx="649">
                  <c:v>1.7971132954039633E-2</c:v>
                </c:pt>
                <c:pt idx="650">
                  <c:v>1.752830049356854E-2</c:v>
                </c:pt>
                <c:pt idx="651">
                  <c:v>1.7094670457496956E-2</c:v>
                </c:pt>
                <c:pt idx="652">
                  <c:v>1.6670100837381057E-2</c:v>
                </c:pt>
                <c:pt idx="653">
                  <c:v>1.6254450460600506E-2</c:v>
                </c:pt>
                <c:pt idx="654">
                  <c:v>1.5847579025360818E-2</c:v>
                </c:pt>
                <c:pt idx="655">
                  <c:v>1.5449347134395174E-2</c:v>
                </c:pt>
                <c:pt idx="656">
                  <c:v>1.5059616327377449E-2</c:v>
                </c:pt>
                <c:pt idx="657">
                  <c:v>1.4678249112060044E-2</c:v>
                </c:pt>
                <c:pt idx="658">
                  <c:v>1.430510899414969E-2</c:v>
                </c:pt>
                <c:pt idx="659">
                  <c:v>1.3940060505935825E-2</c:v>
                </c:pt>
                <c:pt idx="660">
                  <c:v>1.3582969233685613E-2</c:v>
                </c:pt>
                <c:pt idx="661">
                  <c:v>1.3233701843821374E-2</c:v>
                </c:pt>
                <c:pt idx="662">
                  <c:v>1.2892126107895304E-2</c:v>
                </c:pt>
                <c:pt idx="663">
                  <c:v>1.2558110926378211E-2</c:v>
                </c:pt>
                <c:pt idx="664">
                  <c:v>1.2231526351277971E-2</c:v>
                </c:pt>
                <c:pt idx="665">
                  <c:v>1.1912243607605179E-2</c:v>
                </c:pt>
                <c:pt idx="666">
                  <c:v>1.1600135113702561E-2</c:v>
                </c:pt>
                <c:pt idx="667">
                  <c:v>1.1295074500456135E-2</c:v>
                </c:pt>
                <c:pt idx="668">
                  <c:v>1.0996936629405572E-2</c:v>
                </c:pt>
                <c:pt idx="669">
                  <c:v>1.0705597609772187E-2</c:v>
                </c:pt>
                <c:pt idx="670">
                  <c:v>1.0420934814422592E-2</c:v>
                </c:pt>
                <c:pt idx="671">
                  <c:v>1.0142826894787077E-2</c:v>
                </c:pt>
                <c:pt idx="672">
                  <c:v>9.8711537947511301E-3</c:v>
                </c:pt>
                <c:pt idx="673">
                  <c:v>9.6057967635395872E-3</c:v>
                </c:pt>
                <c:pt idx="674">
                  <c:v>9.3466383676122835E-3</c:v>
                </c:pt>
                <c:pt idx="675">
                  <c:v>9.0935625015910529E-3</c:v>
                </c:pt>
                <c:pt idx="676">
                  <c:v>8.8464543982372315E-3</c:v>
                </c:pt>
                <c:pt idx="677">
                  <c:v>8.6052006374996715E-3</c:v>
                </c:pt>
                <c:pt idx="678">
                  <c:v>8.369689154653033E-3</c:v>
                </c:pt>
                <c:pt idx="679">
                  <c:v>8.1398092475460215E-3</c:v>
                </c:pt>
                <c:pt idx="680">
                  <c:v>7.9154515829799686E-3</c:v>
                </c:pt>
                <c:pt idx="681">
                  <c:v>7.6965082022373218E-3</c:v>
                </c:pt>
                <c:pt idx="682">
                  <c:v>7.4828725257805638E-3</c:v>
                </c:pt>
                <c:pt idx="683">
                  <c:v>7.2744393571412182E-3</c:v>
                </c:pt>
                <c:pt idx="684">
                  <c:v>7.0711048860194487E-3</c:v>
                </c:pt>
                <c:pt idx="685">
                  <c:v>6.8727666906139712E-3</c:v>
                </c:pt>
                <c:pt idx="686">
                  <c:v>6.6793237392026202E-3</c:v>
                </c:pt>
                <c:pt idx="687">
                  <c:v>6.4906763909933643E-3</c:v>
                </c:pt>
                <c:pt idx="688">
                  <c:v>6.3067263962659275E-3</c:v>
                </c:pt>
                <c:pt idx="689">
                  <c:v>6.1273768958236873E-3</c:v>
                </c:pt>
                <c:pt idx="690">
                  <c:v>5.9525324197758538E-3</c:v>
                </c:pt>
                <c:pt idx="691">
                  <c:v>5.7820988856694729E-3</c:v>
                </c:pt>
                <c:pt idx="692">
                  <c:v>5.615983595990969E-3</c:v>
                </c:pt>
                <c:pt idx="693">
                  <c:v>5.4540952350565454E-3</c:v>
                </c:pt>
                <c:pt idx="694">
                  <c:v>5.2963438653110201E-3</c:v>
                </c:pt>
                <c:pt idx="695">
                  <c:v>5.1426409230539392E-3</c:v>
                </c:pt>
                <c:pt idx="696">
                  <c:v>4.9928992136123763E-3</c:v>
                </c:pt>
                <c:pt idx="697">
                  <c:v>4.847032905978944E-3</c:v>
                </c:pt>
                <c:pt idx="698">
                  <c:v>4.7049575269339792E-3</c:v>
                </c:pt>
                <c:pt idx="699">
                  <c:v>4.5665899546701444E-3</c:v>
                </c:pt>
                <c:pt idx="700">
                  <c:v>4.4318484119380075E-3</c:v>
                </c:pt>
                <c:pt idx="701">
                  <c:v>4.3006524587304498E-3</c:v>
                </c:pt>
                <c:pt idx="702">
                  <c:v>4.1729229845239623E-3</c:v>
                </c:pt>
                <c:pt idx="703">
                  <c:v>4.04858220009443E-3</c:v>
                </c:pt>
                <c:pt idx="704">
                  <c:v>3.9275536289247789E-3</c:v>
                </c:pt>
                <c:pt idx="705">
                  <c:v>3.8097620982218104E-3</c:v>
                </c:pt>
                <c:pt idx="706">
                  <c:v>3.6951337295590349E-3</c:v>
                </c:pt>
                <c:pt idx="707">
                  <c:v>3.5835959291623614E-3</c:v>
                </c:pt>
                <c:pt idx="708">
                  <c:v>3.4750773778549375E-3</c:v>
                </c:pt>
                <c:pt idx="709">
                  <c:v>3.3695080206774812E-3</c:v>
                </c:pt>
                <c:pt idx="710">
                  <c:v>3.2668190561999182E-3</c:v>
                </c:pt>
                <c:pt idx="711">
                  <c:v>3.1669429255400811E-3</c:v>
                </c:pt>
                <c:pt idx="712">
                  <c:v>3.0698133011047403E-3</c:v>
                </c:pt>
                <c:pt idx="713">
                  <c:v>2.9753650750682535E-3</c:v>
                </c:pt>
                <c:pt idx="714">
                  <c:v>2.8835343476034392E-3</c:v>
                </c:pt>
                <c:pt idx="715">
                  <c:v>2.7942584148794472E-3</c:v>
                </c:pt>
                <c:pt idx="716">
                  <c:v>2.7074757568406999E-3</c:v>
                </c:pt>
                <c:pt idx="717">
                  <c:v>2.6231260247810244E-3</c:v>
                </c:pt>
                <c:pt idx="718">
                  <c:v>2.5411500287265214E-3</c:v>
                </c:pt>
                <c:pt idx="719">
                  <c:v>2.4614897246407006E-3</c:v>
                </c:pt>
                <c:pt idx="720">
                  <c:v>2.3840882014648404E-3</c:v>
                </c:pt>
                <c:pt idx="721">
                  <c:v>2.3088896680064958E-3</c:v>
                </c:pt>
                <c:pt idx="722">
                  <c:v>2.2358394396885385E-3</c:v>
                </c:pt>
                <c:pt idx="723">
                  <c:v>2.164883925171062E-3</c:v>
                </c:pt>
                <c:pt idx="724">
                  <c:v>2.0959706128579419E-3</c:v>
                </c:pt>
                <c:pt idx="725">
                  <c:v>2.0290480572997681E-3</c:v>
                </c:pt>
                <c:pt idx="726">
                  <c:v>1.9640658655043761E-3</c:v>
                </c:pt>
                <c:pt idx="727">
                  <c:v>1.9009746831660803E-3</c:v>
                </c:pt>
                <c:pt idx="728">
                  <c:v>1.839726180824281E-3</c:v>
                </c:pt>
                <c:pt idx="729">
                  <c:v>1.7802730399618786E-3</c:v>
                </c:pt>
                <c:pt idx="730">
                  <c:v>1.7225689390536812E-3</c:v>
                </c:pt>
                <c:pt idx="731">
                  <c:v>1.6665685395745797E-3</c:v>
                </c:pt>
                <c:pt idx="732">
                  <c:v>1.6122274719771244E-3</c:v>
                </c:pt>
                <c:pt idx="733">
                  <c:v>1.5595023216476915E-3</c:v>
                </c:pt>
                <c:pt idx="734">
                  <c:v>1.5083506148503073E-3</c:v>
                </c:pt>
                <c:pt idx="735">
                  <c:v>1.4587308046667459E-3</c:v>
                </c:pt>
                <c:pt idx="736">
                  <c:v>1.4106022569413848E-3</c:v>
                </c:pt>
                <c:pt idx="737">
                  <c:v>1.3639252362389036E-3</c:v>
                </c:pt>
                <c:pt idx="738">
                  <c:v>1.3186608918227423E-3</c:v>
                </c:pt>
                <c:pt idx="739">
                  <c:v>1.2747712436618327E-3</c:v>
                </c:pt>
                <c:pt idx="740">
                  <c:v>1.2322191684730199E-3</c:v>
                </c:pt>
                <c:pt idx="741">
                  <c:v>1.1909683858061166E-3</c:v>
                </c:pt>
                <c:pt idx="742">
                  <c:v>1.1509834441784845E-3</c:v>
                </c:pt>
                <c:pt idx="743">
                  <c:v>1.1122297072655649E-3</c:v>
                </c:pt>
                <c:pt idx="744">
                  <c:v>1.0746733401537356E-3</c:v>
                </c:pt>
                <c:pt idx="745">
                  <c:v>1.0382812956614103E-3</c:v>
                </c:pt>
                <c:pt idx="746">
                  <c:v>1.0030213007342376E-3</c:v>
                </c:pt>
                <c:pt idx="747">
                  <c:v>9.6886184291984591E-4</c:v>
                </c:pt>
                <c:pt idx="748">
                  <c:v>9.3577215692747977E-4</c:v>
                </c:pt>
                <c:pt idx="749">
                  <c:v>9.0372221127752448E-4</c:v>
                </c:pt>
                <c:pt idx="750">
                  <c:v>8.7268269504576015E-4</c:v>
                </c:pt>
                <c:pt idx="751">
                  <c:v>8.4262500470690268E-4</c:v>
                </c:pt>
                <c:pt idx="752">
                  <c:v>8.1352123108180841E-4</c:v>
                </c:pt>
                <c:pt idx="753">
                  <c:v>7.8534414639246997E-4</c:v>
                </c:pt>
                <c:pt idx="754">
                  <c:v>7.580671914287103E-4</c:v>
                </c:pt>
                <c:pt idx="755">
                  <c:v>7.3166446283031089E-4</c:v>
                </c:pt>
                <c:pt idx="756">
                  <c:v>7.061107004880362E-4</c:v>
                </c:pt>
                <c:pt idx="757">
                  <c:v>6.8138127506689212E-4</c:v>
                </c:pt>
                <c:pt idx="758">
                  <c:v>6.5745217565467645E-4</c:v>
                </c:pt>
                <c:pt idx="759">
                  <c:v>6.342999975387576E-4</c:v>
                </c:pt>
                <c:pt idx="760">
                  <c:v>6.119019301137719E-4</c:v>
                </c:pt>
                <c:pt idx="761">
                  <c:v>5.9023574492278561E-4</c:v>
                </c:pt>
                <c:pt idx="762">
                  <c:v>5.6927978383425261E-4</c:v>
                </c:pt>
                <c:pt idx="763">
                  <c:v>5.490129473569587E-4</c:v>
                </c:pt>
                <c:pt idx="764">
                  <c:v>5.2941468309493475E-4</c:v>
                </c:pt>
                <c:pt idx="765">
                  <c:v>5.104649743441856E-4</c:v>
                </c:pt>
                <c:pt idx="766">
                  <c:v>4.9214432883289312E-4</c:v>
                </c:pt>
                <c:pt idx="767">
                  <c:v>4.7443376760662064E-4</c:v>
                </c:pt>
                <c:pt idx="768">
                  <c:v>4.5731481405985675E-4</c:v>
                </c:pt>
                <c:pt idx="769">
                  <c:v>4.4076948311513252E-4</c:v>
                </c:pt>
                <c:pt idx="770">
                  <c:v>4.2478027055075143E-4</c:v>
                </c:pt>
                <c:pt idx="771">
                  <c:v>4.0933014247807883E-4</c:v>
                </c:pt>
                <c:pt idx="772">
                  <c:v>3.9440252496915622E-4</c:v>
                </c:pt>
                <c:pt idx="773">
                  <c:v>3.7998129383532141E-4</c:v>
                </c:pt>
                <c:pt idx="774">
                  <c:v>3.6605076455733496E-4</c:v>
                </c:pt>
                <c:pt idx="775">
                  <c:v>3.5259568236744541E-4</c:v>
                </c:pt>
                <c:pt idx="776">
                  <c:v>3.3960121248365478E-4</c:v>
                </c:pt>
                <c:pt idx="777">
                  <c:v>3.2705293049637498E-4</c:v>
                </c:pt>
                <c:pt idx="778">
                  <c:v>3.1493681290752188E-4</c:v>
                </c:pt>
                <c:pt idx="779">
                  <c:v>3.0323922782200417E-4</c:v>
                </c:pt>
                <c:pt idx="780">
                  <c:v>2.9194692579146027E-4</c:v>
                </c:pt>
                <c:pt idx="781">
                  <c:v>2.8104703080998632E-4</c:v>
                </c:pt>
                <c:pt idx="782">
                  <c:v>2.70527031461521E-4</c:v>
                </c:pt>
                <c:pt idx="783">
                  <c:v>2.6037477221844247E-4</c:v>
                </c:pt>
                <c:pt idx="784">
                  <c:v>2.5057844489086075E-4</c:v>
                </c:pt>
                <c:pt idx="785">
                  <c:v>2.4112658022599324E-4</c:v>
                </c:pt>
                <c:pt idx="786">
                  <c:v>2.3200803965694238E-4</c:v>
                </c:pt>
                <c:pt idx="787">
                  <c:v>2.2321200720010206E-4</c:v>
                </c:pt>
                <c:pt idx="788">
                  <c:v>2.1472798150036704E-4</c:v>
                </c:pt>
                <c:pt idx="789">
                  <c:v>2.0654576802322548E-4</c:v>
                </c:pt>
                <c:pt idx="790">
                  <c:v>1.9865547139277272E-4</c:v>
                </c:pt>
                <c:pt idx="791">
                  <c:v>1.9104748787459762E-4</c:v>
                </c:pt>
                <c:pt idx="792">
                  <c:v>1.8371249800245711E-4</c:v>
                </c:pt>
                <c:pt idx="793">
                  <c:v>1.7664145934757092E-4</c:v>
                </c:pt>
                <c:pt idx="794">
                  <c:v>1.6982559942934359E-4</c:v>
                </c:pt>
                <c:pt idx="795">
                  <c:v>1.6325640876624199E-4</c:v>
                </c:pt>
                <c:pt idx="796">
                  <c:v>1.5692563406553226E-4</c:v>
                </c:pt>
                <c:pt idx="797">
                  <c:v>1.508252715505178E-4</c:v>
                </c:pt>
                <c:pt idx="798">
                  <c:v>1.4494756042389106E-4</c:v>
                </c:pt>
                <c:pt idx="799">
                  <c:v>1.3928497646575994E-4</c:v>
                </c:pt>
                <c:pt idx="800">
                  <c:v>1.3383022576488537E-4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62-4362-BAEE-249D3BFDF841}"/>
            </c:ext>
          </c:extLst>
        </c:ser>
        <c:ser>
          <c:idx val="4"/>
          <c:order val="4"/>
          <c:tx>
            <c:v>ноль</c:v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(4)'!$AA$403</c:f>
                <c:numCache>
                  <c:formatCode>General</c:formatCode>
                  <c:ptCount val="1"/>
                  <c:pt idx="0">
                    <c:v>0.3989422804014327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  <a:round/>
              </a:ln>
              <a:effectLst/>
            </c:spPr>
          </c:errBars>
          <c:cat>
            <c:numRef>
              <c:f>'Лист1 (4)'!$V$3:$V$803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cat>
          <c:val>
            <c:numRef>
              <c:f>'Лист1 (4)'!$AA$3:$AA$803</c:f>
              <c:numCache>
                <c:formatCode>General</c:formatCode>
                <c:ptCount val="801"/>
                <c:pt idx="400">
                  <c:v>0.3989422804014327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2-4362-BAEE-249D3BFDF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051960"/>
        <c:axId val="65805294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Точка</c:v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C00000"/>
                    </a:solidFill>
                    <a:ln w="9525">
                      <a:noFill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'Лист1 (4)'!$V$3:$V$803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-4</c:v>
                      </c:pt>
                      <c:pt idx="1">
                        <c:v>-3.99</c:v>
                      </c:pt>
                      <c:pt idx="2">
                        <c:v>-3.98</c:v>
                      </c:pt>
                      <c:pt idx="3">
                        <c:v>-3.97</c:v>
                      </c:pt>
                      <c:pt idx="4">
                        <c:v>-3.96</c:v>
                      </c:pt>
                      <c:pt idx="5">
                        <c:v>-3.95</c:v>
                      </c:pt>
                      <c:pt idx="6">
                        <c:v>-3.94</c:v>
                      </c:pt>
                      <c:pt idx="7">
                        <c:v>-3.93</c:v>
                      </c:pt>
                      <c:pt idx="8">
                        <c:v>-3.92</c:v>
                      </c:pt>
                      <c:pt idx="9">
                        <c:v>-3.91</c:v>
                      </c:pt>
                      <c:pt idx="10">
                        <c:v>-3.9</c:v>
                      </c:pt>
                      <c:pt idx="11">
                        <c:v>-3.89</c:v>
                      </c:pt>
                      <c:pt idx="12">
                        <c:v>-3.88</c:v>
                      </c:pt>
                      <c:pt idx="13">
                        <c:v>-3.87</c:v>
                      </c:pt>
                      <c:pt idx="14">
                        <c:v>-3.86</c:v>
                      </c:pt>
                      <c:pt idx="15">
                        <c:v>-3.85</c:v>
                      </c:pt>
                      <c:pt idx="16">
                        <c:v>-3.84</c:v>
                      </c:pt>
                      <c:pt idx="17">
                        <c:v>-3.83</c:v>
                      </c:pt>
                      <c:pt idx="18">
                        <c:v>-3.82</c:v>
                      </c:pt>
                      <c:pt idx="19">
                        <c:v>-3.81</c:v>
                      </c:pt>
                      <c:pt idx="20">
                        <c:v>-3.8</c:v>
                      </c:pt>
                      <c:pt idx="21">
                        <c:v>-3.79</c:v>
                      </c:pt>
                      <c:pt idx="22">
                        <c:v>-3.78</c:v>
                      </c:pt>
                      <c:pt idx="23">
                        <c:v>-3.77</c:v>
                      </c:pt>
                      <c:pt idx="24">
                        <c:v>-3.76</c:v>
                      </c:pt>
                      <c:pt idx="25">
                        <c:v>-3.75</c:v>
                      </c:pt>
                      <c:pt idx="26">
                        <c:v>-3.74</c:v>
                      </c:pt>
                      <c:pt idx="27">
                        <c:v>-3.73</c:v>
                      </c:pt>
                      <c:pt idx="28">
                        <c:v>-3.72</c:v>
                      </c:pt>
                      <c:pt idx="29">
                        <c:v>-3.71</c:v>
                      </c:pt>
                      <c:pt idx="30">
                        <c:v>-3.7</c:v>
                      </c:pt>
                      <c:pt idx="31">
                        <c:v>-3.69</c:v>
                      </c:pt>
                      <c:pt idx="32">
                        <c:v>-3.68</c:v>
                      </c:pt>
                      <c:pt idx="33">
                        <c:v>-3.67</c:v>
                      </c:pt>
                      <c:pt idx="34">
                        <c:v>-3.66</c:v>
                      </c:pt>
                      <c:pt idx="35">
                        <c:v>-3.65</c:v>
                      </c:pt>
                      <c:pt idx="36">
                        <c:v>-3.64</c:v>
                      </c:pt>
                      <c:pt idx="37">
                        <c:v>-3.63</c:v>
                      </c:pt>
                      <c:pt idx="38">
                        <c:v>-3.62</c:v>
                      </c:pt>
                      <c:pt idx="39">
                        <c:v>-3.61</c:v>
                      </c:pt>
                      <c:pt idx="40">
                        <c:v>-3.6</c:v>
                      </c:pt>
                      <c:pt idx="41">
                        <c:v>-3.59</c:v>
                      </c:pt>
                      <c:pt idx="42">
                        <c:v>-3.58</c:v>
                      </c:pt>
                      <c:pt idx="43">
                        <c:v>-3.57</c:v>
                      </c:pt>
                      <c:pt idx="44">
                        <c:v>-3.56</c:v>
                      </c:pt>
                      <c:pt idx="45">
                        <c:v>-3.55</c:v>
                      </c:pt>
                      <c:pt idx="46">
                        <c:v>-3.54</c:v>
                      </c:pt>
                      <c:pt idx="47">
                        <c:v>-3.53</c:v>
                      </c:pt>
                      <c:pt idx="48">
                        <c:v>-3.52</c:v>
                      </c:pt>
                      <c:pt idx="49">
                        <c:v>-3.51</c:v>
                      </c:pt>
                      <c:pt idx="50">
                        <c:v>-3.5</c:v>
                      </c:pt>
                      <c:pt idx="51">
                        <c:v>-3.49</c:v>
                      </c:pt>
                      <c:pt idx="52">
                        <c:v>-3.48</c:v>
                      </c:pt>
                      <c:pt idx="53">
                        <c:v>-3.47</c:v>
                      </c:pt>
                      <c:pt idx="54">
                        <c:v>-3.46</c:v>
                      </c:pt>
                      <c:pt idx="55">
                        <c:v>-3.45</c:v>
                      </c:pt>
                      <c:pt idx="56">
                        <c:v>-3.44</c:v>
                      </c:pt>
                      <c:pt idx="57">
                        <c:v>-3.43</c:v>
                      </c:pt>
                      <c:pt idx="58">
                        <c:v>-3.42</c:v>
                      </c:pt>
                      <c:pt idx="59">
                        <c:v>-3.41</c:v>
                      </c:pt>
                      <c:pt idx="60">
                        <c:v>-3.4</c:v>
                      </c:pt>
                      <c:pt idx="61">
                        <c:v>-3.39</c:v>
                      </c:pt>
                      <c:pt idx="62">
                        <c:v>-3.38</c:v>
                      </c:pt>
                      <c:pt idx="63">
                        <c:v>-3.37</c:v>
                      </c:pt>
                      <c:pt idx="64">
                        <c:v>-3.36</c:v>
                      </c:pt>
                      <c:pt idx="65">
                        <c:v>-3.35</c:v>
                      </c:pt>
                      <c:pt idx="66">
                        <c:v>-3.34</c:v>
                      </c:pt>
                      <c:pt idx="67">
                        <c:v>-3.33</c:v>
                      </c:pt>
                      <c:pt idx="68">
                        <c:v>-3.32</c:v>
                      </c:pt>
                      <c:pt idx="69">
                        <c:v>-3.31</c:v>
                      </c:pt>
                      <c:pt idx="70">
                        <c:v>-3.3</c:v>
                      </c:pt>
                      <c:pt idx="71">
                        <c:v>-3.29</c:v>
                      </c:pt>
                      <c:pt idx="72">
                        <c:v>-3.28</c:v>
                      </c:pt>
                      <c:pt idx="73">
                        <c:v>-3.27</c:v>
                      </c:pt>
                      <c:pt idx="74">
                        <c:v>-3.26</c:v>
                      </c:pt>
                      <c:pt idx="75">
                        <c:v>-3.25</c:v>
                      </c:pt>
                      <c:pt idx="76">
                        <c:v>-3.24</c:v>
                      </c:pt>
                      <c:pt idx="77">
                        <c:v>-3.23</c:v>
                      </c:pt>
                      <c:pt idx="78">
                        <c:v>-3.22</c:v>
                      </c:pt>
                      <c:pt idx="79">
                        <c:v>-3.21</c:v>
                      </c:pt>
                      <c:pt idx="80">
                        <c:v>-3.2</c:v>
                      </c:pt>
                      <c:pt idx="81">
                        <c:v>-3.19</c:v>
                      </c:pt>
                      <c:pt idx="82">
                        <c:v>-3.18</c:v>
                      </c:pt>
                      <c:pt idx="83">
                        <c:v>-3.17</c:v>
                      </c:pt>
                      <c:pt idx="84">
                        <c:v>-3.16</c:v>
                      </c:pt>
                      <c:pt idx="85">
                        <c:v>-3.15</c:v>
                      </c:pt>
                      <c:pt idx="86">
                        <c:v>-3.14</c:v>
                      </c:pt>
                      <c:pt idx="87">
                        <c:v>-3.13</c:v>
                      </c:pt>
                      <c:pt idx="88">
                        <c:v>-3.12</c:v>
                      </c:pt>
                      <c:pt idx="89">
                        <c:v>-3.11</c:v>
                      </c:pt>
                      <c:pt idx="90">
                        <c:v>-3.1</c:v>
                      </c:pt>
                      <c:pt idx="91">
                        <c:v>-3.09</c:v>
                      </c:pt>
                      <c:pt idx="92">
                        <c:v>-3.08</c:v>
                      </c:pt>
                      <c:pt idx="93">
                        <c:v>-3.07</c:v>
                      </c:pt>
                      <c:pt idx="94">
                        <c:v>-3.06</c:v>
                      </c:pt>
                      <c:pt idx="95">
                        <c:v>-3.05</c:v>
                      </c:pt>
                      <c:pt idx="96">
                        <c:v>-3.04</c:v>
                      </c:pt>
                      <c:pt idx="97">
                        <c:v>-3.03</c:v>
                      </c:pt>
                      <c:pt idx="98">
                        <c:v>-3.02</c:v>
                      </c:pt>
                      <c:pt idx="99">
                        <c:v>-3.01</c:v>
                      </c:pt>
                      <c:pt idx="100">
                        <c:v>-3</c:v>
                      </c:pt>
                      <c:pt idx="101">
                        <c:v>-2.99</c:v>
                      </c:pt>
                      <c:pt idx="102">
                        <c:v>-2.98</c:v>
                      </c:pt>
                      <c:pt idx="103">
                        <c:v>-2.97</c:v>
                      </c:pt>
                      <c:pt idx="104">
                        <c:v>-2.96</c:v>
                      </c:pt>
                      <c:pt idx="105">
                        <c:v>-2.95</c:v>
                      </c:pt>
                      <c:pt idx="106">
                        <c:v>-2.94</c:v>
                      </c:pt>
                      <c:pt idx="107">
                        <c:v>-2.93</c:v>
                      </c:pt>
                      <c:pt idx="108">
                        <c:v>-2.92</c:v>
                      </c:pt>
                      <c:pt idx="109">
                        <c:v>-2.91</c:v>
                      </c:pt>
                      <c:pt idx="110">
                        <c:v>-2.9</c:v>
                      </c:pt>
                      <c:pt idx="111">
                        <c:v>-2.89</c:v>
                      </c:pt>
                      <c:pt idx="112">
                        <c:v>-2.88</c:v>
                      </c:pt>
                      <c:pt idx="113">
                        <c:v>-2.87</c:v>
                      </c:pt>
                      <c:pt idx="114">
                        <c:v>-2.86</c:v>
                      </c:pt>
                      <c:pt idx="115">
                        <c:v>-2.85</c:v>
                      </c:pt>
                      <c:pt idx="116">
                        <c:v>-2.84</c:v>
                      </c:pt>
                      <c:pt idx="117">
                        <c:v>-2.83</c:v>
                      </c:pt>
                      <c:pt idx="118">
                        <c:v>-2.82</c:v>
                      </c:pt>
                      <c:pt idx="119">
                        <c:v>-2.81</c:v>
                      </c:pt>
                      <c:pt idx="120">
                        <c:v>-2.8</c:v>
                      </c:pt>
                      <c:pt idx="121">
                        <c:v>-2.79</c:v>
                      </c:pt>
                      <c:pt idx="122">
                        <c:v>-2.78</c:v>
                      </c:pt>
                      <c:pt idx="123">
                        <c:v>-2.77</c:v>
                      </c:pt>
                      <c:pt idx="124">
                        <c:v>-2.76</c:v>
                      </c:pt>
                      <c:pt idx="125">
                        <c:v>-2.75</c:v>
                      </c:pt>
                      <c:pt idx="126">
                        <c:v>-2.74</c:v>
                      </c:pt>
                      <c:pt idx="127">
                        <c:v>-2.73</c:v>
                      </c:pt>
                      <c:pt idx="128">
                        <c:v>-2.72</c:v>
                      </c:pt>
                      <c:pt idx="129">
                        <c:v>-2.71</c:v>
                      </c:pt>
                      <c:pt idx="130">
                        <c:v>-2.7</c:v>
                      </c:pt>
                      <c:pt idx="131">
                        <c:v>-2.69</c:v>
                      </c:pt>
                      <c:pt idx="132">
                        <c:v>-2.68</c:v>
                      </c:pt>
                      <c:pt idx="133">
                        <c:v>-2.67</c:v>
                      </c:pt>
                      <c:pt idx="134">
                        <c:v>-2.66</c:v>
                      </c:pt>
                      <c:pt idx="135">
                        <c:v>-2.65</c:v>
                      </c:pt>
                      <c:pt idx="136">
                        <c:v>-2.64</c:v>
                      </c:pt>
                      <c:pt idx="137">
                        <c:v>-2.63</c:v>
                      </c:pt>
                      <c:pt idx="138">
                        <c:v>-2.62</c:v>
                      </c:pt>
                      <c:pt idx="139">
                        <c:v>-2.61</c:v>
                      </c:pt>
                      <c:pt idx="140">
                        <c:v>-2.6</c:v>
                      </c:pt>
                      <c:pt idx="141">
                        <c:v>-2.59</c:v>
                      </c:pt>
                      <c:pt idx="142">
                        <c:v>-2.58</c:v>
                      </c:pt>
                      <c:pt idx="143">
                        <c:v>-2.57</c:v>
                      </c:pt>
                      <c:pt idx="144">
                        <c:v>-2.56</c:v>
                      </c:pt>
                      <c:pt idx="145">
                        <c:v>-2.5499999999999998</c:v>
                      </c:pt>
                      <c:pt idx="146">
                        <c:v>-2.54</c:v>
                      </c:pt>
                      <c:pt idx="147">
                        <c:v>-2.5299999999999998</c:v>
                      </c:pt>
                      <c:pt idx="148">
                        <c:v>-2.52</c:v>
                      </c:pt>
                      <c:pt idx="149">
                        <c:v>-2.5099999999999998</c:v>
                      </c:pt>
                      <c:pt idx="150">
                        <c:v>-2.5</c:v>
                      </c:pt>
                      <c:pt idx="151">
                        <c:v>-2.4900000000000002</c:v>
                      </c:pt>
                      <c:pt idx="152">
                        <c:v>-2.48</c:v>
                      </c:pt>
                      <c:pt idx="153">
                        <c:v>-2.4700000000000002</c:v>
                      </c:pt>
                      <c:pt idx="154">
                        <c:v>-2.46</c:v>
                      </c:pt>
                      <c:pt idx="155">
                        <c:v>-2.4500000000000002</c:v>
                      </c:pt>
                      <c:pt idx="156">
                        <c:v>-2.44</c:v>
                      </c:pt>
                      <c:pt idx="157">
                        <c:v>-2.4300000000000002</c:v>
                      </c:pt>
                      <c:pt idx="158">
                        <c:v>-2.42</c:v>
                      </c:pt>
                      <c:pt idx="159">
                        <c:v>-2.41</c:v>
                      </c:pt>
                      <c:pt idx="160">
                        <c:v>-2.4</c:v>
                      </c:pt>
                      <c:pt idx="161">
                        <c:v>-2.39</c:v>
                      </c:pt>
                      <c:pt idx="162">
                        <c:v>-2.38</c:v>
                      </c:pt>
                      <c:pt idx="163">
                        <c:v>-2.37</c:v>
                      </c:pt>
                      <c:pt idx="164">
                        <c:v>-2.36</c:v>
                      </c:pt>
                      <c:pt idx="165">
                        <c:v>-2.35</c:v>
                      </c:pt>
                      <c:pt idx="166">
                        <c:v>-2.34</c:v>
                      </c:pt>
                      <c:pt idx="167">
                        <c:v>-2.33</c:v>
                      </c:pt>
                      <c:pt idx="168">
                        <c:v>-2.3199999999999998</c:v>
                      </c:pt>
                      <c:pt idx="169">
                        <c:v>-2.31</c:v>
                      </c:pt>
                      <c:pt idx="170">
                        <c:v>-2.2999999999999998</c:v>
                      </c:pt>
                      <c:pt idx="171">
                        <c:v>-2.29</c:v>
                      </c:pt>
                      <c:pt idx="172">
                        <c:v>-2.2799999999999998</c:v>
                      </c:pt>
                      <c:pt idx="173">
                        <c:v>-2.27</c:v>
                      </c:pt>
                      <c:pt idx="174">
                        <c:v>-2.2599999999999998</c:v>
                      </c:pt>
                      <c:pt idx="175">
                        <c:v>-2.25</c:v>
                      </c:pt>
                      <c:pt idx="176">
                        <c:v>-2.2400000000000002</c:v>
                      </c:pt>
                      <c:pt idx="177">
                        <c:v>-2.23</c:v>
                      </c:pt>
                      <c:pt idx="178">
                        <c:v>-2.2200000000000002</c:v>
                      </c:pt>
                      <c:pt idx="179">
                        <c:v>-2.21</c:v>
                      </c:pt>
                      <c:pt idx="180">
                        <c:v>-2.2000000000000002</c:v>
                      </c:pt>
                      <c:pt idx="181">
                        <c:v>-2.19</c:v>
                      </c:pt>
                      <c:pt idx="182">
                        <c:v>-2.1800000000000002</c:v>
                      </c:pt>
                      <c:pt idx="183">
                        <c:v>-2.17</c:v>
                      </c:pt>
                      <c:pt idx="184">
                        <c:v>-2.16</c:v>
                      </c:pt>
                      <c:pt idx="185">
                        <c:v>-2.15</c:v>
                      </c:pt>
                      <c:pt idx="186">
                        <c:v>-2.14</c:v>
                      </c:pt>
                      <c:pt idx="187">
                        <c:v>-2.13</c:v>
                      </c:pt>
                      <c:pt idx="188">
                        <c:v>-2.12</c:v>
                      </c:pt>
                      <c:pt idx="189">
                        <c:v>-2.11</c:v>
                      </c:pt>
                      <c:pt idx="190">
                        <c:v>-2.1</c:v>
                      </c:pt>
                      <c:pt idx="191">
                        <c:v>-2.09</c:v>
                      </c:pt>
                      <c:pt idx="192">
                        <c:v>-2.08</c:v>
                      </c:pt>
                      <c:pt idx="193">
                        <c:v>-2.0699999999999998</c:v>
                      </c:pt>
                      <c:pt idx="194">
                        <c:v>-2.06</c:v>
                      </c:pt>
                      <c:pt idx="195">
                        <c:v>-2.0499999999999998</c:v>
                      </c:pt>
                      <c:pt idx="196">
                        <c:v>-2.04</c:v>
                      </c:pt>
                      <c:pt idx="197">
                        <c:v>-2.0299999999999998</c:v>
                      </c:pt>
                      <c:pt idx="198">
                        <c:v>-2.02</c:v>
                      </c:pt>
                      <c:pt idx="199">
                        <c:v>-2.0099999999999998</c:v>
                      </c:pt>
                      <c:pt idx="200">
                        <c:v>-2</c:v>
                      </c:pt>
                      <c:pt idx="201">
                        <c:v>-1.99</c:v>
                      </c:pt>
                      <c:pt idx="202">
                        <c:v>-1.98</c:v>
                      </c:pt>
                      <c:pt idx="203">
                        <c:v>-1.97</c:v>
                      </c:pt>
                      <c:pt idx="204">
                        <c:v>-1.96</c:v>
                      </c:pt>
                      <c:pt idx="205">
                        <c:v>-1.95</c:v>
                      </c:pt>
                      <c:pt idx="206">
                        <c:v>-1.94</c:v>
                      </c:pt>
                      <c:pt idx="207">
                        <c:v>-1.93</c:v>
                      </c:pt>
                      <c:pt idx="208">
                        <c:v>-1.92</c:v>
                      </c:pt>
                      <c:pt idx="209">
                        <c:v>-1.91</c:v>
                      </c:pt>
                      <c:pt idx="210">
                        <c:v>-1.9</c:v>
                      </c:pt>
                      <c:pt idx="211">
                        <c:v>-1.89</c:v>
                      </c:pt>
                      <c:pt idx="212">
                        <c:v>-1.88</c:v>
                      </c:pt>
                      <c:pt idx="213">
                        <c:v>-1.87</c:v>
                      </c:pt>
                      <c:pt idx="214">
                        <c:v>-1.86</c:v>
                      </c:pt>
                      <c:pt idx="215">
                        <c:v>-1.85</c:v>
                      </c:pt>
                      <c:pt idx="216">
                        <c:v>-1.84</c:v>
                      </c:pt>
                      <c:pt idx="217">
                        <c:v>-1.83</c:v>
                      </c:pt>
                      <c:pt idx="218">
                        <c:v>-1.82</c:v>
                      </c:pt>
                      <c:pt idx="219">
                        <c:v>-1.81</c:v>
                      </c:pt>
                      <c:pt idx="220">
                        <c:v>-1.8</c:v>
                      </c:pt>
                      <c:pt idx="221">
                        <c:v>-1.79</c:v>
                      </c:pt>
                      <c:pt idx="222">
                        <c:v>-1.78</c:v>
                      </c:pt>
                      <c:pt idx="223">
                        <c:v>-1.77</c:v>
                      </c:pt>
                      <c:pt idx="224">
                        <c:v>-1.76</c:v>
                      </c:pt>
                      <c:pt idx="225">
                        <c:v>-1.75</c:v>
                      </c:pt>
                      <c:pt idx="226">
                        <c:v>-1.74</c:v>
                      </c:pt>
                      <c:pt idx="227">
                        <c:v>-1.73</c:v>
                      </c:pt>
                      <c:pt idx="228">
                        <c:v>-1.72</c:v>
                      </c:pt>
                      <c:pt idx="229">
                        <c:v>-1.71</c:v>
                      </c:pt>
                      <c:pt idx="230">
                        <c:v>-1.7</c:v>
                      </c:pt>
                      <c:pt idx="231">
                        <c:v>-1.69</c:v>
                      </c:pt>
                      <c:pt idx="232">
                        <c:v>-1.68</c:v>
                      </c:pt>
                      <c:pt idx="233">
                        <c:v>-1.67</c:v>
                      </c:pt>
                      <c:pt idx="234">
                        <c:v>-1.66</c:v>
                      </c:pt>
                      <c:pt idx="235">
                        <c:v>-1.65</c:v>
                      </c:pt>
                      <c:pt idx="236">
                        <c:v>-1.64</c:v>
                      </c:pt>
                      <c:pt idx="237">
                        <c:v>-1.63</c:v>
                      </c:pt>
                      <c:pt idx="238">
                        <c:v>-1.62</c:v>
                      </c:pt>
                      <c:pt idx="239">
                        <c:v>-1.61</c:v>
                      </c:pt>
                      <c:pt idx="240">
                        <c:v>-1.6</c:v>
                      </c:pt>
                      <c:pt idx="241">
                        <c:v>-1.59</c:v>
                      </c:pt>
                      <c:pt idx="242">
                        <c:v>-1.58</c:v>
                      </c:pt>
                      <c:pt idx="243">
                        <c:v>-1.57</c:v>
                      </c:pt>
                      <c:pt idx="244">
                        <c:v>-1.56</c:v>
                      </c:pt>
                      <c:pt idx="245">
                        <c:v>-1.55</c:v>
                      </c:pt>
                      <c:pt idx="246">
                        <c:v>-1.54</c:v>
                      </c:pt>
                      <c:pt idx="247">
                        <c:v>-1.53</c:v>
                      </c:pt>
                      <c:pt idx="248">
                        <c:v>-1.52</c:v>
                      </c:pt>
                      <c:pt idx="249">
                        <c:v>-1.51</c:v>
                      </c:pt>
                      <c:pt idx="250">
                        <c:v>-1.5</c:v>
                      </c:pt>
                      <c:pt idx="251">
                        <c:v>-1.49</c:v>
                      </c:pt>
                      <c:pt idx="252">
                        <c:v>-1.48</c:v>
                      </c:pt>
                      <c:pt idx="253">
                        <c:v>-1.47</c:v>
                      </c:pt>
                      <c:pt idx="254">
                        <c:v>-1.46</c:v>
                      </c:pt>
                      <c:pt idx="255">
                        <c:v>-1.45</c:v>
                      </c:pt>
                      <c:pt idx="256">
                        <c:v>-1.44</c:v>
                      </c:pt>
                      <c:pt idx="257">
                        <c:v>-1.43</c:v>
                      </c:pt>
                      <c:pt idx="258">
                        <c:v>-1.42</c:v>
                      </c:pt>
                      <c:pt idx="259">
                        <c:v>-1.41</c:v>
                      </c:pt>
                      <c:pt idx="260">
                        <c:v>-1.4</c:v>
                      </c:pt>
                      <c:pt idx="261">
                        <c:v>-1.39</c:v>
                      </c:pt>
                      <c:pt idx="262">
                        <c:v>-1.38</c:v>
                      </c:pt>
                      <c:pt idx="263">
                        <c:v>-1.37</c:v>
                      </c:pt>
                      <c:pt idx="264">
                        <c:v>-1.36</c:v>
                      </c:pt>
                      <c:pt idx="265">
                        <c:v>-1.35</c:v>
                      </c:pt>
                      <c:pt idx="266">
                        <c:v>-1.34</c:v>
                      </c:pt>
                      <c:pt idx="267">
                        <c:v>-1.33</c:v>
                      </c:pt>
                      <c:pt idx="268">
                        <c:v>-1.32</c:v>
                      </c:pt>
                      <c:pt idx="269">
                        <c:v>-1.31</c:v>
                      </c:pt>
                      <c:pt idx="270">
                        <c:v>-1.3</c:v>
                      </c:pt>
                      <c:pt idx="271">
                        <c:v>-1.29</c:v>
                      </c:pt>
                      <c:pt idx="272">
                        <c:v>-1.28</c:v>
                      </c:pt>
                      <c:pt idx="273">
                        <c:v>-1.27</c:v>
                      </c:pt>
                      <c:pt idx="274">
                        <c:v>-1.26</c:v>
                      </c:pt>
                      <c:pt idx="275">
                        <c:v>-1.25</c:v>
                      </c:pt>
                      <c:pt idx="276">
                        <c:v>-1.24</c:v>
                      </c:pt>
                      <c:pt idx="277">
                        <c:v>-1.23</c:v>
                      </c:pt>
                      <c:pt idx="278">
                        <c:v>-1.22</c:v>
                      </c:pt>
                      <c:pt idx="279">
                        <c:v>-1.21</c:v>
                      </c:pt>
                      <c:pt idx="280">
                        <c:v>-1.2</c:v>
                      </c:pt>
                      <c:pt idx="281">
                        <c:v>-1.19</c:v>
                      </c:pt>
                      <c:pt idx="282">
                        <c:v>-1.18</c:v>
                      </c:pt>
                      <c:pt idx="283">
                        <c:v>-1.17</c:v>
                      </c:pt>
                      <c:pt idx="284">
                        <c:v>-1.1599999999999999</c:v>
                      </c:pt>
                      <c:pt idx="285">
                        <c:v>-1.1499999999999999</c:v>
                      </c:pt>
                      <c:pt idx="286">
                        <c:v>-1.1399999999999999</c:v>
                      </c:pt>
                      <c:pt idx="287">
                        <c:v>-1.1299999999999999</c:v>
                      </c:pt>
                      <c:pt idx="288">
                        <c:v>-1.1200000000000001</c:v>
                      </c:pt>
                      <c:pt idx="289">
                        <c:v>-1.1100000000000001</c:v>
                      </c:pt>
                      <c:pt idx="290">
                        <c:v>-1.1000000000000001</c:v>
                      </c:pt>
                      <c:pt idx="291">
                        <c:v>-1.0900000000000001</c:v>
                      </c:pt>
                      <c:pt idx="292">
                        <c:v>-1.08</c:v>
                      </c:pt>
                      <c:pt idx="293">
                        <c:v>-1.07</c:v>
                      </c:pt>
                      <c:pt idx="294">
                        <c:v>-1.06</c:v>
                      </c:pt>
                      <c:pt idx="295">
                        <c:v>-1.05</c:v>
                      </c:pt>
                      <c:pt idx="296">
                        <c:v>-1.04</c:v>
                      </c:pt>
                      <c:pt idx="297">
                        <c:v>-1.03</c:v>
                      </c:pt>
                      <c:pt idx="298">
                        <c:v>-1.02</c:v>
                      </c:pt>
                      <c:pt idx="299">
                        <c:v>-1.01</c:v>
                      </c:pt>
                      <c:pt idx="300">
                        <c:v>-1</c:v>
                      </c:pt>
                      <c:pt idx="301">
                        <c:v>-0.99</c:v>
                      </c:pt>
                      <c:pt idx="302">
                        <c:v>-0.98</c:v>
                      </c:pt>
                      <c:pt idx="303">
                        <c:v>-0.97</c:v>
                      </c:pt>
                      <c:pt idx="304">
                        <c:v>-0.96</c:v>
                      </c:pt>
                      <c:pt idx="305">
                        <c:v>-0.95</c:v>
                      </c:pt>
                      <c:pt idx="306">
                        <c:v>-0.94</c:v>
                      </c:pt>
                      <c:pt idx="307">
                        <c:v>-0.93</c:v>
                      </c:pt>
                      <c:pt idx="308">
                        <c:v>-0.92</c:v>
                      </c:pt>
                      <c:pt idx="309">
                        <c:v>-0.91</c:v>
                      </c:pt>
                      <c:pt idx="310">
                        <c:v>-0.9</c:v>
                      </c:pt>
                      <c:pt idx="311">
                        <c:v>-0.89</c:v>
                      </c:pt>
                      <c:pt idx="312">
                        <c:v>-0.88</c:v>
                      </c:pt>
                      <c:pt idx="313">
                        <c:v>-0.87</c:v>
                      </c:pt>
                      <c:pt idx="314">
                        <c:v>-0.86</c:v>
                      </c:pt>
                      <c:pt idx="315">
                        <c:v>-0.85</c:v>
                      </c:pt>
                      <c:pt idx="316">
                        <c:v>-0.84</c:v>
                      </c:pt>
                      <c:pt idx="317">
                        <c:v>-0.83</c:v>
                      </c:pt>
                      <c:pt idx="318">
                        <c:v>-0.82</c:v>
                      </c:pt>
                      <c:pt idx="319">
                        <c:v>-0.81</c:v>
                      </c:pt>
                      <c:pt idx="320">
                        <c:v>-0.8</c:v>
                      </c:pt>
                      <c:pt idx="321">
                        <c:v>-0.79</c:v>
                      </c:pt>
                      <c:pt idx="322">
                        <c:v>-0.78</c:v>
                      </c:pt>
                      <c:pt idx="323">
                        <c:v>-0.77</c:v>
                      </c:pt>
                      <c:pt idx="324">
                        <c:v>-0.76</c:v>
                      </c:pt>
                      <c:pt idx="325">
                        <c:v>-0.75</c:v>
                      </c:pt>
                      <c:pt idx="326">
                        <c:v>-0.74</c:v>
                      </c:pt>
                      <c:pt idx="327">
                        <c:v>-0.73</c:v>
                      </c:pt>
                      <c:pt idx="328">
                        <c:v>-0.72</c:v>
                      </c:pt>
                      <c:pt idx="329">
                        <c:v>-0.71</c:v>
                      </c:pt>
                      <c:pt idx="330">
                        <c:v>-0.7</c:v>
                      </c:pt>
                      <c:pt idx="331">
                        <c:v>-0.69</c:v>
                      </c:pt>
                      <c:pt idx="332">
                        <c:v>-0.68</c:v>
                      </c:pt>
                      <c:pt idx="333">
                        <c:v>-0.67</c:v>
                      </c:pt>
                      <c:pt idx="334">
                        <c:v>-0.66</c:v>
                      </c:pt>
                      <c:pt idx="335">
                        <c:v>-0.65</c:v>
                      </c:pt>
                      <c:pt idx="336">
                        <c:v>-0.64</c:v>
                      </c:pt>
                      <c:pt idx="337">
                        <c:v>-0.63</c:v>
                      </c:pt>
                      <c:pt idx="338">
                        <c:v>-0.62</c:v>
                      </c:pt>
                      <c:pt idx="339">
                        <c:v>-0.61</c:v>
                      </c:pt>
                      <c:pt idx="340">
                        <c:v>-0.6</c:v>
                      </c:pt>
                      <c:pt idx="341">
                        <c:v>-0.59</c:v>
                      </c:pt>
                      <c:pt idx="342">
                        <c:v>-0.57999999999999996</c:v>
                      </c:pt>
                      <c:pt idx="343">
                        <c:v>-0.56999999999999995</c:v>
                      </c:pt>
                      <c:pt idx="344">
                        <c:v>-0.56000000000000005</c:v>
                      </c:pt>
                      <c:pt idx="345">
                        <c:v>-0.55000000000000004</c:v>
                      </c:pt>
                      <c:pt idx="346">
                        <c:v>-0.54</c:v>
                      </c:pt>
                      <c:pt idx="347">
                        <c:v>-0.53</c:v>
                      </c:pt>
                      <c:pt idx="348">
                        <c:v>-0.52</c:v>
                      </c:pt>
                      <c:pt idx="349">
                        <c:v>-0.51</c:v>
                      </c:pt>
                      <c:pt idx="350">
                        <c:v>-0.5</c:v>
                      </c:pt>
                      <c:pt idx="351">
                        <c:v>-0.49</c:v>
                      </c:pt>
                      <c:pt idx="352">
                        <c:v>-0.48</c:v>
                      </c:pt>
                      <c:pt idx="353">
                        <c:v>-0.47</c:v>
                      </c:pt>
                      <c:pt idx="354">
                        <c:v>-0.46</c:v>
                      </c:pt>
                      <c:pt idx="355">
                        <c:v>-0.45</c:v>
                      </c:pt>
                      <c:pt idx="356">
                        <c:v>-0.44</c:v>
                      </c:pt>
                      <c:pt idx="357">
                        <c:v>-0.43</c:v>
                      </c:pt>
                      <c:pt idx="358">
                        <c:v>-0.42</c:v>
                      </c:pt>
                      <c:pt idx="359">
                        <c:v>-0.41</c:v>
                      </c:pt>
                      <c:pt idx="360">
                        <c:v>-0.4</c:v>
                      </c:pt>
                      <c:pt idx="361">
                        <c:v>-0.39</c:v>
                      </c:pt>
                      <c:pt idx="362">
                        <c:v>-0.38</c:v>
                      </c:pt>
                      <c:pt idx="363">
                        <c:v>-0.37</c:v>
                      </c:pt>
                      <c:pt idx="364">
                        <c:v>-0.36</c:v>
                      </c:pt>
                      <c:pt idx="365">
                        <c:v>-0.35</c:v>
                      </c:pt>
                      <c:pt idx="366">
                        <c:v>-0.34</c:v>
                      </c:pt>
                      <c:pt idx="367">
                        <c:v>-0.33</c:v>
                      </c:pt>
                      <c:pt idx="368">
                        <c:v>-0.32</c:v>
                      </c:pt>
                      <c:pt idx="369">
                        <c:v>-0.31</c:v>
                      </c:pt>
                      <c:pt idx="370">
                        <c:v>-0.3</c:v>
                      </c:pt>
                      <c:pt idx="371">
                        <c:v>-0.28999999999999998</c:v>
                      </c:pt>
                      <c:pt idx="372">
                        <c:v>-0.28000000000000003</c:v>
                      </c:pt>
                      <c:pt idx="373">
                        <c:v>-0.27</c:v>
                      </c:pt>
                      <c:pt idx="374">
                        <c:v>-0.26</c:v>
                      </c:pt>
                      <c:pt idx="375">
                        <c:v>-0.25</c:v>
                      </c:pt>
                      <c:pt idx="376">
                        <c:v>-0.24</c:v>
                      </c:pt>
                      <c:pt idx="377">
                        <c:v>-0.23</c:v>
                      </c:pt>
                      <c:pt idx="378">
                        <c:v>-0.22</c:v>
                      </c:pt>
                      <c:pt idx="379">
                        <c:v>-0.21</c:v>
                      </c:pt>
                      <c:pt idx="380">
                        <c:v>-0.2</c:v>
                      </c:pt>
                      <c:pt idx="381">
                        <c:v>-0.19</c:v>
                      </c:pt>
                      <c:pt idx="382">
                        <c:v>-0.18</c:v>
                      </c:pt>
                      <c:pt idx="383">
                        <c:v>-0.17</c:v>
                      </c:pt>
                      <c:pt idx="384">
                        <c:v>-0.16</c:v>
                      </c:pt>
                      <c:pt idx="385">
                        <c:v>-0.15</c:v>
                      </c:pt>
                      <c:pt idx="386">
                        <c:v>-0.14000000000000001</c:v>
                      </c:pt>
                      <c:pt idx="387">
                        <c:v>-0.13</c:v>
                      </c:pt>
                      <c:pt idx="388">
                        <c:v>-0.12</c:v>
                      </c:pt>
                      <c:pt idx="389">
                        <c:v>-0.11</c:v>
                      </c:pt>
                      <c:pt idx="390">
                        <c:v>-0.1</c:v>
                      </c:pt>
                      <c:pt idx="391">
                        <c:v>-0.09</c:v>
                      </c:pt>
                      <c:pt idx="392">
                        <c:v>-0.08</c:v>
                      </c:pt>
                      <c:pt idx="393">
                        <c:v>-7.0000000000000007E-2</c:v>
                      </c:pt>
                      <c:pt idx="394">
                        <c:v>-0.06</c:v>
                      </c:pt>
                      <c:pt idx="395">
                        <c:v>-0.05</c:v>
                      </c:pt>
                      <c:pt idx="396">
                        <c:v>-0.04</c:v>
                      </c:pt>
                      <c:pt idx="397">
                        <c:v>-0.03</c:v>
                      </c:pt>
                      <c:pt idx="398">
                        <c:v>-0.02</c:v>
                      </c:pt>
                      <c:pt idx="399">
                        <c:v>-0.01</c:v>
                      </c:pt>
                      <c:pt idx="400">
                        <c:v>0</c:v>
                      </c:pt>
                      <c:pt idx="401">
                        <c:v>0.01</c:v>
                      </c:pt>
                      <c:pt idx="402">
                        <c:v>0.02</c:v>
                      </c:pt>
                      <c:pt idx="403">
                        <c:v>0.03</c:v>
                      </c:pt>
                      <c:pt idx="404">
                        <c:v>0.04</c:v>
                      </c:pt>
                      <c:pt idx="405">
                        <c:v>0.05</c:v>
                      </c:pt>
                      <c:pt idx="406">
                        <c:v>0.06</c:v>
                      </c:pt>
                      <c:pt idx="407">
                        <c:v>7.0000000000000007E-2</c:v>
                      </c:pt>
                      <c:pt idx="408">
                        <c:v>0.08</c:v>
                      </c:pt>
                      <c:pt idx="409">
                        <c:v>0.09</c:v>
                      </c:pt>
                      <c:pt idx="410">
                        <c:v>0.1</c:v>
                      </c:pt>
                      <c:pt idx="411">
                        <c:v>0.11</c:v>
                      </c:pt>
                      <c:pt idx="412">
                        <c:v>0.12</c:v>
                      </c:pt>
                      <c:pt idx="413">
                        <c:v>0.13</c:v>
                      </c:pt>
                      <c:pt idx="414">
                        <c:v>0.14000000000000001</c:v>
                      </c:pt>
                      <c:pt idx="415">
                        <c:v>0.15</c:v>
                      </c:pt>
                      <c:pt idx="416">
                        <c:v>0.16</c:v>
                      </c:pt>
                      <c:pt idx="417">
                        <c:v>0.17</c:v>
                      </c:pt>
                      <c:pt idx="418">
                        <c:v>0.18</c:v>
                      </c:pt>
                      <c:pt idx="419">
                        <c:v>0.19</c:v>
                      </c:pt>
                      <c:pt idx="420">
                        <c:v>0.2</c:v>
                      </c:pt>
                      <c:pt idx="421">
                        <c:v>0.21</c:v>
                      </c:pt>
                      <c:pt idx="422">
                        <c:v>0.22</c:v>
                      </c:pt>
                      <c:pt idx="423">
                        <c:v>0.23</c:v>
                      </c:pt>
                      <c:pt idx="424">
                        <c:v>0.24</c:v>
                      </c:pt>
                      <c:pt idx="425">
                        <c:v>0.25</c:v>
                      </c:pt>
                      <c:pt idx="426">
                        <c:v>0.26</c:v>
                      </c:pt>
                      <c:pt idx="427">
                        <c:v>0.27</c:v>
                      </c:pt>
                      <c:pt idx="428">
                        <c:v>0.28000000000000003</c:v>
                      </c:pt>
                      <c:pt idx="429">
                        <c:v>0.28999999999999998</c:v>
                      </c:pt>
                      <c:pt idx="430">
                        <c:v>0.3</c:v>
                      </c:pt>
                      <c:pt idx="431">
                        <c:v>0.31</c:v>
                      </c:pt>
                      <c:pt idx="432">
                        <c:v>0.32</c:v>
                      </c:pt>
                      <c:pt idx="433">
                        <c:v>0.33</c:v>
                      </c:pt>
                      <c:pt idx="434">
                        <c:v>0.34</c:v>
                      </c:pt>
                      <c:pt idx="435">
                        <c:v>0.35</c:v>
                      </c:pt>
                      <c:pt idx="436">
                        <c:v>0.36</c:v>
                      </c:pt>
                      <c:pt idx="437">
                        <c:v>0.37</c:v>
                      </c:pt>
                      <c:pt idx="438">
                        <c:v>0.38</c:v>
                      </c:pt>
                      <c:pt idx="439">
                        <c:v>0.39</c:v>
                      </c:pt>
                      <c:pt idx="440">
                        <c:v>0.4</c:v>
                      </c:pt>
                      <c:pt idx="441">
                        <c:v>0.41</c:v>
                      </c:pt>
                      <c:pt idx="442">
                        <c:v>0.42</c:v>
                      </c:pt>
                      <c:pt idx="443">
                        <c:v>0.43</c:v>
                      </c:pt>
                      <c:pt idx="444">
                        <c:v>0.44</c:v>
                      </c:pt>
                      <c:pt idx="445">
                        <c:v>0.45</c:v>
                      </c:pt>
                      <c:pt idx="446">
                        <c:v>0.46</c:v>
                      </c:pt>
                      <c:pt idx="447">
                        <c:v>0.47</c:v>
                      </c:pt>
                      <c:pt idx="448">
                        <c:v>0.48</c:v>
                      </c:pt>
                      <c:pt idx="449">
                        <c:v>0.49</c:v>
                      </c:pt>
                      <c:pt idx="450">
                        <c:v>0.5</c:v>
                      </c:pt>
                      <c:pt idx="451">
                        <c:v>0.51</c:v>
                      </c:pt>
                      <c:pt idx="452">
                        <c:v>0.52</c:v>
                      </c:pt>
                      <c:pt idx="453">
                        <c:v>0.53</c:v>
                      </c:pt>
                      <c:pt idx="454">
                        <c:v>0.54</c:v>
                      </c:pt>
                      <c:pt idx="455">
                        <c:v>0.55000000000000004</c:v>
                      </c:pt>
                      <c:pt idx="456">
                        <c:v>0.56000000000000005</c:v>
                      </c:pt>
                      <c:pt idx="457">
                        <c:v>0.56999999999999995</c:v>
                      </c:pt>
                      <c:pt idx="458">
                        <c:v>0.57999999999999996</c:v>
                      </c:pt>
                      <c:pt idx="459">
                        <c:v>0.59</c:v>
                      </c:pt>
                      <c:pt idx="460">
                        <c:v>0.6</c:v>
                      </c:pt>
                      <c:pt idx="461">
                        <c:v>0.61</c:v>
                      </c:pt>
                      <c:pt idx="462">
                        <c:v>0.62</c:v>
                      </c:pt>
                      <c:pt idx="463">
                        <c:v>0.63</c:v>
                      </c:pt>
                      <c:pt idx="464">
                        <c:v>0.64</c:v>
                      </c:pt>
                      <c:pt idx="465">
                        <c:v>0.65</c:v>
                      </c:pt>
                      <c:pt idx="466">
                        <c:v>0.66</c:v>
                      </c:pt>
                      <c:pt idx="467">
                        <c:v>0.67</c:v>
                      </c:pt>
                      <c:pt idx="468">
                        <c:v>0.68</c:v>
                      </c:pt>
                      <c:pt idx="469">
                        <c:v>0.69</c:v>
                      </c:pt>
                      <c:pt idx="470">
                        <c:v>0.7</c:v>
                      </c:pt>
                      <c:pt idx="471">
                        <c:v>0.71</c:v>
                      </c:pt>
                      <c:pt idx="472">
                        <c:v>0.72</c:v>
                      </c:pt>
                      <c:pt idx="473">
                        <c:v>0.73</c:v>
                      </c:pt>
                      <c:pt idx="474">
                        <c:v>0.74</c:v>
                      </c:pt>
                      <c:pt idx="475">
                        <c:v>0.75</c:v>
                      </c:pt>
                      <c:pt idx="476">
                        <c:v>0.76</c:v>
                      </c:pt>
                      <c:pt idx="477">
                        <c:v>0.77</c:v>
                      </c:pt>
                      <c:pt idx="478">
                        <c:v>0.78</c:v>
                      </c:pt>
                      <c:pt idx="479">
                        <c:v>0.79</c:v>
                      </c:pt>
                      <c:pt idx="480">
                        <c:v>0.8</c:v>
                      </c:pt>
                      <c:pt idx="481">
                        <c:v>0.81</c:v>
                      </c:pt>
                      <c:pt idx="482">
                        <c:v>0.82</c:v>
                      </c:pt>
                      <c:pt idx="483">
                        <c:v>0.83</c:v>
                      </c:pt>
                      <c:pt idx="484">
                        <c:v>0.84</c:v>
                      </c:pt>
                      <c:pt idx="485">
                        <c:v>0.85</c:v>
                      </c:pt>
                      <c:pt idx="486">
                        <c:v>0.86</c:v>
                      </c:pt>
                      <c:pt idx="487">
                        <c:v>0.87</c:v>
                      </c:pt>
                      <c:pt idx="488">
                        <c:v>0.88</c:v>
                      </c:pt>
                      <c:pt idx="489">
                        <c:v>0.89</c:v>
                      </c:pt>
                      <c:pt idx="490">
                        <c:v>0.9</c:v>
                      </c:pt>
                      <c:pt idx="491">
                        <c:v>0.91</c:v>
                      </c:pt>
                      <c:pt idx="492">
                        <c:v>0.92</c:v>
                      </c:pt>
                      <c:pt idx="493">
                        <c:v>0.93</c:v>
                      </c:pt>
                      <c:pt idx="494">
                        <c:v>0.94</c:v>
                      </c:pt>
                      <c:pt idx="495">
                        <c:v>0.95</c:v>
                      </c:pt>
                      <c:pt idx="496">
                        <c:v>0.96</c:v>
                      </c:pt>
                      <c:pt idx="497">
                        <c:v>0.97</c:v>
                      </c:pt>
                      <c:pt idx="498">
                        <c:v>0.98</c:v>
                      </c:pt>
                      <c:pt idx="499">
                        <c:v>0.99</c:v>
                      </c:pt>
                      <c:pt idx="500">
                        <c:v>1</c:v>
                      </c:pt>
                      <c:pt idx="501">
                        <c:v>1.01</c:v>
                      </c:pt>
                      <c:pt idx="502">
                        <c:v>1.02</c:v>
                      </c:pt>
                      <c:pt idx="503">
                        <c:v>1.03</c:v>
                      </c:pt>
                      <c:pt idx="504">
                        <c:v>1.04</c:v>
                      </c:pt>
                      <c:pt idx="505">
                        <c:v>1.05</c:v>
                      </c:pt>
                      <c:pt idx="506">
                        <c:v>1.06</c:v>
                      </c:pt>
                      <c:pt idx="507">
                        <c:v>1.07</c:v>
                      </c:pt>
                      <c:pt idx="508">
                        <c:v>1.08</c:v>
                      </c:pt>
                      <c:pt idx="509">
                        <c:v>1.0900000000000001</c:v>
                      </c:pt>
                      <c:pt idx="510">
                        <c:v>1.1000000000000001</c:v>
                      </c:pt>
                      <c:pt idx="511">
                        <c:v>1.1100000000000001</c:v>
                      </c:pt>
                      <c:pt idx="512">
                        <c:v>1.1200000000000001</c:v>
                      </c:pt>
                      <c:pt idx="513">
                        <c:v>1.1299999999999999</c:v>
                      </c:pt>
                      <c:pt idx="514">
                        <c:v>1.1399999999999999</c:v>
                      </c:pt>
                      <c:pt idx="515">
                        <c:v>1.1499999999999999</c:v>
                      </c:pt>
                      <c:pt idx="516">
                        <c:v>1.1599999999999999</c:v>
                      </c:pt>
                      <c:pt idx="517">
                        <c:v>1.17</c:v>
                      </c:pt>
                      <c:pt idx="518">
                        <c:v>1.18</c:v>
                      </c:pt>
                      <c:pt idx="519">
                        <c:v>1.19</c:v>
                      </c:pt>
                      <c:pt idx="520">
                        <c:v>1.2</c:v>
                      </c:pt>
                      <c:pt idx="521">
                        <c:v>1.21</c:v>
                      </c:pt>
                      <c:pt idx="522">
                        <c:v>1.22</c:v>
                      </c:pt>
                      <c:pt idx="523">
                        <c:v>1.23</c:v>
                      </c:pt>
                      <c:pt idx="524">
                        <c:v>1.24</c:v>
                      </c:pt>
                      <c:pt idx="525">
                        <c:v>1.25</c:v>
                      </c:pt>
                      <c:pt idx="526">
                        <c:v>1.26</c:v>
                      </c:pt>
                      <c:pt idx="527">
                        <c:v>1.27</c:v>
                      </c:pt>
                      <c:pt idx="528">
                        <c:v>1.28</c:v>
                      </c:pt>
                      <c:pt idx="529">
                        <c:v>1.29</c:v>
                      </c:pt>
                      <c:pt idx="530">
                        <c:v>1.3</c:v>
                      </c:pt>
                      <c:pt idx="531">
                        <c:v>1.31</c:v>
                      </c:pt>
                      <c:pt idx="532">
                        <c:v>1.32</c:v>
                      </c:pt>
                      <c:pt idx="533">
                        <c:v>1.33</c:v>
                      </c:pt>
                      <c:pt idx="534">
                        <c:v>1.34</c:v>
                      </c:pt>
                      <c:pt idx="535">
                        <c:v>1.35</c:v>
                      </c:pt>
                      <c:pt idx="536">
                        <c:v>1.36</c:v>
                      </c:pt>
                      <c:pt idx="537">
                        <c:v>1.37</c:v>
                      </c:pt>
                      <c:pt idx="538">
                        <c:v>1.38</c:v>
                      </c:pt>
                      <c:pt idx="539">
                        <c:v>1.39</c:v>
                      </c:pt>
                      <c:pt idx="540">
                        <c:v>1.4</c:v>
                      </c:pt>
                      <c:pt idx="541">
                        <c:v>1.41</c:v>
                      </c:pt>
                      <c:pt idx="542">
                        <c:v>1.42</c:v>
                      </c:pt>
                      <c:pt idx="543">
                        <c:v>1.43</c:v>
                      </c:pt>
                      <c:pt idx="544">
                        <c:v>1.44</c:v>
                      </c:pt>
                      <c:pt idx="545">
                        <c:v>1.45</c:v>
                      </c:pt>
                      <c:pt idx="546">
                        <c:v>1.46</c:v>
                      </c:pt>
                      <c:pt idx="547">
                        <c:v>1.47</c:v>
                      </c:pt>
                      <c:pt idx="548">
                        <c:v>1.48</c:v>
                      </c:pt>
                      <c:pt idx="549">
                        <c:v>1.49</c:v>
                      </c:pt>
                      <c:pt idx="550">
                        <c:v>1.5</c:v>
                      </c:pt>
                      <c:pt idx="551">
                        <c:v>1.51</c:v>
                      </c:pt>
                      <c:pt idx="552">
                        <c:v>1.52</c:v>
                      </c:pt>
                      <c:pt idx="553">
                        <c:v>1.53</c:v>
                      </c:pt>
                      <c:pt idx="554">
                        <c:v>1.54</c:v>
                      </c:pt>
                      <c:pt idx="555">
                        <c:v>1.55</c:v>
                      </c:pt>
                      <c:pt idx="556">
                        <c:v>1.56</c:v>
                      </c:pt>
                      <c:pt idx="557">
                        <c:v>1.57</c:v>
                      </c:pt>
                      <c:pt idx="558">
                        <c:v>1.58</c:v>
                      </c:pt>
                      <c:pt idx="559">
                        <c:v>1.59</c:v>
                      </c:pt>
                      <c:pt idx="560">
                        <c:v>1.6</c:v>
                      </c:pt>
                      <c:pt idx="561">
                        <c:v>1.61</c:v>
                      </c:pt>
                      <c:pt idx="562">
                        <c:v>1.62</c:v>
                      </c:pt>
                      <c:pt idx="563">
                        <c:v>1.63</c:v>
                      </c:pt>
                      <c:pt idx="564">
                        <c:v>1.64</c:v>
                      </c:pt>
                      <c:pt idx="565">
                        <c:v>1.65</c:v>
                      </c:pt>
                      <c:pt idx="566">
                        <c:v>1.66</c:v>
                      </c:pt>
                      <c:pt idx="567">
                        <c:v>1.67</c:v>
                      </c:pt>
                      <c:pt idx="568">
                        <c:v>1.68</c:v>
                      </c:pt>
                      <c:pt idx="569">
                        <c:v>1.69</c:v>
                      </c:pt>
                      <c:pt idx="570">
                        <c:v>1.7</c:v>
                      </c:pt>
                      <c:pt idx="571">
                        <c:v>1.71</c:v>
                      </c:pt>
                      <c:pt idx="572">
                        <c:v>1.72</c:v>
                      </c:pt>
                      <c:pt idx="573">
                        <c:v>1.73</c:v>
                      </c:pt>
                      <c:pt idx="574">
                        <c:v>1.74</c:v>
                      </c:pt>
                      <c:pt idx="575">
                        <c:v>1.75</c:v>
                      </c:pt>
                      <c:pt idx="576">
                        <c:v>1.76</c:v>
                      </c:pt>
                      <c:pt idx="577">
                        <c:v>1.77</c:v>
                      </c:pt>
                      <c:pt idx="578">
                        <c:v>1.78</c:v>
                      </c:pt>
                      <c:pt idx="579">
                        <c:v>1.79</c:v>
                      </c:pt>
                      <c:pt idx="580">
                        <c:v>1.8</c:v>
                      </c:pt>
                      <c:pt idx="581">
                        <c:v>1.81</c:v>
                      </c:pt>
                      <c:pt idx="582">
                        <c:v>1.82</c:v>
                      </c:pt>
                      <c:pt idx="583">
                        <c:v>1.83</c:v>
                      </c:pt>
                      <c:pt idx="584">
                        <c:v>1.84</c:v>
                      </c:pt>
                      <c:pt idx="585">
                        <c:v>1.85</c:v>
                      </c:pt>
                      <c:pt idx="586">
                        <c:v>1.86</c:v>
                      </c:pt>
                      <c:pt idx="587">
                        <c:v>1.87</c:v>
                      </c:pt>
                      <c:pt idx="588">
                        <c:v>1.88</c:v>
                      </c:pt>
                      <c:pt idx="589">
                        <c:v>1.89</c:v>
                      </c:pt>
                      <c:pt idx="590">
                        <c:v>1.9</c:v>
                      </c:pt>
                      <c:pt idx="591">
                        <c:v>1.91</c:v>
                      </c:pt>
                      <c:pt idx="592">
                        <c:v>1.92</c:v>
                      </c:pt>
                      <c:pt idx="593">
                        <c:v>1.93</c:v>
                      </c:pt>
                      <c:pt idx="594">
                        <c:v>1.94</c:v>
                      </c:pt>
                      <c:pt idx="595">
                        <c:v>1.95</c:v>
                      </c:pt>
                      <c:pt idx="596">
                        <c:v>1.96</c:v>
                      </c:pt>
                      <c:pt idx="597">
                        <c:v>1.97</c:v>
                      </c:pt>
                      <c:pt idx="598">
                        <c:v>1.98</c:v>
                      </c:pt>
                      <c:pt idx="599">
                        <c:v>1.99</c:v>
                      </c:pt>
                      <c:pt idx="600">
                        <c:v>2</c:v>
                      </c:pt>
                      <c:pt idx="601">
                        <c:v>2.0099999999999998</c:v>
                      </c:pt>
                      <c:pt idx="602">
                        <c:v>2.02</c:v>
                      </c:pt>
                      <c:pt idx="603">
                        <c:v>2.0299999999999998</c:v>
                      </c:pt>
                      <c:pt idx="604">
                        <c:v>2.04</c:v>
                      </c:pt>
                      <c:pt idx="605">
                        <c:v>2.0499999999999998</c:v>
                      </c:pt>
                      <c:pt idx="606">
                        <c:v>2.06</c:v>
                      </c:pt>
                      <c:pt idx="607">
                        <c:v>2.0699999999999998</c:v>
                      </c:pt>
                      <c:pt idx="608">
                        <c:v>2.08</c:v>
                      </c:pt>
                      <c:pt idx="609">
                        <c:v>2.09</c:v>
                      </c:pt>
                      <c:pt idx="610">
                        <c:v>2.1</c:v>
                      </c:pt>
                      <c:pt idx="611">
                        <c:v>2.11</c:v>
                      </c:pt>
                      <c:pt idx="612">
                        <c:v>2.12</c:v>
                      </c:pt>
                      <c:pt idx="613">
                        <c:v>2.13</c:v>
                      </c:pt>
                      <c:pt idx="614">
                        <c:v>2.14</c:v>
                      </c:pt>
                      <c:pt idx="615">
                        <c:v>2.15</c:v>
                      </c:pt>
                      <c:pt idx="616">
                        <c:v>2.16</c:v>
                      </c:pt>
                      <c:pt idx="617">
                        <c:v>2.17</c:v>
                      </c:pt>
                      <c:pt idx="618">
                        <c:v>2.1800000000000002</c:v>
                      </c:pt>
                      <c:pt idx="619">
                        <c:v>2.19</c:v>
                      </c:pt>
                      <c:pt idx="620">
                        <c:v>2.2000000000000002</c:v>
                      </c:pt>
                      <c:pt idx="621">
                        <c:v>2.21</c:v>
                      </c:pt>
                      <c:pt idx="622">
                        <c:v>2.2200000000000002</c:v>
                      </c:pt>
                      <c:pt idx="623">
                        <c:v>2.23</c:v>
                      </c:pt>
                      <c:pt idx="624">
                        <c:v>2.2400000000000002</c:v>
                      </c:pt>
                      <c:pt idx="625">
                        <c:v>2.25</c:v>
                      </c:pt>
                      <c:pt idx="626">
                        <c:v>2.2599999999999998</c:v>
                      </c:pt>
                      <c:pt idx="627">
                        <c:v>2.27</c:v>
                      </c:pt>
                      <c:pt idx="628">
                        <c:v>2.2799999999999998</c:v>
                      </c:pt>
                      <c:pt idx="629">
                        <c:v>2.29</c:v>
                      </c:pt>
                      <c:pt idx="630">
                        <c:v>2.2999999999999998</c:v>
                      </c:pt>
                      <c:pt idx="631">
                        <c:v>2.31</c:v>
                      </c:pt>
                      <c:pt idx="632">
                        <c:v>2.3199999999999998</c:v>
                      </c:pt>
                      <c:pt idx="633">
                        <c:v>2.33</c:v>
                      </c:pt>
                      <c:pt idx="634">
                        <c:v>2.34</c:v>
                      </c:pt>
                      <c:pt idx="635">
                        <c:v>2.35</c:v>
                      </c:pt>
                      <c:pt idx="636">
                        <c:v>2.36</c:v>
                      </c:pt>
                      <c:pt idx="637">
                        <c:v>2.37</c:v>
                      </c:pt>
                      <c:pt idx="638">
                        <c:v>2.38</c:v>
                      </c:pt>
                      <c:pt idx="639">
                        <c:v>2.39</c:v>
                      </c:pt>
                      <c:pt idx="640">
                        <c:v>2.4</c:v>
                      </c:pt>
                      <c:pt idx="641">
                        <c:v>2.41</c:v>
                      </c:pt>
                      <c:pt idx="642">
                        <c:v>2.42</c:v>
                      </c:pt>
                      <c:pt idx="643">
                        <c:v>2.4300000000000002</c:v>
                      </c:pt>
                      <c:pt idx="644">
                        <c:v>2.44</c:v>
                      </c:pt>
                      <c:pt idx="645">
                        <c:v>2.4500000000000002</c:v>
                      </c:pt>
                      <c:pt idx="646">
                        <c:v>2.46</c:v>
                      </c:pt>
                      <c:pt idx="647">
                        <c:v>2.4700000000000002</c:v>
                      </c:pt>
                      <c:pt idx="648">
                        <c:v>2.48</c:v>
                      </c:pt>
                      <c:pt idx="649">
                        <c:v>2.4900000000000002</c:v>
                      </c:pt>
                      <c:pt idx="650">
                        <c:v>2.5</c:v>
                      </c:pt>
                      <c:pt idx="651">
                        <c:v>2.5099999999999998</c:v>
                      </c:pt>
                      <c:pt idx="652">
                        <c:v>2.52</c:v>
                      </c:pt>
                      <c:pt idx="653">
                        <c:v>2.5299999999999998</c:v>
                      </c:pt>
                      <c:pt idx="654">
                        <c:v>2.54</c:v>
                      </c:pt>
                      <c:pt idx="655">
                        <c:v>2.5499999999999998</c:v>
                      </c:pt>
                      <c:pt idx="656">
                        <c:v>2.56</c:v>
                      </c:pt>
                      <c:pt idx="657">
                        <c:v>2.57</c:v>
                      </c:pt>
                      <c:pt idx="658">
                        <c:v>2.58</c:v>
                      </c:pt>
                      <c:pt idx="659">
                        <c:v>2.59</c:v>
                      </c:pt>
                      <c:pt idx="660">
                        <c:v>2.6</c:v>
                      </c:pt>
                      <c:pt idx="661">
                        <c:v>2.61</c:v>
                      </c:pt>
                      <c:pt idx="662">
                        <c:v>2.62</c:v>
                      </c:pt>
                      <c:pt idx="663">
                        <c:v>2.63</c:v>
                      </c:pt>
                      <c:pt idx="664">
                        <c:v>2.64</c:v>
                      </c:pt>
                      <c:pt idx="665">
                        <c:v>2.65</c:v>
                      </c:pt>
                      <c:pt idx="666">
                        <c:v>2.66</c:v>
                      </c:pt>
                      <c:pt idx="667">
                        <c:v>2.67</c:v>
                      </c:pt>
                      <c:pt idx="668">
                        <c:v>2.68</c:v>
                      </c:pt>
                      <c:pt idx="669">
                        <c:v>2.69</c:v>
                      </c:pt>
                      <c:pt idx="670">
                        <c:v>2.7</c:v>
                      </c:pt>
                      <c:pt idx="671">
                        <c:v>2.71</c:v>
                      </c:pt>
                      <c:pt idx="672">
                        <c:v>2.72</c:v>
                      </c:pt>
                      <c:pt idx="673">
                        <c:v>2.73</c:v>
                      </c:pt>
                      <c:pt idx="674">
                        <c:v>2.74</c:v>
                      </c:pt>
                      <c:pt idx="675">
                        <c:v>2.75</c:v>
                      </c:pt>
                      <c:pt idx="676">
                        <c:v>2.76</c:v>
                      </c:pt>
                      <c:pt idx="677">
                        <c:v>2.77</c:v>
                      </c:pt>
                      <c:pt idx="678">
                        <c:v>2.78</c:v>
                      </c:pt>
                      <c:pt idx="679">
                        <c:v>2.79</c:v>
                      </c:pt>
                      <c:pt idx="680">
                        <c:v>2.8</c:v>
                      </c:pt>
                      <c:pt idx="681">
                        <c:v>2.81</c:v>
                      </c:pt>
                      <c:pt idx="682">
                        <c:v>2.82</c:v>
                      </c:pt>
                      <c:pt idx="683">
                        <c:v>2.83</c:v>
                      </c:pt>
                      <c:pt idx="684">
                        <c:v>2.84</c:v>
                      </c:pt>
                      <c:pt idx="685">
                        <c:v>2.85</c:v>
                      </c:pt>
                      <c:pt idx="686">
                        <c:v>2.86</c:v>
                      </c:pt>
                      <c:pt idx="687">
                        <c:v>2.87</c:v>
                      </c:pt>
                      <c:pt idx="688">
                        <c:v>2.88</c:v>
                      </c:pt>
                      <c:pt idx="689">
                        <c:v>2.89</c:v>
                      </c:pt>
                      <c:pt idx="690">
                        <c:v>2.9</c:v>
                      </c:pt>
                      <c:pt idx="691">
                        <c:v>2.91</c:v>
                      </c:pt>
                      <c:pt idx="692">
                        <c:v>2.92</c:v>
                      </c:pt>
                      <c:pt idx="693">
                        <c:v>2.93</c:v>
                      </c:pt>
                      <c:pt idx="694">
                        <c:v>2.94</c:v>
                      </c:pt>
                      <c:pt idx="695">
                        <c:v>2.95</c:v>
                      </c:pt>
                      <c:pt idx="696">
                        <c:v>2.96</c:v>
                      </c:pt>
                      <c:pt idx="697">
                        <c:v>2.97</c:v>
                      </c:pt>
                      <c:pt idx="698">
                        <c:v>2.98</c:v>
                      </c:pt>
                      <c:pt idx="699">
                        <c:v>2.99</c:v>
                      </c:pt>
                      <c:pt idx="700">
                        <c:v>3</c:v>
                      </c:pt>
                      <c:pt idx="701">
                        <c:v>3.01</c:v>
                      </c:pt>
                      <c:pt idx="702">
                        <c:v>3.02</c:v>
                      </c:pt>
                      <c:pt idx="703">
                        <c:v>3.03</c:v>
                      </c:pt>
                      <c:pt idx="704">
                        <c:v>3.04</c:v>
                      </c:pt>
                      <c:pt idx="705">
                        <c:v>3.05</c:v>
                      </c:pt>
                      <c:pt idx="706">
                        <c:v>3.06</c:v>
                      </c:pt>
                      <c:pt idx="707">
                        <c:v>3.07</c:v>
                      </c:pt>
                      <c:pt idx="708">
                        <c:v>3.08</c:v>
                      </c:pt>
                      <c:pt idx="709">
                        <c:v>3.09</c:v>
                      </c:pt>
                      <c:pt idx="710">
                        <c:v>3.1</c:v>
                      </c:pt>
                      <c:pt idx="711">
                        <c:v>3.11</c:v>
                      </c:pt>
                      <c:pt idx="712">
                        <c:v>3.12</c:v>
                      </c:pt>
                      <c:pt idx="713">
                        <c:v>3.13</c:v>
                      </c:pt>
                      <c:pt idx="714">
                        <c:v>3.14</c:v>
                      </c:pt>
                      <c:pt idx="715">
                        <c:v>3.15</c:v>
                      </c:pt>
                      <c:pt idx="716">
                        <c:v>3.16</c:v>
                      </c:pt>
                      <c:pt idx="717">
                        <c:v>3.17</c:v>
                      </c:pt>
                      <c:pt idx="718">
                        <c:v>3.18</c:v>
                      </c:pt>
                      <c:pt idx="719">
                        <c:v>3.19</c:v>
                      </c:pt>
                      <c:pt idx="720">
                        <c:v>3.2</c:v>
                      </c:pt>
                      <c:pt idx="721">
                        <c:v>3.21</c:v>
                      </c:pt>
                      <c:pt idx="722">
                        <c:v>3.22</c:v>
                      </c:pt>
                      <c:pt idx="723">
                        <c:v>3.23</c:v>
                      </c:pt>
                      <c:pt idx="724">
                        <c:v>3.24</c:v>
                      </c:pt>
                      <c:pt idx="725">
                        <c:v>3.25</c:v>
                      </c:pt>
                      <c:pt idx="726">
                        <c:v>3.26</c:v>
                      </c:pt>
                      <c:pt idx="727">
                        <c:v>3.27</c:v>
                      </c:pt>
                      <c:pt idx="728">
                        <c:v>3.28</c:v>
                      </c:pt>
                      <c:pt idx="729">
                        <c:v>3.29</c:v>
                      </c:pt>
                      <c:pt idx="730">
                        <c:v>3.3</c:v>
                      </c:pt>
                      <c:pt idx="731">
                        <c:v>3.31</c:v>
                      </c:pt>
                      <c:pt idx="732">
                        <c:v>3.32</c:v>
                      </c:pt>
                      <c:pt idx="733">
                        <c:v>3.33</c:v>
                      </c:pt>
                      <c:pt idx="734">
                        <c:v>3.34</c:v>
                      </c:pt>
                      <c:pt idx="735">
                        <c:v>3.35</c:v>
                      </c:pt>
                      <c:pt idx="736">
                        <c:v>3.36</c:v>
                      </c:pt>
                      <c:pt idx="737">
                        <c:v>3.37</c:v>
                      </c:pt>
                      <c:pt idx="738">
                        <c:v>3.38</c:v>
                      </c:pt>
                      <c:pt idx="739">
                        <c:v>3.39</c:v>
                      </c:pt>
                      <c:pt idx="740">
                        <c:v>3.4</c:v>
                      </c:pt>
                      <c:pt idx="741">
                        <c:v>3.41</c:v>
                      </c:pt>
                      <c:pt idx="742">
                        <c:v>3.42</c:v>
                      </c:pt>
                      <c:pt idx="743">
                        <c:v>3.43</c:v>
                      </c:pt>
                      <c:pt idx="744">
                        <c:v>3.44</c:v>
                      </c:pt>
                      <c:pt idx="745">
                        <c:v>3.45</c:v>
                      </c:pt>
                      <c:pt idx="746">
                        <c:v>3.46</c:v>
                      </c:pt>
                      <c:pt idx="747">
                        <c:v>3.47</c:v>
                      </c:pt>
                      <c:pt idx="748">
                        <c:v>3.48</c:v>
                      </c:pt>
                      <c:pt idx="749">
                        <c:v>3.49</c:v>
                      </c:pt>
                      <c:pt idx="750">
                        <c:v>3.5</c:v>
                      </c:pt>
                      <c:pt idx="751">
                        <c:v>3.51</c:v>
                      </c:pt>
                      <c:pt idx="752">
                        <c:v>3.52</c:v>
                      </c:pt>
                      <c:pt idx="753">
                        <c:v>3.53</c:v>
                      </c:pt>
                      <c:pt idx="754">
                        <c:v>3.54</c:v>
                      </c:pt>
                      <c:pt idx="755">
                        <c:v>3.55</c:v>
                      </c:pt>
                      <c:pt idx="756">
                        <c:v>3.56</c:v>
                      </c:pt>
                      <c:pt idx="757">
                        <c:v>3.57</c:v>
                      </c:pt>
                      <c:pt idx="758">
                        <c:v>3.58</c:v>
                      </c:pt>
                      <c:pt idx="759">
                        <c:v>3.59</c:v>
                      </c:pt>
                      <c:pt idx="760">
                        <c:v>3.6</c:v>
                      </c:pt>
                      <c:pt idx="761">
                        <c:v>3.61</c:v>
                      </c:pt>
                      <c:pt idx="762">
                        <c:v>3.62</c:v>
                      </c:pt>
                      <c:pt idx="763">
                        <c:v>3.63</c:v>
                      </c:pt>
                      <c:pt idx="764">
                        <c:v>3.64</c:v>
                      </c:pt>
                      <c:pt idx="765">
                        <c:v>3.65</c:v>
                      </c:pt>
                      <c:pt idx="766">
                        <c:v>3.66</c:v>
                      </c:pt>
                      <c:pt idx="767">
                        <c:v>3.67</c:v>
                      </c:pt>
                      <c:pt idx="768">
                        <c:v>3.68</c:v>
                      </c:pt>
                      <c:pt idx="769">
                        <c:v>3.69</c:v>
                      </c:pt>
                      <c:pt idx="770">
                        <c:v>3.7</c:v>
                      </c:pt>
                      <c:pt idx="771">
                        <c:v>3.71</c:v>
                      </c:pt>
                      <c:pt idx="772">
                        <c:v>3.72</c:v>
                      </c:pt>
                      <c:pt idx="773">
                        <c:v>3.73</c:v>
                      </c:pt>
                      <c:pt idx="774">
                        <c:v>3.74</c:v>
                      </c:pt>
                      <c:pt idx="775">
                        <c:v>3.75</c:v>
                      </c:pt>
                      <c:pt idx="776">
                        <c:v>3.76</c:v>
                      </c:pt>
                      <c:pt idx="777">
                        <c:v>3.77</c:v>
                      </c:pt>
                      <c:pt idx="778">
                        <c:v>3.78</c:v>
                      </c:pt>
                      <c:pt idx="779">
                        <c:v>3.79</c:v>
                      </c:pt>
                      <c:pt idx="780">
                        <c:v>3.8</c:v>
                      </c:pt>
                      <c:pt idx="781">
                        <c:v>3.81</c:v>
                      </c:pt>
                      <c:pt idx="782">
                        <c:v>3.82</c:v>
                      </c:pt>
                      <c:pt idx="783">
                        <c:v>3.83</c:v>
                      </c:pt>
                      <c:pt idx="784">
                        <c:v>3.84</c:v>
                      </c:pt>
                      <c:pt idx="785">
                        <c:v>3.85</c:v>
                      </c:pt>
                      <c:pt idx="786">
                        <c:v>3.86</c:v>
                      </c:pt>
                      <c:pt idx="787">
                        <c:v>3.87</c:v>
                      </c:pt>
                      <c:pt idx="788">
                        <c:v>3.88</c:v>
                      </c:pt>
                      <c:pt idx="789">
                        <c:v>3.89</c:v>
                      </c:pt>
                      <c:pt idx="790">
                        <c:v>3.9</c:v>
                      </c:pt>
                      <c:pt idx="791">
                        <c:v>3.91</c:v>
                      </c:pt>
                      <c:pt idx="792">
                        <c:v>3.92</c:v>
                      </c:pt>
                      <c:pt idx="793">
                        <c:v>3.93</c:v>
                      </c:pt>
                      <c:pt idx="794">
                        <c:v>3.94</c:v>
                      </c:pt>
                      <c:pt idx="795">
                        <c:v>3.95</c:v>
                      </c:pt>
                      <c:pt idx="796">
                        <c:v>3.96</c:v>
                      </c:pt>
                      <c:pt idx="797">
                        <c:v>3.97</c:v>
                      </c:pt>
                      <c:pt idx="798">
                        <c:v>3.98</c:v>
                      </c:pt>
                      <c:pt idx="799">
                        <c:v>3.99</c:v>
                      </c:pt>
                      <c:pt idx="800">
                        <c:v>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'Лист1 (4)'!$X$3:$X$803</c15:sqref>
                        </c15:formulaRef>
                      </c:ext>
                    </c:extLst>
                    <c:numCache>
                      <c:formatCode>General</c:formatCode>
                      <c:ptCount val="80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#N/A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  <c:pt idx="31">
                        <c:v>#N/A</c:v>
                      </c:pt>
                      <c:pt idx="32">
                        <c:v>#N/A</c:v>
                      </c:pt>
                      <c:pt idx="33">
                        <c:v>#N/A</c:v>
                      </c:pt>
                      <c:pt idx="34">
                        <c:v>#N/A</c:v>
                      </c:pt>
                      <c:pt idx="35">
                        <c:v>#N/A</c:v>
                      </c:pt>
                      <c:pt idx="36">
                        <c:v>#N/A</c:v>
                      </c:pt>
                      <c:pt idx="37">
                        <c:v>#N/A</c:v>
                      </c:pt>
                      <c:pt idx="38">
                        <c:v>#N/A</c:v>
                      </c:pt>
                      <c:pt idx="39">
                        <c:v>#N/A</c:v>
                      </c:pt>
                      <c:pt idx="40">
                        <c:v>#N/A</c:v>
                      </c:pt>
                      <c:pt idx="41">
                        <c:v>#N/A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5.3990966513188063E-2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  <c:pt idx="237">
                        <c:v>#N/A</c:v>
                      </c:pt>
                      <c:pt idx="238">
                        <c:v>#N/A</c:v>
                      </c:pt>
                      <c:pt idx="239">
                        <c:v>#N/A</c:v>
                      </c:pt>
                      <c:pt idx="240">
                        <c:v>#N/A</c:v>
                      </c:pt>
                      <c:pt idx="241">
                        <c:v>#N/A</c:v>
                      </c:pt>
                      <c:pt idx="242">
                        <c:v>#N/A</c:v>
                      </c:pt>
                      <c:pt idx="243">
                        <c:v>#N/A</c:v>
                      </c:pt>
                      <c:pt idx="244">
                        <c:v>#N/A</c:v>
                      </c:pt>
                      <c:pt idx="245">
                        <c:v>#N/A</c:v>
                      </c:pt>
                      <c:pt idx="246">
                        <c:v>#N/A</c:v>
                      </c:pt>
                      <c:pt idx="247">
                        <c:v>#N/A</c:v>
                      </c:pt>
                      <c:pt idx="248">
                        <c:v>#N/A</c:v>
                      </c:pt>
                      <c:pt idx="249">
                        <c:v>#N/A</c:v>
                      </c:pt>
                      <c:pt idx="250">
                        <c:v>#N/A</c:v>
                      </c:pt>
                      <c:pt idx="251">
                        <c:v>#N/A</c:v>
                      </c:pt>
                      <c:pt idx="252">
                        <c:v>#N/A</c:v>
                      </c:pt>
                      <c:pt idx="253">
                        <c:v>#N/A</c:v>
                      </c:pt>
                      <c:pt idx="254">
                        <c:v>#N/A</c:v>
                      </c:pt>
                      <c:pt idx="255">
                        <c:v>#N/A</c:v>
                      </c:pt>
                      <c:pt idx="256">
                        <c:v>#N/A</c:v>
                      </c:pt>
                      <c:pt idx="257">
                        <c:v>#N/A</c:v>
                      </c:pt>
                      <c:pt idx="258">
                        <c:v>#N/A</c:v>
                      </c:pt>
                      <c:pt idx="259">
                        <c:v>#N/A</c:v>
                      </c:pt>
                      <c:pt idx="260">
                        <c:v>#N/A</c:v>
                      </c:pt>
                      <c:pt idx="261">
                        <c:v>#N/A</c:v>
                      </c:pt>
                      <c:pt idx="262">
                        <c:v>#N/A</c:v>
                      </c:pt>
                      <c:pt idx="263">
                        <c:v>#N/A</c:v>
                      </c:pt>
                      <c:pt idx="264">
                        <c:v>#N/A</c:v>
                      </c:pt>
                      <c:pt idx="265">
                        <c:v>#N/A</c:v>
                      </c:pt>
                      <c:pt idx="266">
                        <c:v>#N/A</c:v>
                      </c:pt>
                      <c:pt idx="267">
                        <c:v>#N/A</c:v>
                      </c:pt>
                      <c:pt idx="268">
                        <c:v>#N/A</c:v>
                      </c:pt>
                      <c:pt idx="269">
                        <c:v>#N/A</c:v>
                      </c:pt>
                      <c:pt idx="270">
                        <c:v>#N/A</c:v>
                      </c:pt>
                      <c:pt idx="271">
                        <c:v>#N/A</c:v>
                      </c:pt>
                      <c:pt idx="272">
                        <c:v>#N/A</c:v>
                      </c:pt>
                      <c:pt idx="273">
                        <c:v>#N/A</c:v>
                      </c:pt>
                      <c:pt idx="274">
                        <c:v>#N/A</c:v>
                      </c:pt>
                      <c:pt idx="275">
                        <c:v>#N/A</c:v>
                      </c:pt>
                      <c:pt idx="276">
                        <c:v>#N/A</c:v>
                      </c:pt>
                      <c:pt idx="277">
                        <c:v>#N/A</c:v>
                      </c:pt>
                      <c:pt idx="278">
                        <c:v>#N/A</c:v>
                      </c:pt>
                      <c:pt idx="279">
                        <c:v>#N/A</c:v>
                      </c:pt>
                      <c:pt idx="280">
                        <c:v>#N/A</c:v>
                      </c:pt>
                      <c:pt idx="281">
                        <c:v>#N/A</c:v>
                      </c:pt>
                      <c:pt idx="282">
                        <c:v>#N/A</c:v>
                      </c:pt>
                      <c:pt idx="283">
                        <c:v>#N/A</c:v>
                      </c:pt>
                      <c:pt idx="284">
                        <c:v>#N/A</c:v>
                      </c:pt>
                      <c:pt idx="285">
                        <c:v>#N/A</c:v>
                      </c:pt>
                      <c:pt idx="286">
                        <c:v>#N/A</c:v>
                      </c:pt>
                      <c:pt idx="287">
                        <c:v>#N/A</c:v>
                      </c:pt>
                      <c:pt idx="288">
                        <c:v>#N/A</c:v>
                      </c:pt>
                      <c:pt idx="289">
                        <c:v>#N/A</c:v>
                      </c:pt>
                      <c:pt idx="290">
                        <c:v>#N/A</c:v>
                      </c:pt>
                      <c:pt idx="291">
                        <c:v>#N/A</c:v>
                      </c:pt>
                      <c:pt idx="292">
                        <c:v>#N/A</c:v>
                      </c:pt>
                      <c:pt idx="293">
                        <c:v>#N/A</c:v>
                      </c:pt>
                      <c:pt idx="294">
                        <c:v>#N/A</c:v>
                      </c:pt>
                      <c:pt idx="295">
                        <c:v>#N/A</c:v>
                      </c:pt>
                      <c:pt idx="296">
                        <c:v>#N/A</c:v>
                      </c:pt>
                      <c:pt idx="297">
                        <c:v>#N/A</c:v>
                      </c:pt>
                      <c:pt idx="298">
                        <c:v>#N/A</c:v>
                      </c:pt>
                      <c:pt idx="299">
                        <c:v>#N/A</c:v>
                      </c:pt>
                      <c:pt idx="300">
                        <c:v>#N/A</c:v>
                      </c:pt>
                      <c:pt idx="301">
                        <c:v>#N/A</c:v>
                      </c:pt>
                      <c:pt idx="302">
                        <c:v>#N/A</c:v>
                      </c:pt>
                      <c:pt idx="303">
                        <c:v>#N/A</c:v>
                      </c:pt>
                      <c:pt idx="304">
                        <c:v>#N/A</c:v>
                      </c:pt>
                      <c:pt idx="305">
                        <c:v>#N/A</c:v>
                      </c:pt>
                      <c:pt idx="306">
                        <c:v>#N/A</c:v>
                      </c:pt>
                      <c:pt idx="307">
                        <c:v>#N/A</c:v>
                      </c:pt>
                      <c:pt idx="308">
                        <c:v>#N/A</c:v>
                      </c:pt>
                      <c:pt idx="309">
                        <c:v>#N/A</c:v>
                      </c:pt>
                      <c:pt idx="310">
                        <c:v>#N/A</c:v>
                      </c:pt>
                      <c:pt idx="311">
                        <c:v>#N/A</c:v>
                      </c:pt>
                      <c:pt idx="312">
                        <c:v>#N/A</c:v>
                      </c:pt>
                      <c:pt idx="313">
                        <c:v>#N/A</c:v>
                      </c:pt>
                      <c:pt idx="314">
                        <c:v>#N/A</c:v>
                      </c:pt>
                      <c:pt idx="315">
                        <c:v>#N/A</c:v>
                      </c:pt>
                      <c:pt idx="316">
                        <c:v>#N/A</c:v>
                      </c:pt>
                      <c:pt idx="317">
                        <c:v>#N/A</c:v>
                      </c:pt>
                      <c:pt idx="318">
                        <c:v>#N/A</c:v>
                      </c:pt>
                      <c:pt idx="319">
                        <c:v>#N/A</c:v>
                      </c:pt>
                      <c:pt idx="320">
                        <c:v>#N/A</c:v>
                      </c:pt>
                      <c:pt idx="321">
                        <c:v>#N/A</c:v>
                      </c:pt>
                      <c:pt idx="322">
                        <c:v>#N/A</c:v>
                      </c:pt>
                      <c:pt idx="323">
                        <c:v>#N/A</c:v>
                      </c:pt>
                      <c:pt idx="324">
                        <c:v>#N/A</c:v>
                      </c:pt>
                      <c:pt idx="325">
                        <c:v>#N/A</c:v>
                      </c:pt>
                      <c:pt idx="326">
                        <c:v>#N/A</c:v>
                      </c:pt>
                      <c:pt idx="327">
                        <c:v>#N/A</c:v>
                      </c:pt>
                      <c:pt idx="328">
                        <c:v>#N/A</c:v>
                      </c:pt>
                      <c:pt idx="329">
                        <c:v>#N/A</c:v>
                      </c:pt>
                      <c:pt idx="330">
                        <c:v>#N/A</c:v>
                      </c:pt>
                      <c:pt idx="331">
                        <c:v>#N/A</c:v>
                      </c:pt>
                      <c:pt idx="332">
                        <c:v>#N/A</c:v>
                      </c:pt>
                      <c:pt idx="333">
                        <c:v>#N/A</c:v>
                      </c:pt>
                      <c:pt idx="334">
                        <c:v>#N/A</c:v>
                      </c:pt>
                      <c:pt idx="335">
                        <c:v>#N/A</c:v>
                      </c:pt>
                      <c:pt idx="336">
                        <c:v>#N/A</c:v>
                      </c:pt>
                      <c:pt idx="337">
                        <c:v>#N/A</c:v>
                      </c:pt>
                      <c:pt idx="338">
                        <c:v>#N/A</c:v>
                      </c:pt>
                      <c:pt idx="339">
                        <c:v>#N/A</c:v>
                      </c:pt>
                      <c:pt idx="340">
                        <c:v>#N/A</c:v>
                      </c:pt>
                      <c:pt idx="341">
                        <c:v>#N/A</c:v>
                      </c:pt>
                      <c:pt idx="342">
                        <c:v>#N/A</c:v>
                      </c:pt>
                      <c:pt idx="343">
                        <c:v>#N/A</c:v>
                      </c:pt>
                      <c:pt idx="344">
                        <c:v>#N/A</c:v>
                      </c:pt>
                      <c:pt idx="345">
                        <c:v>#N/A</c:v>
                      </c:pt>
                      <c:pt idx="346">
                        <c:v>#N/A</c:v>
                      </c:pt>
                      <c:pt idx="347">
                        <c:v>#N/A</c:v>
                      </c:pt>
                      <c:pt idx="348">
                        <c:v>#N/A</c:v>
                      </c:pt>
                      <c:pt idx="349">
                        <c:v>#N/A</c:v>
                      </c:pt>
                      <c:pt idx="350">
                        <c:v>#N/A</c:v>
                      </c:pt>
                      <c:pt idx="351">
                        <c:v>#N/A</c:v>
                      </c:pt>
                      <c:pt idx="352">
                        <c:v>#N/A</c:v>
                      </c:pt>
                      <c:pt idx="353">
                        <c:v>#N/A</c:v>
                      </c:pt>
                      <c:pt idx="354">
                        <c:v>#N/A</c:v>
                      </c:pt>
                      <c:pt idx="355">
                        <c:v>#N/A</c:v>
                      </c:pt>
                      <c:pt idx="356">
                        <c:v>#N/A</c:v>
                      </c:pt>
                      <c:pt idx="357">
                        <c:v>#N/A</c:v>
                      </c:pt>
                      <c:pt idx="358">
                        <c:v>#N/A</c:v>
                      </c:pt>
                      <c:pt idx="359">
                        <c:v>#N/A</c:v>
                      </c:pt>
                      <c:pt idx="360">
                        <c:v>#N/A</c:v>
                      </c:pt>
                      <c:pt idx="361">
                        <c:v>#N/A</c:v>
                      </c:pt>
                      <c:pt idx="362">
                        <c:v>#N/A</c:v>
                      </c:pt>
                      <c:pt idx="363">
                        <c:v>#N/A</c:v>
                      </c:pt>
                      <c:pt idx="364">
                        <c:v>#N/A</c:v>
                      </c:pt>
                      <c:pt idx="365">
                        <c:v>#N/A</c:v>
                      </c:pt>
                      <c:pt idx="366">
                        <c:v>#N/A</c:v>
                      </c:pt>
                      <c:pt idx="367">
                        <c:v>#N/A</c:v>
                      </c:pt>
                      <c:pt idx="368">
                        <c:v>#N/A</c:v>
                      </c:pt>
                      <c:pt idx="369">
                        <c:v>#N/A</c:v>
                      </c:pt>
                      <c:pt idx="370">
                        <c:v>#N/A</c:v>
                      </c:pt>
                      <c:pt idx="371">
                        <c:v>#N/A</c:v>
                      </c:pt>
                      <c:pt idx="372">
                        <c:v>#N/A</c:v>
                      </c:pt>
                      <c:pt idx="373">
                        <c:v>#N/A</c:v>
                      </c:pt>
                      <c:pt idx="374">
                        <c:v>#N/A</c:v>
                      </c:pt>
                      <c:pt idx="375">
                        <c:v>#N/A</c:v>
                      </c:pt>
                      <c:pt idx="376">
                        <c:v>#N/A</c:v>
                      </c:pt>
                      <c:pt idx="377">
                        <c:v>#N/A</c:v>
                      </c:pt>
                      <c:pt idx="378">
                        <c:v>#N/A</c:v>
                      </c:pt>
                      <c:pt idx="379">
                        <c:v>#N/A</c:v>
                      </c:pt>
                      <c:pt idx="380">
                        <c:v>#N/A</c:v>
                      </c:pt>
                      <c:pt idx="381">
                        <c:v>#N/A</c:v>
                      </c:pt>
                      <c:pt idx="382">
                        <c:v>#N/A</c:v>
                      </c:pt>
                      <c:pt idx="383">
                        <c:v>#N/A</c:v>
                      </c:pt>
                      <c:pt idx="384">
                        <c:v>#N/A</c:v>
                      </c:pt>
                      <c:pt idx="385">
                        <c:v>#N/A</c:v>
                      </c:pt>
                      <c:pt idx="386">
                        <c:v>#N/A</c:v>
                      </c:pt>
                      <c:pt idx="387">
                        <c:v>#N/A</c:v>
                      </c:pt>
                      <c:pt idx="388">
                        <c:v>#N/A</c:v>
                      </c:pt>
                      <c:pt idx="389">
                        <c:v>#N/A</c:v>
                      </c:pt>
                      <c:pt idx="390">
                        <c:v>#N/A</c:v>
                      </c:pt>
                      <c:pt idx="391">
                        <c:v>#N/A</c:v>
                      </c:pt>
                      <c:pt idx="392">
                        <c:v>#N/A</c:v>
                      </c:pt>
                      <c:pt idx="393">
                        <c:v>#N/A</c:v>
                      </c:pt>
                      <c:pt idx="394">
                        <c:v>#N/A</c:v>
                      </c:pt>
                      <c:pt idx="395">
                        <c:v>#N/A</c:v>
                      </c:pt>
                      <c:pt idx="396">
                        <c:v>#N/A</c:v>
                      </c:pt>
                      <c:pt idx="397">
                        <c:v>#N/A</c:v>
                      </c:pt>
                      <c:pt idx="398">
                        <c:v>#N/A</c:v>
                      </c:pt>
                      <c:pt idx="399">
                        <c:v>#N/A</c:v>
                      </c:pt>
                      <c:pt idx="400">
                        <c:v>#N/A</c:v>
                      </c:pt>
                      <c:pt idx="401">
                        <c:v>#N/A</c:v>
                      </c:pt>
                      <c:pt idx="402">
                        <c:v>#N/A</c:v>
                      </c:pt>
                      <c:pt idx="403">
                        <c:v>#N/A</c:v>
                      </c:pt>
                      <c:pt idx="404">
                        <c:v>#N/A</c:v>
                      </c:pt>
                      <c:pt idx="405">
                        <c:v>#N/A</c:v>
                      </c:pt>
                      <c:pt idx="406">
                        <c:v>#N/A</c:v>
                      </c:pt>
                      <c:pt idx="407">
                        <c:v>#N/A</c:v>
                      </c:pt>
                      <c:pt idx="408">
                        <c:v>#N/A</c:v>
                      </c:pt>
                      <c:pt idx="409">
                        <c:v>#N/A</c:v>
                      </c:pt>
                      <c:pt idx="410">
                        <c:v>#N/A</c:v>
                      </c:pt>
                      <c:pt idx="411">
                        <c:v>#N/A</c:v>
                      </c:pt>
                      <c:pt idx="412">
                        <c:v>#N/A</c:v>
                      </c:pt>
                      <c:pt idx="413">
                        <c:v>#N/A</c:v>
                      </c:pt>
                      <c:pt idx="414">
                        <c:v>#N/A</c:v>
                      </c:pt>
                      <c:pt idx="415">
                        <c:v>#N/A</c:v>
                      </c:pt>
                      <c:pt idx="416">
                        <c:v>#N/A</c:v>
                      </c:pt>
                      <c:pt idx="417">
                        <c:v>#N/A</c:v>
                      </c:pt>
                      <c:pt idx="418">
                        <c:v>#N/A</c:v>
                      </c:pt>
                      <c:pt idx="419">
                        <c:v>#N/A</c:v>
                      </c:pt>
                      <c:pt idx="420">
                        <c:v>#N/A</c:v>
                      </c:pt>
                      <c:pt idx="421">
                        <c:v>#N/A</c:v>
                      </c:pt>
                      <c:pt idx="422">
                        <c:v>#N/A</c:v>
                      </c:pt>
                      <c:pt idx="423">
                        <c:v>#N/A</c:v>
                      </c:pt>
                      <c:pt idx="424">
                        <c:v>#N/A</c:v>
                      </c:pt>
                      <c:pt idx="425">
                        <c:v>#N/A</c:v>
                      </c:pt>
                      <c:pt idx="426">
                        <c:v>#N/A</c:v>
                      </c:pt>
                      <c:pt idx="427">
                        <c:v>#N/A</c:v>
                      </c:pt>
                      <c:pt idx="428">
                        <c:v>#N/A</c:v>
                      </c:pt>
                      <c:pt idx="429">
                        <c:v>#N/A</c:v>
                      </c:pt>
                      <c:pt idx="430">
                        <c:v>#N/A</c:v>
                      </c:pt>
                      <c:pt idx="431">
                        <c:v>#N/A</c:v>
                      </c:pt>
                      <c:pt idx="432">
                        <c:v>#N/A</c:v>
                      </c:pt>
                      <c:pt idx="433">
                        <c:v>#N/A</c:v>
                      </c:pt>
                      <c:pt idx="434">
                        <c:v>#N/A</c:v>
                      </c:pt>
                      <c:pt idx="435">
                        <c:v>#N/A</c:v>
                      </c:pt>
                      <c:pt idx="436">
                        <c:v>#N/A</c:v>
                      </c:pt>
                      <c:pt idx="437">
                        <c:v>#N/A</c:v>
                      </c:pt>
                      <c:pt idx="438">
                        <c:v>#N/A</c:v>
                      </c:pt>
                      <c:pt idx="439">
                        <c:v>#N/A</c:v>
                      </c:pt>
                      <c:pt idx="440">
                        <c:v>#N/A</c:v>
                      </c:pt>
                      <c:pt idx="441">
                        <c:v>#N/A</c:v>
                      </c:pt>
                      <c:pt idx="442">
                        <c:v>#N/A</c:v>
                      </c:pt>
                      <c:pt idx="443">
                        <c:v>#N/A</c:v>
                      </c:pt>
                      <c:pt idx="444">
                        <c:v>#N/A</c:v>
                      </c:pt>
                      <c:pt idx="445">
                        <c:v>#N/A</c:v>
                      </c:pt>
                      <c:pt idx="446">
                        <c:v>#N/A</c:v>
                      </c:pt>
                      <c:pt idx="447">
                        <c:v>#N/A</c:v>
                      </c:pt>
                      <c:pt idx="448">
                        <c:v>#N/A</c:v>
                      </c:pt>
                      <c:pt idx="449">
                        <c:v>#N/A</c:v>
                      </c:pt>
                      <c:pt idx="450">
                        <c:v>#N/A</c:v>
                      </c:pt>
                      <c:pt idx="451">
                        <c:v>#N/A</c:v>
                      </c:pt>
                      <c:pt idx="452">
                        <c:v>#N/A</c:v>
                      </c:pt>
                      <c:pt idx="453">
                        <c:v>#N/A</c:v>
                      </c:pt>
                      <c:pt idx="454">
                        <c:v>#N/A</c:v>
                      </c:pt>
                      <c:pt idx="455">
                        <c:v>#N/A</c:v>
                      </c:pt>
                      <c:pt idx="456">
                        <c:v>#N/A</c:v>
                      </c:pt>
                      <c:pt idx="457">
                        <c:v>#N/A</c:v>
                      </c:pt>
                      <c:pt idx="458">
                        <c:v>#N/A</c:v>
                      </c:pt>
                      <c:pt idx="459">
                        <c:v>#N/A</c:v>
                      </c:pt>
                      <c:pt idx="460">
                        <c:v>#N/A</c:v>
                      </c:pt>
                      <c:pt idx="461">
                        <c:v>#N/A</c:v>
                      </c:pt>
                      <c:pt idx="462">
                        <c:v>#N/A</c:v>
                      </c:pt>
                      <c:pt idx="463">
                        <c:v>#N/A</c:v>
                      </c:pt>
                      <c:pt idx="464">
                        <c:v>#N/A</c:v>
                      </c:pt>
                      <c:pt idx="465">
                        <c:v>#N/A</c:v>
                      </c:pt>
                      <c:pt idx="466">
                        <c:v>#N/A</c:v>
                      </c:pt>
                      <c:pt idx="467">
                        <c:v>#N/A</c:v>
                      </c:pt>
                      <c:pt idx="468">
                        <c:v>#N/A</c:v>
                      </c:pt>
                      <c:pt idx="469">
                        <c:v>#N/A</c:v>
                      </c:pt>
                      <c:pt idx="470">
                        <c:v>#N/A</c:v>
                      </c:pt>
                      <c:pt idx="471">
                        <c:v>#N/A</c:v>
                      </c:pt>
                      <c:pt idx="472">
                        <c:v>#N/A</c:v>
                      </c:pt>
                      <c:pt idx="473">
                        <c:v>#N/A</c:v>
                      </c:pt>
                      <c:pt idx="474">
                        <c:v>#N/A</c:v>
                      </c:pt>
                      <c:pt idx="475">
                        <c:v>#N/A</c:v>
                      </c:pt>
                      <c:pt idx="476">
                        <c:v>#N/A</c:v>
                      </c:pt>
                      <c:pt idx="477">
                        <c:v>#N/A</c:v>
                      </c:pt>
                      <c:pt idx="478">
                        <c:v>#N/A</c:v>
                      </c:pt>
                      <c:pt idx="479">
                        <c:v>#N/A</c:v>
                      </c:pt>
                      <c:pt idx="480">
                        <c:v>#N/A</c:v>
                      </c:pt>
                      <c:pt idx="481">
                        <c:v>#N/A</c:v>
                      </c:pt>
                      <c:pt idx="482">
                        <c:v>#N/A</c:v>
                      </c:pt>
                      <c:pt idx="483">
                        <c:v>#N/A</c:v>
                      </c:pt>
                      <c:pt idx="484">
                        <c:v>#N/A</c:v>
                      </c:pt>
                      <c:pt idx="485">
                        <c:v>#N/A</c:v>
                      </c:pt>
                      <c:pt idx="486">
                        <c:v>#N/A</c:v>
                      </c:pt>
                      <c:pt idx="487">
                        <c:v>#N/A</c:v>
                      </c:pt>
                      <c:pt idx="488">
                        <c:v>#N/A</c:v>
                      </c:pt>
                      <c:pt idx="489">
                        <c:v>#N/A</c:v>
                      </c:pt>
                      <c:pt idx="490">
                        <c:v>#N/A</c:v>
                      </c:pt>
                      <c:pt idx="491">
                        <c:v>#N/A</c:v>
                      </c:pt>
                      <c:pt idx="492">
                        <c:v>#N/A</c:v>
                      </c:pt>
                      <c:pt idx="493">
                        <c:v>#N/A</c:v>
                      </c:pt>
                      <c:pt idx="494">
                        <c:v>#N/A</c:v>
                      </c:pt>
                      <c:pt idx="495">
                        <c:v>#N/A</c:v>
                      </c:pt>
                      <c:pt idx="496">
                        <c:v>#N/A</c:v>
                      </c:pt>
                      <c:pt idx="497">
                        <c:v>#N/A</c:v>
                      </c:pt>
                      <c:pt idx="498">
                        <c:v>#N/A</c:v>
                      </c:pt>
                      <c:pt idx="499">
                        <c:v>#N/A</c:v>
                      </c:pt>
                      <c:pt idx="500">
                        <c:v>#N/A</c:v>
                      </c:pt>
                      <c:pt idx="501">
                        <c:v>#N/A</c:v>
                      </c:pt>
                      <c:pt idx="502">
                        <c:v>#N/A</c:v>
                      </c:pt>
                      <c:pt idx="503">
                        <c:v>#N/A</c:v>
                      </c:pt>
                      <c:pt idx="504">
                        <c:v>#N/A</c:v>
                      </c:pt>
                      <c:pt idx="505">
                        <c:v>#N/A</c:v>
                      </c:pt>
                      <c:pt idx="506">
                        <c:v>#N/A</c:v>
                      </c:pt>
                      <c:pt idx="507">
                        <c:v>#N/A</c:v>
                      </c:pt>
                      <c:pt idx="508">
                        <c:v>#N/A</c:v>
                      </c:pt>
                      <c:pt idx="509">
                        <c:v>#N/A</c:v>
                      </c:pt>
                      <c:pt idx="510">
                        <c:v>#N/A</c:v>
                      </c:pt>
                      <c:pt idx="511">
                        <c:v>#N/A</c:v>
                      </c:pt>
                      <c:pt idx="512">
                        <c:v>#N/A</c:v>
                      </c:pt>
                      <c:pt idx="513">
                        <c:v>#N/A</c:v>
                      </c:pt>
                      <c:pt idx="514">
                        <c:v>#N/A</c:v>
                      </c:pt>
                      <c:pt idx="515">
                        <c:v>#N/A</c:v>
                      </c:pt>
                      <c:pt idx="516">
                        <c:v>#N/A</c:v>
                      </c:pt>
                      <c:pt idx="517">
                        <c:v>#N/A</c:v>
                      </c:pt>
                      <c:pt idx="518">
                        <c:v>#N/A</c:v>
                      </c:pt>
                      <c:pt idx="519">
                        <c:v>#N/A</c:v>
                      </c:pt>
                      <c:pt idx="520">
                        <c:v>#N/A</c:v>
                      </c:pt>
                      <c:pt idx="521">
                        <c:v>#N/A</c:v>
                      </c:pt>
                      <c:pt idx="522">
                        <c:v>#N/A</c:v>
                      </c:pt>
                      <c:pt idx="523">
                        <c:v>#N/A</c:v>
                      </c:pt>
                      <c:pt idx="524">
                        <c:v>#N/A</c:v>
                      </c:pt>
                      <c:pt idx="525">
                        <c:v>#N/A</c:v>
                      </c:pt>
                      <c:pt idx="526">
                        <c:v>#N/A</c:v>
                      </c:pt>
                      <c:pt idx="527">
                        <c:v>#N/A</c:v>
                      </c:pt>
                      <c:pt idx="528">
                        <c:v>#N/A</c:v>
                      </c:pt>
                      <c:pt idx="529">
                        <c:v>#N/A</c:v>
                      </c:pt>
                      <c:pt idx="530">
                        <c:v>#N/A</c:v>
                      </c:pt>
                      <c:pt idx="531">
                        <c:v>#N/A</c:v>
                      </c:pt>
                      <c:pt idx="532">
                        <c:v>#N/A</c:v>
                      </c:pt>
                      <c:pt idx="533">
                        <c:v>#N/A</c:v>
                      </c:pt>
                      <c:pt idx="534">
                        <c:v>#N/A</c:v>
                      </c:pt>
                      <c:pt idx="535">
                        <c:v>#N/A</c:v>
                      </c:pt>
                      <c:pt idx="536">
                        <c:v>#N/A</c:v>
                      </c:pt>
                      <c:pt idx="537">
                        <c:v>#N/A</c:v>
                      </c:pt>
                      <c:pt idx="538">
                        <c:v>#N/A</c:v>
                      </c:pt>
                      <c:pt idx="539">
                        <c:v>#N/A</c:v>
                      </c:pt>
                      <c:pt idx="540">
                        <c:v>#N/A</c:v>
                      </c:pt>
                      <c:pt idx="541">
                        <c:v>#N/A</c:v>
                      </c:pt>
                      <c:pt idx="542">
                        <c:v>#N/A</c:v>
                      </c:pt>
                      <c:pt idx="543">
                        <c:v>#N/A</c:v>
                      </c:pt>
                      <c:pt idx="544">
                        <c:v>#N/A</c:v>
                      </c:pt>
                      <c:pt idx="545">
                        <c:v>#N/A</c:v>
                      </c:pt>
                      <c:pt idx="546">
                        <c:v>#N/A</c:v>
                      </c:pt>
                      <c:pt idx="547">
                        <c:v>#N/A</c:v>
                      </c:pt>
                      <c:pt idx="548">
                        <c:v>#N/A</c:v>
                      </c:pt>
                      <c:pt idx="549">
                        <c:v>#N/A</c:v>
                      </c:pt>
                      <c:pt idx="550">
                        <c:v>#N/A</c:v>
                      </c:pt>
                      <c:pt idx="551">
                        <c:v>#N/A</c:v>
                      </c:pt>
                      <c:pt idx="552">
                        <c:v>#N/A</c:v>
                      </c:pt>
                      <c:pt idx="553">
                        <c:v>#N/A</c:v>
                      </c:pt>
                      <c:pt idx="554">
                        <c:v>#N/A</c:v>
                      </c:pt>
                      <c:pt idx="555">
                        <c:v>#N/A</c:v>
                      </c:pt>
                      <c:pt idx="556">
                        <c:v>#N/A</c:v>
                      </c:pt>
                      <c:pt idx="557">
                        <c:v>#N/A</c:v>
                      </c:pt>
                      <c:pt idx="558">
                        <c:v>#N/A</c:v>
                      </c:pt>
                      <c:pt idx="559">
                        <c:v>#N/A</c:v>
                      </c:pt>
                      <c:pt idx="560">
                        <c:v>#N/A</c:v>
                      </c:pt>
                      <c:pt idx="561">
                        <c:v>#N/A</c:v>
                      </c:pt>
                      <c:pt idx="562">
                        <c:v>#N/A</c:v>
                      </c:pt>
                      <c:pt idx="563">
                        <c:v>#N/A</c:v>
                      </c:pt>
                      <c:pt idx="564">
                        <c:v>#N/A</c:v>
                      </c:pt>
                      <c:pt idx="565">
                        <c:v>#N/A</c:v>
                      </c:pt>
                      <c:pt idx="566">
                        <c:v>#N/A</c:v>
                      </c:pt>
                      <c:pt idx="567">
                        <c:v>#N/A</c:v>
                      </c:pt>
                      <c:pt idx="568">
                        <c:v>#N/A</c:v>
                      </c:pt>
                      <c:pt idx="569">
                        <c:v>#N/A</c:v>
                      </c:pt>
                      <c:pt idx="570">
                        <c:v>#N/A</c:v>
                      </c:pt>
                      <c:pt idx="571">
                        <c:v>#N/A</c:v>
                      </c:pt>
                      <c:pt idx="572">
                        <c:v>#N/A</c:v>
                      </c:pt>
                      <c:pt idx="573">
                        <c:v>#N/A</c:v>
                      </c:pt>
                      <c:pt idx="574">
                        <c:v>#N/A</c:v>
                      </c:pt>
                      <c:pt idx="575">
                        <c:v>#N/A</c:v>
                      </c:pt>
                      <c:pt idx="576">
                        <c:v>#N/A</c:v>
                      </c:pt>
                      <c:pt idx="577">
                        <c:v>#N/A</c:v>
                      </c:pt>
                      <c:pt idx="578">
                        <c:v>#N/A</c:v>
                      </c:pt>
                      <c:pt idx="579">
                        <c:v>#N/A</c:v>
                      </c:pt>
                      <c:pt idx="580">
                        <c:v>#N/A</c:v>
                      </c:pt>
                      <c:pt idx="581">
                        <c:v>#N/A</c:v>
                      </c:pt>
                      <c:pt idx="582">
                        <c:v>#N/A</c:v>
                      </c:pt>
                      <c:pt idx="583">
                        <c:v>#N/A</c:v>
                      </c:pt>
                      <c:pt idx="584">
                        <c:v>#N/A</c:v>
                      </c:pt>
                      <c:pt idx="585">
                        <c:v>#N/A</c:v>
                      </c:pt>
                      <c:pt idx="586">
                        <c:v>#N/A</c:v>
                      </c:pt>
                      <c:pt idx="587">
                        <c:v>#N/A</c:v>
                      </c:pt>
                      <c:pt idx="588">
                        <c:v>#N/A</c:v>
                      </c:pt>
                      <c:pt idx="589">
                        <c:v>#N/A</c:v>
                      </c:pt>
                      <c:pt idx="590">
                        <c:v>#N/A</c:v>
                      </c:pt>
                      <c:pt idx="591">
                        <c:v>#N/A</c:v>
                      </c:pt>
                      <c:pt idx="592">
                        <c:v>#N/A</c:v>
                      </c:pt>
                      <c:pt idx="593">
                        <c:v>#N/A</c:v>
                      </c:pt>
                      <c:pt idx="594">
                        <c:v>#N/A</c:v>
                      </c:pt>
                      <c:pt idx="595">
                        <c:v>#N/A</c:v>
                      </c:pt>
                      <c:pt idx="596">
                        <c:v>#N/A</c:v>
                      </c:pt>
                      <c:pt idx="597">
                        <c:v>#N/A</c:v>
                      </c:pt>
                      <c:pt idx="598">
                        <c:v>#N/A</c:v>
                      </c:pt>
                      <c:pt idx="599">
                        <c:v>#N/A</c:v>
                      </c:pt>
                      <c:pt idx="600">
                        <c:v>5.3990966513188063E-2</c:v>
                      </c:pt>
                      <c:pt idx="601">
                        <c:v>#N/A</c:v>
                      </c:pt>
                      <c:pt idx="602">
                        <c:v>#N/A</c:v>
                      </c:pt>
                      <c:pt idx="603">
                        <c:v>#N/A</c:v>
                      </c:pt>
                      <c:pt idx="604">
                        <c:v>#N/A</c:v>
                      </c:pt>
                      <c:pt idx="605">
                        <c:v>#N/A</c:v>
                      </c:pt>
                      <c:pt idx="606">
                        <c:v>#N/A</c:v>
                      </c:pt>
                      <c:pt idx="607">
                        <c:v>#N/A</c:v>
                      </c:pt>
                      <c:pt idx="608">
                        <c:v>#N/A</c:v>
                      </c:pt>
                      <c:pt idx="609">
                        <c:v>#N/A</c:v>
                      </c:pt>
                      <c:pt idx="610">
                        <c:v>#N/A</c:v>
                      </c:pt>
                      <c:pt idx="611">
                        <c:v>#N/A</c:v>
                      </c:pt>
                      <c:pt idx="612">
                        <c:v>#N/A</c:v>
                      </c:pt>
                      <c:pt idx="613">
                        <c:v>#N/A</c:v>
                      </c:pt>
                      <c:pt idx="614">
                        <c:v>#N/A</c:v>
                      </c:pt>
                      <c:pt idx="615">
                        <c:v>#N/A</c:v>
                      </c:pt>
                      <c:pt idx="616">
                        <c:v>#N/A</c:v>
                      </c:pt>
                      <c:pt idx="617">
                        <c:v>#N/A</c:v>
                      </c:pt>
                      <c:pt idx="618">
                        <c:v>#N/A</c:v>
                      </c:pt>
                      <c:pt idx="619">
                        <c:v>#N/A</c:v>
                      </c:pt>
                      <c:pt idx="620">
                        <c:v>#N/A</c:v>
                      </c:pt>
                      <c:pt idx="621">
                        <c:v>#N/A</c:v>
                      </c:pt>
                      <c:pt idx="622">
                        <c:v>#N/A</c:v>
                      </c:pt>
                      <c:pt idx="623">
                        <c:v>#N/A</c:v>
                      </c:pt>
                      <c:pt idx="624">
                        <c:v>#N/A</c:v>
                      </c:pt>
                      <c:pt idx="625">
                        <c:v>#N/A</c:v>
                      </c:pt>
                      <c:pt idx="626">
                        <c:v>#N/A</c:v>
                      </c:pt>
                      <c:pt idx="627">
                        <c:v>#N/A</c:v>
                      </c:pt>
                      <c:pt idx="628">
                        <c:v>#N/A</c:v>
                      </c:pt>
                      <c:pt idx="629">
                        <c:v>#N/A</c:v>
                      </c:pt>
                      <c:pt idx="630">
                        <c:v>#N/A</c:v>
                      </c:pt>
                      <c:pt idx="631">
                        <c:v>#N/A</c:v>
                      </c:pt>
                      <c:pt idx="632">
                        <c:v>#N/A</c:v>
                      </c:pt>
                      <c:pt idx="633">
                        <c:v>#N/A</c:v>
                      </c:pt>
                      <c:pt idx="634">
                        <c:v>#N/A</c:v>
                      </c:pt>
                      <c:pt idx="635">
                        <c:v>#N/A</c:v>
                      </c:pt>
                      <c:pt idx="636">
                        <c:v>#N/A</c:v>
                      </c:pt>
                      <c:pt idx="637">
                        <c:v>#N/A</c:v>
                      </c:pt>
                      <c:pt idx="638">
                        <c:v>#N/A</c:v>
                      </c:pt>
                      <c:pt idx="639">
                        <c:v>#N/A</c:v>
                      </c:pt>
                      <c:pt idx="640">
                        <c:v>#N/A</c:v>
                      </c:pt>
                      <c:pt idx="641">
                        <c:v>#N/A</c:v>
                      </c:pt>
                      <c:pt idx="642">
                        <c:v>#N/A</c:v>
                      </c:pt>
                      <c:pt idx="643">
                        <c:v>#N/A</c:v>
                      </c:pt>
                      <c:pt idx="644">
                        <c:v>#N/A</c:v>
                      </c:pt>
                      <c:pt idx="645">
                        <c:v>#N/A</c:v>
                      </c:pt>
                      <c:pt idx="646">
                        <c:v>#N/A</c:v>
                      </c:pt>
                      <c:pt idx="647">
                        <c:v>#N/A</c:v>
                      </c:pt>
                      <c:pt idx="648">
                        <c:v>#N/A</c:v>
                      </c:pt>
                      <c:pt idx="649">
                        <c:v>#N/A</c:v>
                      </c:pt>
                      <c:pt idx="650">
                        <c:v>#N/A</c:v>
                      </c:pt>
                      <c:pt idx="651">
                        <c:v>#N/A</c:v>
                      </c:pt>
                      <c:pt idx="652">
                        <c:v>#N/A</c:v>
                      </c:pt>
                      <c:pt idx="653">
                        <c:v>#N/A</c:v>
                      </c:pt>
                      <c:pt idx="654">
                        <c:v>#N/A</c:v>
                      </c:pt>
                      <c:pt idx="655">
                        <c:v>#N/A</c:v>
                      </c:pt>
                      <c:pt idx="656">
                        <c:v>#N/A</c:v>
                      </c:pt>
                      <c:pt idx="657">
                        <c:v>#N/A</c:v>
                      </c:pt>
                      <c:pt idx="658">
                        <c:v>#N/A</c:v>
                      </c:pt>
                      <c:pt idx="659">
                        <c:v>#N/A</c:v>
                      </c:pt>
                      <c:pt idx="660">
                        <c:v>#N/A</c:v>
                      </c:pt>
                      <c:pt idx="661">
                        <c:v>#N/A</c:v>
                      </c:pt>
                      <c:pt idx="662">
                        <c:v>#N/A</c:v>
                      </c:pt>
                      <c:pt idx="663">
                        <c:v>#N/A</c:v>
                      </c:pt>
                      <c:pt idx="664">
                        <c:v>#N/A</c:v>
                      </c:pt>
                      <c:pt idx="665">
                        <c:v>#N/A</c:v>
                      </c:pt>
                      <c:pt idx="666">
                        <c:v>#N/A</c:v>
                      </c:pt>
                      <c:pt idx="667">
                        <c:v>#N/A</c:v>
                      </c:pt>
                      <c:pt idx="668">
                        <c:v>#N/A</c:v>
                      </c:pt>
                      <c:pt idx="669">
                        <c:v>#N/A</c:v>
                      </c:pt>
                      <c:pt idx="670">
                        <c:v>#N/A</c:v>
                      </c:pt>
                      <c:pt idx="671">
                        <c:v>#N/A</c:v>
                      </c:pt>
                      <c:pt idx="672">
                        <c:v>#N/A</c:v>
                      </c:pt>
                      <c:pt idx="673">
                        <c:v>#N/A</c:v>
                      </c:pt>
                      <c:pt idx="674">
                        <c:v>#N/A</c:v>
                      </c:pt>
                      <c:pt idx="675">
                        <c:v>#N/A</c:v>
                      </c:pt>
                      <c:pt idx="676">
                        <c:v>#N/A</c:v>
                      </c:pt>
                      <c:pt idx="677">
                        <c:v>#N/A</c:v>
                      </c:pt>
                      <c:pt idx="678">
                        <c:v>#N/A</c:v>
                      </c:pt>
                      <c:pt idx="679">
                        <c:v>#N/A</c:v>
                      </c:pt>
                      <c:pt idx="680">
                        <c:v>#N/A</c:v>
                      </c:pt>
                      <c:pt idx="681">
                        <c:v>#N/A</c:v>
                      </c:pt>
                      <c:pt idx="682">
                        <c:v>#N/A</c:v>
                      </c:pt>
                      <c:pt idx="683">
                        <c:v>#N/A</c:v>
                      </c:pt>
                      <c:pt idx="684">
                        <c:v>#N/A</c:v>
                      </c:pt>
                      <c:pt idx="685">
                        <c:v>#N/A</c:v>
                      </c:pt>
                      <c:pt idx="686">
                        <c:v>#N/A</c:v>
                      </c:pt>
                      <c:pt idx="687">
                        <c:v>#N/A</c:v>
                      </c:pt>
                      <c:pt idx="688">
                        <c:v>#N/A</c:v>
                      </c:pt>
                      <c:pt idx="689">
                        <c:v>#N/A</c:v>
                      </c:pt>
                      <c:pt idx="690">
                        <c:v>#N/A</c:v>
                      </c:pt>
                      <c:pt idx="691">
                        <c:v>#N/A</c:v>
                      </c:pt>
                      <c:pt idx="692">
                        <c:v>#N/A</c:v>
                      </c:pt>
                      <c:pt idx="693">
                        <c:v>#N/A</c:v>
                      </c:pt>
                      <c:pt idx="694">
                        <c:v>#N/A</c:v>
                      </c:pt>
                      <c:pt idx="695">
                        <c:v>#N/A</c:v>
                      </c:pt>
                      <c:pt idx="696">
                        <c:v>#N/A</c:v>
                      </c:pt>
                      <c:pt idx="697">
                        <c:v>#N/A</c:v>
                      </c:pt>
                      <c:pt idx="698">
                        <c:v>#N/A</c:v>
                      </c:pt>
                      <c:pt idx="699">
                        <c:v>#N/A</c:v>
                      </c:pt>
                      <c:pt idx="700">
                        <c:v>#N/A</c:v>
                      </c:pt>
                      <c:pt idx="701">
                        <c:v>#N/A</c:v>
                      </c:pt>
                      <c:pt idx="702">
                        <c:v>#N/A</c:v>
                      </c:pt>
                      <c:pt idx="703">
                        <c:v>#N/A</c:v>
                      </c:pt>
                      <c:pt idx="704">
                        <c:v>#N/A</c:v>
                      </c:pt>
                      <c:pt idx="705">
                        <c:v>#N/A</c:v>
                      </c:pt>
                      <c:pt idx="706">
                        <c:v>#N/A</c:v>
                      </c:pt>
                      <c:pt idx="707">
                        <c:v>#N/A</c:v>
                      </c:pt>
                      <c:pt idx="708">
                        <c:v>#N/A</c:v>
                      </c:pt>
                      <c:pt idx="709">
                        <c:v>#N/A</c:v>
                      </c:pt>
                      <c:pt idx="710">
                        <c:v>#N/A</c:v>
                      </c:pt>
                      <c:pt idx="711">
                        <c:v>#N/A</c:v>
                      </c:pt>
                      <c:pt idx="712">
                        <c:v>#N/A</c:v>
                      </c:pt>
                      <c:pt idx="713">
                        <c:v>#N/A</c:v>
                      </c:pt>
                      <c:pt idx="714">
                        <c:v>#N/A</c:v>
                      </c:pt>
                      <c:pt idx="715">
                        <c:v>#N/A</c:v>
                      </c:pt>
                      <c:pt idx="716">
                        <c:v>#N/A</c:v>
                      </c:pt>
                      <c:pt idx="717">
                        <c:v>#N/A</c:v>
                      </c:pt>
                      <c:pt idx="718">
                        <c:v>#N/A</c:v>
                      </c:pt>
                      <c:pt idx="719">
                        <c:v>#N/A</c:v>
                      </c:pt>
                      <c:pt idx="720">
                        <c:v>#N/A</c:v>
                      </c:pt>
                      <c:pt idx="721">
                        <c:v>#N/A</c:v>
                      </c:pt>
                      <c:pt idx="722">
                        <c:v>#N/A</c:v>
                      </c:pt>
                      <c:pt idx="723">
                        <c:v>#N/A</c:v>
                      </c:pt>
                      <c:pt idx="724">
                        <c:v>#N/A</c:v>
                      </c:pt>
                      <c:pt idx="725">
                        <c:v>#N/A</c:v>
                      </c:pt>
                      <c:pt idx="726">
                        <c:v>#N/A</c:v>
                      </c:pt>
                      <c:pt idx="727">
                        <c:v>#N/A</c:v>
                      </c:pt>
                      <c:pt idx="728">
                        <c:v>#N/A</c:v>
                      </c:pt>
                      <c:pt idx="729">
                        <c:v>#N/A</c:v>
                      </c:pt>
                      <c:pt idx="730">
                        <c:v>#N/A</c:v>
                      </c:pt>
                      <c:pt idx="731">
                        <c:v>#N/A</c:v>
                      </c:pt>
                      <c:pt idx="732">
                        <c:v>#N/A</c:v>
                      </c:pt>
                      <c:pt idx="733">
                        <c:v>#N/A</c:v>
                      </c:pt>
                      <c:pt idx="734">
                        <c:v>#N/A</c:v>
                      </c:pt>
                      <c:pt idx="735">
                        <c:v>#N/A</c:v>
                      </c:pt>
                      <c:pt idx="736">
                        <c:v>#N/A</c:v>
                      </c:pt>
                      <c:pt idx="737">
                        <c:v>#N/A</c:v>
                      </c:pt>
                      <c:pt idx="738">
                        <c:v>#N/A</c:v>
                      </c:pt>
                      <c:pt idx="739">
                        <c:v>#N/A</c:v>
                      </c:pt>
                      <c:pt idx="740">
                        <c:v>#N/A</c:v>
                      </c:pt>
                      <c:pt idx="741">
                        <c:v>#N/A</c:v>
                      </c:pt>
                      <c:pt idx="742">
                        <c:v>#N/A</c:v>
                      </c:pt>
                      <c:pt idx="743">
                        <c:v>#N/A</c:v>
                      </c:pt>
                      <c:pt idx="744">
                        <c:v>#N/A</c:v>
                      </c:pt>
                      <c:pt idx="745">
                        <c:v>#N/A</c:v>
                      </c:pt>
                      <c:pt idx="746">
                        <c:v>#N/A</c:v>
                      </c:pt>
                      <c:pt idx="747">
                        <c:v>#N/A</c:v>
                      </c:pt>
                      <c:pt idx="748">
                        <c:v>#N/A</c:v>
                      </c:pt>
                      <c:pt idx="749">
                        <c:v>#N/A</c:v>
                      </c:pt>
                      <c:pt idx="750">
                        <c:v>#N/A</c:v>
                      </c:pt>
                      <c:pt idx="751">
                        <c:v>#N/A</c:v>
                      </c:pt>
                      <c:pt idx="752">
                        <c:v>#N/A</c:v>
                      </c:pt>
                      <c:pt idx="753">
                        <c:v>#N/A</c:v>
                      </c:pt>
                      <c:pt idx="754">
                        <c:v>#N/A</c:v>
                      </c:pt>
                      <c:pt idx="755">
                        <c:v>#N/A</c:v>
                      </c:pt>
                      <c:pt idx="756">
                        <c:v>#N/A</c:v>
                      </c:pt>
                      <c:pt idx="757">
                        <c:v>#N/A</c:v>
                      </c:pt>
                      <c:pt idx="758">
                        <c:v>#N/A</c:v>
                      </c:pt>
                      <c:pt idx="759">
                        <c:v>#N/A</c:v>
                      </c:pt>
                      <c:pt idx="760">
                        <c:v>#N/A</c:v>
                      </c:pt>
                      <c:pt idx="761">
                        <c:v>#N/A</c:v>
                      </c:pt>
                      <c:pt idx="762">
                        <c:v>#N/A</c:v>
                      </c:pt>
                      <c:pt idx="763">
                        <c:v>#N/A</c:v>
                      </c:pt>
                      <c:pt idx="764">
                        <c:v>#N/A</c:v>
                      </c:pt>
                      <c:pt idx="765">
                        <c:v>#N/A</c:v>
                      </c:pt>
                      <c:pt idx="766">
                        <c:v>#N/A</c:v>
                      </c:pt>
                      <c:pt idx="767">
                        <c:v>#N/A</c:v>
                      </c:pt>
                      <c:pt idx="768">
                        <c:v>#N/A</c:v>
                      </c:pt>
                      <c:pt idx="769">
                        <c:v>#N/A</c:v>
                      </c:pt>
                      <c:pt idx="770">
                        <c:v>#N/A</c:v>
                      </c:pt>
                      <c:pt idx="771">
                        <c:v>#N/A</c:v>
                      </c:pt>
                      <c:pt idx="772">
                        <c:v>#N/A</c:v>
                      </c:pt>
                      <c:pt idx="773">
                        <c:v>#N/A</c:v>
                      </c:pt>
                      <c:pt idx="774">
                        <c:v>#N/A</c:v>
                      </c:pt>
                      <c:pt idx="775">
                        <c:v>#N/A</c:v>
                      </c:pt>
                      <c:pt idx="776">
                        <c:v>#N/A</c:v>
                      </c:pt>
                      <c:pt idx="777">
                        <c:v>#N/A</c:v>
                      </c:pt>
                      <c:pt idx="778">
                        <c:v>#N/A</c:v>
                      </c:pt>
                      <c:pt idx="779">
                        <c:v>#N/A</c:v>
                      </c:pt>
                      <c:pt idx="780">
                        <c:v>#N/A</c:v>
                      </c:pt>
                      <c:pt idx="781">
                        <c:v>#N/A</c:v>
                      </c:pt>
                      <c:pt idx="782">
                        <c:v>#N/A</c:v>
                      </c:pt>
                      <c:pt idx="783">
                        <c:v>#N/A</c:v>
                      </c:pt>
                      <c:pt idx="784">
                        <c:v>#N/A</c:v>
                      </c:pt>
                      <c:pt idx="785">
                        <c:v>#N/A</c:v>
                      </c:pt>
                      <c:pt idx="786">
                        <c:v>#N/A</c:v>
                      </c:pt>
                      <c:pt idx="787">
                        <c:v>#N/A</c:v>
                      </c:pt>
                      <c:pt idx="788">
                        <c:v>#N/A</c:v>
                      </c:pt>
                      <c:pt idx="789">
                        <c:v>#N/A</c:v>
                      </c:pt>
                      <c:pt idx="790">
                        <c:v>#N/A</c:v>
                      </c:pt>
                      <c:pt idx="791">
                        <c:v>#N/A</c:v>
                      </c:pt>
                      <c:pt idx="792">
                        <c:v>#N/A</c:v>
                      </c:pt>
                      <c:pt idx="793">
                        <c:v>#N/A</c:v>
                      </c:pt>
                      <c:pt idx="794">
                        <c:v>#N/A</c:v>
                      </c:pt>
                      <c:pt idx="795">
                        <c:v>#N/A</c:v>
                      </c:pt>
                      <c:pt idx="796">
                        <c:v>#N/A</c:v>
                      </c:pt>
                      <c:pt idx="797">
                        <c:v>#N/A</c:v>
                      </c:pt>
                      <c:pt idx="798">
                        <c:v>#N/A</c:v>
                      </c:pt>
                      <c:pt idx="799">
                        <c:v>#N/A</c:v>
                      </c:pt>
                      <c:pt idx="800">
                        <c:v>#N/A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262-4362-BAEE-249D3BFDF841}"/>
                  </c:ext>
                </c:extLst>
              </c15:ser>
            </c15:filteredLineSeries>
          </c:ext>
        </c:extLst>
      </c:lineChart>
      <c:catAx>
        <c:axId val="658051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2944"/>
        <c:crosses val="autoZero"/>
        <c:auto val="1"/>
        <c:lblAlgn val="ctr"/>
        <c:lblOffset val="100"/>
        <c:tickLblSkip val="100"/>
        <c:tickMarkSkip val="1"/>
        <c:noMultiLvlLbl val="0"/>
      </c:catAx>
      <c:valAx>
        <c:axId val="65805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805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1"/>
          <c:tx>
            <c:strRef>
              <c:f>'Лист1 (3)'!$S$2</c:f>
              <c:strCache>
                <c:ptCount val="1"/>
                <c:pt idx="0">
                  <c:v>Точки на графике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(3)'!$P$3:$P$803</c:f>
                <c:numCache>
                  <c:formatCode>General</c:formatCode>
                  <c:ptCount val="801"/>
                  <c:pt idx="0">
                    <c:v>0</c:v>
                  </c:pt>
                  <c:pt idx="1">
                    <c:v>9.9999999999997868E-3</c:v>
                  </c:pt>
                  <c:pt idx="2">
                    <c:v>2.0000000000000018E-2</c:v>
                  </c:pt>
                  <c:pt idx="3">
                    <c:v>2.9999999999999805E-2</c:v>
                  </c:pt>
                  <c:pt idx="4">
                    <c:v>4.0000000000000036E-2</c:v>
                  </c:pt>
                  <c:pt idx="5">
                    <c:v>4.9999999999999822E-2</c:v>
                  </c:pt>
                  <c:pt idx="6">
                    <c:v>6.0000000000000053E-2</c:v>
                  </c:pt>
                  <c:pt idx="7">
                    <c:v>6.999999999999984E-2</c:v>
                  </c:pt>
                  <c:pt idx="8">
                    <c:v>8.0000000000000071E-2</c:v>
                  </c:pt>
                  <c:pt idx="9">
                    <c:v>8.9999999999999858E-2</c:v>
                  </c:pt>
                  <c:pt idx="10">
                    <c:v>0.10000000000000009</c:v>
                  </c:pt>
                  <c:pt idx="11">
                    <c:v>0.10999999999999988</c:v>
                  </c:pt>
                  <c:pt idx="12">
                    <c:v>0.12000000000000011</c:v>
                  </c:pt>
                  <c:pt idx="13">
                    <c:v>0.12999999999999989</c:v>
                  </c:pt>
                  <c:pt idx="14">
                    <c:v>0.14000000000000012</c:v>
                  </c:pt>
                  <c:pt idx="15">
                    <c:v>0.14999999999999991</c:v>
                  </c:pt>
                  <c:pt idx="16">
                    <c:v>0.16000000000000014</c:v>
                  </c:pt>
                  <c:pt idx="17">
                    <c:v>0.16999999999999993</c:v>
                  </c:pt>
                  <c:pt idx="18">
                    <c:v>0.18000000000000016</c:v>
                  </c:pt>
                  <c:pt idx="19">
                    <c:v>0.18999999999999995</c:v>
                  </c:pt>
                  <c:pt idx="20">
                    <c:v>0.20000000000000018</c:v>
                  </c:pt>
                  <c:pt idx="21">
                    <c:v>0.20999999999999996</c:v>
                  </c:pt>
                  <c:pt idx="22">
                    <c:v>0.2200000000000002</c:v>
                  </c:pt>
                  <c:pt idx="23">
                    <c:v>0.22999999999999998</c:v>
                  </c:pt>
                  <c:pt idx="24">
                    <c:v>0.24000000000000021</c:v>
                  </c:pt>
                  <c:pt idx="25">
                    <c:v>0.25</c:v>
                  </c:pt>
                  <c:pt idx="26">
                    <c:v>0.25999999999999979</c:v>
                  </c:pt>
                  <c:pt idx="27">
                    <c:v>0.27</c:v>
                  </c:pt>
                  <c:pt idx="28">
                    <c:v>0.2799999999999998</c:v>
                  </c:pt>
                  <c:pt idx="29">
                    <c:v>0.29000000000000004</c:v>
                  </c:pt>
                  <c:pt idx="30">
                    <c:v>0.29999999999999982</c:v>
                  </c:pt>
                  <c:pt idx="31">
                    <c:v>0.31000000000000005</c:v>
                  </c:pt>
                  <c:pt idx="32">
                    <c:v>0.31999999999999984</c:v>
                  </c:pt>
                  <c:pt idx="33">
                    <c:v>0.33000000000000007</c:v>
                  </c:pt>
                  <c:pt idx="34">
                    <c:v>0.33999999999999986</c:v>
                  </c:pt>
                  <c:pt idx="35">
                    <c:v>0.35000000000000009</c:v>
                  </c:pt>
                  <c:pt idx="36">
                    <c:v>0.35999999999999988</c:v>
                  </c:pt>
                  <c:pt idx="37">
                    <c:v>0.37000000000000011</c:v>
                  </c:pt>
                  <c:pt idx="38">
                    <c:v>0.37999999999999989</c:v>
                  </c:pt>
                  <c:pt idx="39">
                    <c:v>0.39000000000000012</c:v>
                  </c:pt>
                  <c:pt idx="40">
                    <c:v>0.39999999999999991</c:v>
                  </c:pt>
                  <c:pt idx="41">
                    <c:v>0.41000000000000014</c:v>
                  </c:pt>
                  <c:pt idx="42">
                    <c:v>0.41999999999999993</c:v>
                  </c:pt>
                  <c:pt idx="43">
                    <c:v>0.43000000000000016</c:v>
                  </c:pt>
                  <c:pt idx="44">
                    <c:v>0.43999999999999995</c:v>
                  </c:pt>
                  <c:pt idx="45">
                    <c:v>0.45000000000000018</c:v>
                  </c:pt>
                  <c:pt idx="46">
                    <c:v>0.45999999999999996</c:v>
                  </c:pt>
                  <c:pt idx="47">
                    <c:v>0.4700000000000002</c:v>
                  </c:pt>
                  <c:pt idx="48">
                    <c:v>0.48</c:v>
                  </c:pt>
                  <c:pt idx="49">
                    <c:v>0.49000000000000021</c:v>
                  </c:pt>
                  <c:pt idx="50">
                    <c:v>0.5</c:v>
                  </c:pt>
                  <c:pt idx="51">
                    <c:v>0.50999999999999979</c:v>
                  </c:pt>
                  <c:pt idx="52">
                    <c:v>0.52</c:v>
                  </c:pt>
                  <c:pt idx="53">
                    <c:v>0.5299999999999998</c:v>
                  </c:pt>
                  <c:pt idx="54">
                    <c:v>0.54</c:v>
                  </c:pt>
                  <c:pt idx="55">
                    <c:v>0.54999999999999982</c:v>
                  </c:pt>
                  <c:pt idx="56">
                    <c:v>0.56000000000000005</c:v>
                  </c:pt>
                  <c:pt idx="57">
                    <c:v>0.56999999999999984</c:v>
                  </c:pt>
                  <c:pt idx="58">
                    <c:v>0.58000000000000007</c:v>
                  </c:pt>
                  <c:pt idx="59">
                    <c:v>0.58999999999999986</c:v>
                  </c:pt>
                  <c:pt idx="60">
                    <c:v>0.60000000000000009</c:v>
                  </c:pt>
                  <c:pt idx="61">
                    <c:v>0.60999999999999988</c:v>
                  </c:pt>
                  <c:pt idx="62">
                    <c:v>0.62000000000000011</c:v>
                  </c:pt>
                  <c:pt idx="63">
                    <c:v>0.62999999999999989</c:v>
                  </c:pt>
                  <c:pt idx="64">
                    <c:v>0.64000000000000012</c:v>
                  </c:pt>
                  <c:pt idx="65">
                    <c:v>0.64999999999999991</c:v>
                  </c:pt>
                  <c:pt idx="66">
                    <c:v>0.66000000000000014</c:v>
                  </c:pt>
                  <c:pt idx="67">
                    <c:v>0.66999999999999993</c:v>
                  </c:pt>
                  <c:pt idx="68">
                    <c:v>0.68000000000000016</c:v>
                  </c:pt>
                  <c:pt idx="69">
                    <c:v>0.69</c:v>
                  </c:pt>
                  <c:pt idx="70">
                    <c:v>0.70000000000000018</c:v>
                  </c:pt>
                  <c:pt idx="71">
                    <c:v>0.71</c:v>
                  </c:pt>
                  <c:pt idx="72">
                    <c:v>0.7200000000000002</c:v>
                  </c:pt>
                  <c:pt idx="73">
                    <c:v>0.73</c:v>
                  </c:pt>
                  <c:pt idx="74">
                    <c:v>0.74000000000000021</c:v>
                  </c:pt>
                  <c:pt idx="75">
                    <c:v>0.75</c:v>
                  </c:pt>
                  <c:pt idx="76">
                    <c:v>0.75999999999999979</c:v>
                  </c:pt>
                  <c:pt idx="77">
                    <c:v>0.77</c:v>
                  </c:pt>
                  <c:pt idx="78">
                    <c:v>0.7799999999999998</c:v>
                  </c:pt>
                  <c:pt idx="79">
                    <c:v>0.79</c:v>
                  </c:pt>
                  <c:pt idx="80">
                    <c:v>0.79999999999999982</c:v>
                  </c:pt>
                  <c:pt idx="81">
                    <c:v>0.81</c:v>
                  </c:pt>
                  <c:pt idx="82">
                    <c:v>0.81999999999999984</c:v>
                  </c:pt>
                  <c:pt idx="83">
                    <c:v>0.83000000000000007</c:v>
                  </c:pt>
                  <c:pt idx="84">
                    <c:v>0.83999999999999986</c:v>
                  </c:pt>
                  <c:pt idx="85">
                    <c:v>0.85000000000000009</c:v>
                  </c:pt>
                  <c:pt idx="86">
                    <c:v>0.85999999999999988</c:v>
                  </c:pt>
                  <c:pt idx="87">
                    <c:v>0.87000000000000011</c:v>
                  </c:pt>
                  <c:pt idx="88">
                    <c:v>0.87999999999999989</c:v>
                  </c:pt>
                  <c:pt idx="89">
                    <c:v>0.89000000000000012</c:v>
                  </c:pt>
                  <c:pt idx="90">
                    <c:v>0.89999999999999991</c:v>
                  </c:pt>
                  <c:pt idx="91">
                    <c:v>0.91000000000000014</c:v>
                  </c:pt>
                  <c:pt idx="92">
                    <c:v>0.91999999999999993</c:v>
                  </c:pt>
                  <c:pt idx="93">
                    <c:v>0.93000000000000016</c:v>
                  </c:pt>
                  <c:pt idx="94">
                    <c:v>0.94</c:v>
                  </c:pt>
                  <c:pt idx="95">
                    <c:v>0.95000000000000018</c:v>
                  </c:pt>
                  <c:pt idx="96">
                    <c:v>0.96</c:v>
                  </c:pt>
                  <c:pt idx="97">
                    <c:v>0.9700000000000002</c:v>
                  </c:pt>
                  <c:pt idx="98">
                    <c:v>0.98</c:v>
                  </c:pt>
                  <c:pt idx="99">
                    <c:v>0.99000000000000021</c:v>
                  </c:pt>
                  <c:pt idx="100">
                    <c:v>1</c:v>
                  </c:pt>
                  <c:pt idx="101">
                    <c:v>1.0099999999999998</c:v>
                  </c:pt>
                  <c:pt idx="102">
                    <c:v>1.02</c:v>
                  </c:pt>
                  <c:pt idx="103">
                    <c:v>1.0299999999999998</c:v>
                  </c:pt>
                  <c:pt idx="104">
                    <c:v>1.04</c:v>
                  </c:pt>
                  <c:pt idx="105">
                    <c:v>1.0499999999999998</c:v>
                  </c:pt>
                  <c:pt idx="106">
                    <c:v>1.06</c:v>
                  </c:pt>
                  <c:pt idx="107">
                    <c:v>1.0699999999999998</c:v>
                  </c:pt>
                  <c:pt idx="108">
                    <c:v>1.08</c:v>
                  </c:pt>
                  <c:pt idx="109">
                    <c:v>1.0899999999999999</c:v>
                  </c:pt>
                  <c:pt idx="110">
                    <c:v>1.1000000000000001</c:v>
                  </c:pt>
                  <c:pt idx="111">
                    <c:v>1.1099999999999999</c:v>
                  </c:pt>
                  <c:pt idx="112">
                    <c:v>1.1200000000000001</c:v>
                  </c:pt>
                  <c:pt idx="113">
                    <c:v>1.1299999999999999</c:v>
                  </c:pt>
                  <c:pt idx="114">
                    <c:v>1.1400000000000001</c:v>
                  </c:pt>
                  <c:pt idx="115">
                    <c:v>1.1499999999999999</c:v>
                  </c:pt>
                  <c:pt idx="116">
                    <c:v>1.1600000000000001</c:v>
                  </c:pt>
                  <c:pt idx="117">
                    <c:v>1.17</c:v>
                  </c:pt>
                  <c:pt idx="118">
                    <c:v>1.1800000000000002</c:v>
                  </c:pt>
                  <c:pt idx="119">
                    <c:v>1.19</c:v>
                  </c:pt>
                  <c:pt idx="120">
                    <c:v>1.2000000000000002</c:v>
                  </c:pt>
                  <c:pt idx="121">
                    <c:v>1.21</c:v>
                  </c:pt>
                  <c:pt idx="122">
                    <c:v>1.2200000000000002</c:v>
                  </c:pt>
                  <c:pt idx="123">
                    <c:v>1.23</c:v>
                  </c:pt>
                  <c:pt idx="124">
                    <c:v>1.2400000000000002</c:v>
                  </c:pt>
                  <c:pt idx="125">
                    <c:v>1.25</c:v>
                  </c:pt>
                  <c:pt idx="126">
                    <c:v>1.2599999999999998</c:v>
                  </c:pt>
                  <c:pt idx="127">
                    <c:v>1.27</c:v>
                  </c:pt>
                  <c:pt idx="128">
                    <c:v>1.2799999999999998</c:v>
                  </c:pt>
                  <c:pt idx="129">
                    <c:v>1.29</c:v>
                  </c:pt>
                  <c:pt idx="130">
                    <c:v>1.2999999999999998</c:v>
                  </c:pt>
                  <c:pt idx="131">
                    <c:v>1.31</c:v>
                  </c:pt>
                  <c:pt idx="132">
                    <c:v>1.3199999999999998</c:v>
                  </c:pt>
                  <c:pt idx="133">
                    <c:v>1.33</c:v>
                  </c:pt>
                  <c:pt idx="134">
                    <c:v>1.3399999999999999</c:v>
                  </c:pt>
                  <c:pt idx="135">
                    <c:v>1.35</c:v>
                  </c:pt>
                  <c:pt idx="136">
                    <c:v>1.3599999999999999</c:v>
                  </c:pt>
                  <c:pt idx="137">
                    <c:v>1.37</c:v>
                  </c:pt>
                  <c:pt idx="138">
                    <c:v>1.38</c:v>
                  </c:pt>
                  <c:pt idx="139">
                    <c:v>1.3900000000000001</c:v>
                  </c:pt>
                  <c:pt idx="140">
                    <c:v>1.4</c:v>
                  </c:pt>
                  <c:pt idx="141">
                    <c:v>1.4100000000000001</c:v>
                  </c:pt>
                  <c:pt idx="142">
                    <c:v>1.42</c:v>
                  </c:pt>
                  <c:pt idx="143">
                    <c:v>1.4300000000000002</c:v>
                  </c:pt>
                  <c:pt idx="144">
                    <c:v>1.44</c:v>
                  </c:pt>
                  <c:pt idx="145">
                    <c:v>1.4500000000000002</c:v>
                  </c:pt>
                  <c:pt idx="146">
                    <c:v>1.46</c:v>
                  </c:pt>
                  <c:pt idx="147">
                    <c:v>1.4700000000000002</c:v>
                  </c:pt>
                  <c:pt idx="148">
                    <c:v>1.48</c:v>
                  </c:pt>
                  <c:pt idx="149">
                    <c:v>1.4900000000000002</c:v>
                  </c:pt>
                  <c:pt idx="150">
                    <c:v>1.5</c:v>
                  </c:pt>
                  <c:pt idx="151">
                    <c:v>1.5099999999999998</c:v>
                  </c:pt>
                  <c:pt idx="152">
                    <c:v>1.52</c:v>
                  </c:pt>
                  <c:pt idx="153">
                    <c:v>1.5299999999999998</c:v>
                  </c:pt>
                  <c:pt idx="154">
                    <c:v>1.54</c:v>
                  </c:pt>
                  <c:pt idx="155">
                    <c:v>1.5499999999999998</c:v>
                  </c:pt>
                  <c:pt idx="156">
                    <c:v>1.56</c:v>
                  </c:pt>
                  <c:pt idx="157">
                    <c:v>1.5699999999999998</c:v>
                  </c:pt>
                  <c:pt idx="158">
                    <c:v>1.58</c:v>
                  </c:pt>
                  <c:pt idx="159">
                    <c:v>1.5899999999999999</c:v>
                  </c:pt>
                  <c:pt idx="160">
                    <c:v>1.6</c:v>
                  </c:pt>
                  <c:pt idx="161">
                    <c:v>1.6099999999999999</c:v>
                  </c:pt>
                  <c:pt idx="162">
                    <c:v>1.62</c:v>
                  </c:pt>
                  <c:pt idx="163">
                    <c:v>1.63</c:v>
                  </c:pt>
                  <c:pt idx="164">
                    <c:v>1.6400000000000001</c:v>
                  </c:pt>
                  <c:pt idx="165">
                    <c:v>1.65</c:v>
                  </c:pt>
                  <c:pt idx="166">
                    <c:v>1.6600000000000001</c:v>
                  </c:pt>
                  <c:pt idx="167">
                    <c:v>1.67</c:v>
                  </c:pt>
                  <c:pt idx="168">
                    <c:v>1.6800000000000002</c:v>
                  </c:pt>
                  <c:pt idx="169">
                    <c:v>1.69</c:v>
                  </c:pt>
                  <c:pt idx="170">
                    <c:v>1.7000000000000002</c:v>
                  </c:pt>
                  <c:pt idx="171">
                    <c:v>1.71</c:v>
                  </c:pt>
                  <c:pt idx="172">
                    <c:v>1.7200000000000002</c:v>
                  </c:pt>
                  <c:pt idx="173">
                    <c:v>1.73</c:v>
                  </c:pt>
                  <c:pt idx="174">
                    <c:v>1.7400000000000002</c:v>
                  </c:pt>
                  <c:pt idx="175">
                    <c:v>1.75</c:v>
                  </c:pt>
                  <c:pt idx="176">
                    <c:v>1.7599999999999998</c:v>
                  </c:pt>
                  <c:pt idx="177">
                    <c:v>1.77</c:v>
                  </c:pt>
                  <c:pt idx="178">
                    <c:v>1.7799999999999998</c:v>
                  </c:pt>
                  <c:pt idx="179">
                    <c:v>1.79</c:v>
                  </c:pt>
                  <c:pt idx="180">
                    <c:v>1.7999999999999998</c:v>
                  </c:pt>
                  <c:pt idx="181">
                    <c:v>1.81</c:v>
                  </c:pt>
                  <c:pt idx="182">
                    <c:v>1.8199999999999998</c:v>
                  </c:pt>
                  <c:pt idx="183">
                    <c:v>1.83</c:v>
                  </c:pt>
                  <c:pt idx="184">
                    <c:v>1.8399999999999999</c:v>
                  </c:pt>
                  <c:pt idx="185">
                    <c:v>1.85</c:v>
                  </c:pt>
                  <c:pt idx="186">
                    <c:v>1.8599999999999999</c:v>
                  </c:pt>
                  <c:pt idx="187">
                    <c:v>1.87</c:v>
                  </c:pt>
                  <c:pt idx="188">
                    <c:v>1.88</c:v>
                  </c:pt>
                  <c:pt idx="189">
                    <c:v>1.8900000000000001</c:v>
                  </c:pt>
                  <c:pt idx="190">
                    <c:v>1.9</c:v>
                  </c:pt>
                  <c:pt idx="191">
                    <c:v>1.9100000000000001</c:v>
                  </c:pt>
                  <c:pt idx="192">
                    <c:v>1.92</c:v>
                  </c:pt>
                  <c:pt idx="193">
                    <c:v>1.9300000000000002</c:v>
                  </c:pt>
                  <c:pt idx="194">
                    <c:v>1.94</c:v>
                  </c:pt>
                  <c:pt idx="195">
                    <c:v>1.9500000000000002</c:v>
                  </c:pt>
                  <c:pt idx="196">
                    <c:v>1.96</c:v>
                  </c:pt>
                  <c:pt idx="197">
                    <c:v>1.9700000000000002</c:v>
                  </c:pt>
                  <c:pt idx="198">
                    <c:v>1.98</c:v>
                  </c:pt>
                  <c:pt idx="199">
                    <c:v>1.9900000000000002</c:v>
                  </c:pt>
                  <c:pt idx="200">
                    <c:v>2</c:v>
                  </c:pt>
                  <c:pt idx="201">
                    <c:v>2.0099999999999998</c:v>
                  </c:pt>
                  <c:pt idx="202">
                    <c:v>2.02</c:v>
                  </c:pt>
                  <c:pt idx="203">
                    <c:v>2.0300000000000002</c:v>
                  </c:pt>
                  <c:pt idx="204">
                    <c:v>2.04</c:v>
                  </c:pt>
                  <c:pt idx="205">
                    <c:v>2.0499999999999998</c:v>
                  </c:pt>
                  <c:pt idx="206">
                    <c:v>2.06</c:v>
                  </c:pt>
                  <c:pt idx="207">
                    <c:v>2.0700000000000003</c:v>
                  </c:pt>
                  <c:pt idx="208">
                    <c:v>2.08</c:v>
                  </c:pt>
                  <c:pt idx="209">
                    <c:v>2.09</c:v>
                  </c:pt>
                  <c:pt idx="210">
                    <c:v>2.1</c:v>
                  </c:pt>
                  <c:pt idx="211">
                    <c:v>2.1100000000000003</c:v>
                  </c:pt>
                  <c:pt idx="212">
                    <c:v>2.12</c:v>
                  </c:pt>
                  <c:pt idx="213">
                    <c:v>2.13</c:v>
                  </c:pt>
                  <c:pt idx="214">
                    <c:v>2.1399999999999997</c:v>
                  </c:pt>
                  <c:pt idx="215">
                    <c:v>2.15</c:v>
                  </c:pt>
                  <c:pt idx="216">
                    <c:v>2.16</c:v>
                  </c:pt>
                  <c:pt idx="217">
                    <c:v>2.17</c:v>
                  </c:pt>
                  <c:pt idx="218">
                    <c:v>2.1799999999999997</c:v>
                  </c:pt>
                  <c:pt idx="219">
                    <c:v>2.19</c:v>
                  </c:pt>
                  <c:pt idx="220">
                    <c:v>2.2000000000000002</c:v>
                  </c:pt>
                  <c:pt idx="221">
                    <c:v>2.21</c:v>
                  </c:pt>
                  <c:pt idx="222">
                    <c:v>2.2199999999999998</c:v>
                  </c:pt>
                  <c:pt idx="223">
                    <c:v>2.23</c:v>
                  </c:pt>
                  <c:pt idx="224">
                    <c:v>2.2400000000000002</c:v>
                  </c:pt>
                  <c:pt idx="225">
                    <c:v>2.25</c:v>
                  </c:pt>
                  <c:pt idx="226">
                    <c:v>2.2599999999999998</c:v>
                  </c:pt>
                  <c:pt idx="227">
                    <c:v>2.27</c:v>
                  </c:pt>
                  <c:pt idx="228">
                    <c:v>2.2800000000000002</c:v>
                  </c:pt>
                  <c:pt idx="229">
                    <c:v>2.29</c:v>
                  </c:pt>
                  <c:pt idx="230">
                    <c:v>2.2999999999999998</c:v>
                  </c:pt>
                  <c:pt idx="231">
                    <c:v>2.31</c:v>
                  </c:pt>
                  <c:pt idx="232">
                    <c:v>2.3200000000000003</c:v>
                  </c:pt>
                  <c:pt idx="233">
                    <c:v>2.33</c:v>
                  </c:pt>
                  <c:pt idx="234">
                    <c:v>2.34</c:v>
                  </c:pt>
                  <c:pt idx="235">
                    <c:v>2.35</c:v>
                  </c:pt>
                  <c:pt idx="236">
                    <c:v>2.3600000000000003</c:v>
                  </c:pt>
                  <c:pt idx="237">
                    <c:v>2.37</c:v>
                  </c:pt>
                  <c:pt idx="238">
                    <c:v>2.38</c:v>
                  </c:pt>
                  <c:pt idx="239">
                    <c:v>2.3899999999999997</c:v>
                  </c:pt>
                  <c:pt idx="240">
                    <c:v>2.4</c:v>
                  </c:pt>
                  <c:pt idx="241">
                    <c:v>2.41</c:v>
                  </c:pt>
                  <c:pt idx="242">
                    <c:v>2.42</c:v>
                  </c:pt>
                  <c:pt idx="243">
                    <c:v>2.4299999999999997</c:v>
                  </c:pt>
                  <c:pt idx="244">
                    <c:v>2.44</c:v>
                  </c:pt>
                  <c:pt idx="245">
                    <c:v>2.4500000000000002</c:v>
                  </c:pt>
                  <c:pt idx="246">
                    <c:v>2.46</c:v>
                  </c:pt>
                  <c:pt idx="247">
                    <c:v>2.4699999999999998</c:v>
                  </c:pt>
                  <c:pt idx="248">
                    <c:v>2.48</c:v>
                  </c:pt>
                  <c:pt idx="249">
                    <c:v>2.4900000000000002</c:v>
                  </c:pt>
                  <c:pt idx="250">
                    <c:v>2.5</c:v>
                  </c:pt>
                  <c:pt idx="251">
                    <c:v>2.5099999999999998</c:v>
                  </c:pt>
                  <c:pt idx="252">
                    <c:v>2.52</c:v>
                  </c:pt>
                  <c:pt idx="253">
                    <c:v>2.5300000000000002</c:v>
                  </c:pt>
                  <c:pt idx="254">
                    <c:v>2.54</c:v>
                  </c:pt>
                  <c:pt idx="255">
                    <c:v>2.5499999999999998</c:v>
                  </c:pt>
                  <c:pt idx="256">
                    <c:v>2.56</c:v>
                  </c:pt>
                  <c:pt idx="257">
                    <c:v>2.5700000000000003</c:v>
                  </c:pt>
                  <c:pt idx="258">
                    <c:v>2.58</c:v>
                  </c:pt>
                  <c:pt idx="259">
                    <c:v>2.59</c:v>
                  </c:pt>
                  <c:pt idx="260">
                    <c:v>2.6</c:v>
                  </c:pt>
                  <c:pt idx="261">
                    <c:v>2.6100000000000003</c:v>
                  </c:pt>
                  <c:pt idx="262">
                    <c:v>2.62</c:v>
                  </c:pt>
                  <c:pt idx="263">
                    <c:v>2.63</c:v>
                  </c:pt>
                  <c:pt idx="264">
                    <c:v>2.6399999999999997</c:v>
                  </c:pt>
                  <c:pt idx="265">
                    <c:v>2.65</c:v>
                  </c:pt>
                  <c:pt idx="266">
                    <c:v>2.66</c:v>
                  </c:pt>
                  <c:pt idx="267">
                    <c:v>2.67</c:v>
                  </c:pt>
                  <c:pt idx="268">
                    <c:v>2.6799999999999997</c:v>
                  </c:pt>
                  <c:pt idx="269">
                    <c:v>2.69</c:v>
                  </c:pt>
                  <c:pt idx="270">
                    <c:v>2.7</c:v>
                  </c:pt>
                  <c:pt idx="271">
                    <c:v>2.71</c:v>
                  </c:pt>
                  <c:pt idx="272">
                    <c:v>2.7199999999999998</c:v>
                  </c:pt>
                  <c:pt idx="273">
                    <c:v>2.73</c:v>
                  </c:pt>
                  <c:pt idx="274">
                    <c:v>2.74</c:v>
                  </c:pt>
                  <c:pt idx="275">
                    <c:v>2.75</c:v>
                  </c:pt>
                  <c:pt idx="276">
                    <c:v>2.76</c:v>
                  </c:pt>
                  <c:pt idx="277">
                    <c:v>2.77</c:v>
                  </c:pt>
                  <c:pt idx="278">
                    <c:v>2.7800000000000002</c:v>
                  </c:pt>
                  <c:pt idx="279">
                    <c:v>2.79</c:v>
                  </c:pt>
                  <c:pt idx="280">
                    <c:v>2.8</c:v>
                  </c:pt>
                  <c:pt idx="281">
                    <c:v>2.81</c:v>
                  </c:pt>
                  <c:pt idx="282">
                    <c:v>2.8200000000000003</c:v>
                  </c:pt>
                  <c:pt idx="283">
                    <c:v>2.83</c:v>
                  </c:pt>
                  <c:pt idx="284">
                    <c:v>2.84</c:v>
                  </c:pt>
                  <c:pt idx="285">
                    <c:v>2.85</c:v>
                  </c:pt>
                  <c:pt idx="286">
                    <c:v>2.8600000000000003</c:v>
                  </c:pt>
                  <c:pt idx="287">
                    <c:v>2.87</c:v>
                  </c:pt>
                  <c:pt idx="288">
                    <c:v>2.88</c:v>
                  </c:pt>
                  <c:pt idx="289">
                    <c:v>2.8899999999999997</c:v>
                  </c:pt>
                  <c:pt idx="290">
                    <c:v>2.9</c:v>
                  </c:pt>
                  <c:pt idx="291">
                    <c:v>2.91</c:v>
                  </c:pt>
                  <c:pt idx="292">
                    <c:v>2.92</c:v>
                  </c:pt>
                  <c:pt idx="293">
                    <c:v>2.9299999999999997</c:v>
                  </c:pt>
                  <c:pt idx="294">
                    <c:v>2.94</c:v>
                  </c:pt>
                  <c:pt idx="295">
                    <c:v>2.95</c:v>
                  </c:pt>
                  <c:pt idx="296">
                    <c:v>2.96</c:v>
                  </c:pt>
                  <c:pt idx="297">
                    <c:v>2.9699999999999998</c:v>
                  </c:pt>
                  <c:pt idx="298">
                    <c:v>2.98</c:v>
                  </c:pt>
                  <c:pt idx="299">
                    <c:v>2.99</c:v>
                  </c:pt>
                  <c:pt idx="300">
                    <c:v>3</c:v>
                  </c:pt>
                  <c:pt idx="301">
                    <c:v>3.01</c:v>
                  </c:pt>
                  <c:pt idx="302">
                    <c:v>3.02</c:v>
                  </c:pt>
                  <c:pt idx="303">
                    <c:v>3.0300000000000002</c:v>
                  </c:pt>
                  <c:pt idx="304">
                    <c:v>3.04</c:v>
                  </c:pt>
                  <c:pt idx="305">
                    <c:v>3.05</c:v>
                  </c:pt>
                  <c:pt idx="306">
                    <c:v>3.06</c:v>
                  </c:pt>
                  <c:pt idx="307">
                    <c:v>3.07</c:v>
                  </c:pt>
                  <c:pt idx="308">
                    <c:v>3.08</c:v>
                  </c:pt>
                  <c:pt idx="309">
                    <c:v>3.09</c:v>
                  </c:pt>
                  <c:pt idx="310">
                    <c:v>3.1</c:v>
                  </c:pt>
                  <c:pt idx="311">
                    <c:v>3.11</c:v>
                  </c:pt>
                  <c:pt idx="312">
                    <c:v>3.12</c:v>
                  </c:pt>
                  <c:pt idx="313">
                    <c:v>3.13</c:v>
                  </c:pt>
                  <c:pt idx="314">
                    <c:v>3.14</c:v>
                  </c:pt>
                  <c:pt idx="315">
                    <c:v>3.15</c:v>
                  </c:pt>
                  <c:pt idx="316">
                    <c:v>3.16</c:v>
                  </c:pt>
                  <c:pt idx="317">
                    <c:v>3.17</c:v>
                  </c:pt>
                  <c:pt idx="318">
                    <c:v>3.18</c:v>
                  </c:pt>
                  <c:pt idx="319">
                    <c:v>3.19</c:v>
                  </c:pt>
                  <c:pt idx="320">
                    <c:v>3.2</c:v>
                  </c:pt>
                  <c:pt idx="321">
                    <c:v>3.21</c:v>
                  </c:pt>
                  <c:pt idx="322">
                    <c:v>3.2199999999999998</c:v>
                  </c:pt>
                  <c:pt idx="323">
                    <c:v>3.23</c:v>
                  </c:pt>
                  <c:pt idx="324">
                    <c:v>3.24</c:v>
                  </c:pt>
                  <c:pt idx="325">
                    <c:v>3.25</c:v>
                  </c:pt>
                  <c:pt idx="326">
                    <c:v>3.26</c:v>
                  </c:pt>
                  <c:pt idx="327">
                    <c:v>3.27</c:v>
                  </c:pt>
                  <c:pt idx="328">
                    <c:v>3.2800000000000002</c:v>
                  </c:pt>
                  <c:pt idx="329">
                    <c:v>3.29</c:v>
                  </c:pt>
                  <c:pt idx="330">
                    <c:v>3.3</c:v>
                  </c:pt>
                  <c:pt idx="331">
                    <c:v>3.31</c:v>
                  </c:pt>
                  <c:pt idx="332">
                    <c:v>3.32</c:v>
                  </c:pt>
                  <c:pt idx="333">
                    <c:v>3.33</c:v>
                  </c:pt>
                  <c:pt idx="334">
                    <c:v>3.34</c:v>
                  </c:pt>
                  <c:pt idx="335">
                    <c:v>3.35</c:v>
                  </c:pt>
                  <c:pt idx="336">
                    <c:v>3.36</c:v>
                  </c:pt>
                  <c:pt idx="337">
                    <c:v>3.37</c:v>
                  </c:pt>
                  <c:pt idx="338">
                    <c:v>3.38</c:v>
                  </c:pt>
                  <c:pt idx="339">
                    <c:v>3.39</c:v>
                  </c:pt>
                  <c:pt idx="340">
                    <c:v>3.4</c:v>
                  </c:pt>
                  <c:pt idx="341">
                    <c:v>3.41</c:v>
                  </c:pt>
                  <c:pt idx="342">
                    <c:v>3.42</c:v>
                  </c:pt>
                  <c:pt idx="343">
                    <c:v>3.43</c:v>
                  </c:pt>
                  <c:pt idx="344">
                    <c:v>3.44</c:v>
                  </c:pt>
                  <c:pt idx="345">
                    <c:v>3.45</c:v>
                  </c:pt>
                  <c:pt idx="346">
                    <c:v>3.46</c:v>
                  </c:pt>
                  <c:pt idx="347">
                    <c:v>3.4699999999999998</c:v>
                  </c:pt>
                  <c:pt idx="348">
                    <c:v>3.48</c:v>
                  </c:pt>
                  <c:pt idx="349">
                    <c:v>3.49</c:v>
                  </c:pt>
                  <c:pt idx="350">
                    <c:v>3.5</c:v>
                  </c:pt>
                  <c:pt idx="351">
                    <c:v>3.51</c:v>
                  </c:pt>
                  <c:pt idx="352">
                    <c:v>3.52</c:v>
                  </c:pt>
                  <c:pt idx="353">
                    <c:v>3.5300000000000002</c:v>
                  </c:pt>
                  <c:pt idx="354">
                    <c:v>3.54</c:v>
                  </c:pt>
                  <c:pt idx="355">
                    <c:v>3.55</c:v>
                  </c:pt>
                  <c:pt idx="356">
                    <c:v>3.56</c:v>
                  </c:pt>
                  <c:pt idx="357">
                    <c:v>3.57</c:v>
                  </c:pt>
                  <c:pt idx="358">
                    <c:v>3.58</c:v>
                  </c:pt>
                  <c:pt idx="359">
                    <c:v>3.59</c:v>
                  </c:pt>
                  <c:pt idx="360">
                    <c:v>3.6</c:v>
                  </c:pt>
                  <c:pt idx="361">
                    <c:v>3.61</c:v>
                  </c:pt>
                  <c:pt idx="362">
                    <c:v>3.62</c:v>
                  </c:pt>
                  <c:pt idx="363">
                    <c:v>3.63</c:v>
                  </c:pt>
                  <c:pt idx="364">
                    <c:v>3.64</c:v>
                  </c:pt>
                  <c:pt idx="365">
                    <c:v>3.65</c:v>
                  </c:pt>
                  <c:pt idx="366">
                    <c:v>3.66</c:v>
                  </c:pt>
                  <c:pt idx="367">
                    <c:v>3.67</c:v>
                  </c:pt>
                  <c:pt idx="368">
                    <c:v>3.68</c:v>
                  </c:pt>
                  <c:pt idx="369">
                    <c:v>3.69</c:v>
                  </c:pt>
                  <c:pt idx="370">
                    <c:v>3.7</c:v>
                  </c:pt>
                  <c:pt idx="371">
                    <c:v>3.71</c:v>
                  </c:pt>
                  <c:pt idx="372">
                    <c:v>3.7199999999999998</c:v>
                  </c:pt>
                  <c:pt idx="373">
                    <c:v>3.73</c:v>
                  </c:pt>
                  <c:pt idx="374">
                    <c:v>3.74</c:v>
                  </c:pt>
                  <c:pt idx="375">
                    <c:v>3.75</c:v>
                  </c:pt>
                  <c:pt idx="376">
                    <c:v>3.76</c:v>
                  </c:pt>
                  <c:pt idx="377">
                    <c:v>3.77</c:v>
                  </c:pt>
                  <c:pt idx="378">
                    <c:v>3.78</c:v>
                  </c:pt>
                  <c:pt idx="379">
                    <c:v>3.79</c:v>
                  </c:pt>
                  <c:pt idx="380">
                    <c:v>3.8</c:v>
                  </c:pt>
                  <c:pt idx="381">
                    <c:v>3.81</c:v>
                  </c:pt>
                  <c:pt idx="382">
                    <c:v>3.82</c:v>
                  </c:pt>
                  <c:pt idx="383">
                    <c:v>3.83</c:v>
                  </c:pt>
                  <c:pt idx="384">
                    <c:v>3.84</c:v>
                  </c:pt>
                  <c:pt idx="385">
                    <c:v>3.85</c:v>
                  </c:pt>
                  <c:pt idx="386">
                    <c:v>3.86</c:v>
                  </c:pt>
                  <c:pt idx="387">
                    <c:v>3.87</c:v>
                  </c:pt>
                  <c:pt idx="388">
                    <c:v>3.88</c:v>
                  </c:pt>
                  <c:pt idx="389">
                    <c:v>3.89</c:v>
                  </c:pt>
                  <c:pt idx="390">
                    <c:v>3.9</c:v>
                  </c:pt>
                  <c:pt idx="391">
                    <c:v>3.91</c:v>
                  </c:pt>
                  <c:pt idx="392">
                    <c:v>3.92</c:v>
                  </c:pt>
                  <c:pt idx="393">
                    <c:v>3.93</c:v>
                  </c:pt>
                  <c:pt idx="394">
                    <c:v>3.94</c:v>
                  </c:pt>
                  <c:pt idx="395">
                    <c:v>3.95</c:v>
                  </c:pt>
                  <c:pt idx="396">
                    <c:v>3.96</c:v>
                  </c:pt>
                  <c:pt idx="397">
                    <c:v>3.97</c:v>
                  </c:pt>
                  <c:pt idx="398">
                    <c:v>3.98</c:v>
                  </c:pt>
                  <c:pt idx="399">
                    <c:v>3.99</c:v>
                  </c:pt>
                  <c:pt idx="400">
                    <c:v>4</c:v>
                  </c:pt>
                  <c:pt idx="401">
                    <c:v>4.01</c:v>
                  </c:pt>
                  <c:pt idx="402">
                    <c:v>4.0199999999999996</c:v>
                  </c:pt>
                  <c:pt idx="403">
                    <c:v>4.03</c:v>
                  </c:pt>
                  <c:pt idx="404">
                    <c:v>4.04</c:v>
                  </c:pt>
                  <c:pt idx="405">
                    <c:v>4.05</c:v>
                  </c:pt>
                  <c:pt idx="406">
                    <c:v>4.0599999999999996</c:v>
                  </c:pt>
                  <c:pt idx="407">
                    <c:v>4.07</c:v>
                  </c:pt>
                  <c:pt idx="408">
                    <c:v>4.08</c:v>
                  </c:pt>
                  <c:pt idx="409">
                    <c:v>4.09</c:v>
                  </c:pt>
                  <c:pt idx="410">
                    <c:v>4.0999999999999996</c:v>
                  </c:pt>
                  <c:pt idx="411">
                    <c:v>4.1100000000000003</c:v>
                  </c:pt>
                  <c:pt idx="412">
                    <c:v>4.12</c:v>
                  </c:pt>
                  <c:pt idx="413">
                    <c:v>4.13</c:v>
                  </c:pt>
                  <c:pt idx="414">
                    <c:v>4.1399999999999997</c:v>
                  </c:pt>
                  <c:pt idx="415">
                    <c:v>4.1500000000000004</c:v>
                  </c:pt>
                  <c:pt idx="416">
                    <c:v>4.16</c:v>
                  </c:pt>
                  <c:pt idx="417">
                    <c:v>4.17</c:v>
                  </c:pt>
                  <c:pt idx="418">
                    <c:v>4.18</c:v>
                  </c:pt>
                  <c:pt idx="419">
                    <c:v>4.1900000000000004</c:v>
                  </c:pt>
                  <c:pt idx="420">
                    <c:v>4.2</c:v>
                  </c:pt>
                  <c:pt idx="421">
                    <c:v>4.21</c:v>
                  </c:pt>
                  <c:pt idx="422">
                    <c:v>4.22</c:v>
                  </c:pt>
                  <c:pt idx="423">
                    <c:v>4.2300000000000004</c:v>
                  </c:pt>
                  <c:pt idx="424">
                    <c:v>4.24</c:v>
                  </c:pt>
                  <c:pt idx="425">
                    <c:v>4.25</c:v>
                  </c:pt>
                  <c:pt idx="426">
                    <c:v>4.26</c:v>
                  </c:pt>
                  <c:pt idx="427">
                    <c:v>4.2699999999999996</c:v>
                  </c:pt>
                  <c:pt idx="428">
                    <c:v>4.28</c:v>
                  </c:pt>
                  <c:pt idx="429">
                    <c:v>4.29</c:v>
                  </c:pt>
                  <c:pt idx="430">
                    <c:v>4.3</c:v>
                  </c:pt>
                  <c:pt idx="431">
                    <c:v>4.3099999999999996</c:v>
                  </c:pt>
                  <c:pt idx="432">
                    <c:v>4.32</c:v>
                  </c:pt>
                  <c:pt idx="433">
                    <c:v>4.33</c:v>
                  </c:pt>
                  <c:pt idx="434">
                    <c:v>4.34</c:v>
                  </c:pt>
                  <c:pt idx="435">
                    <c:v>4.3499999999999996</c:v>
                  </c:pt>
                  <c:pt idx="436">
                    <c:v>4.3600000000000003</c:v>
                  </c:pt>
                  <c:pt idx="437">
                    <c:v>4.37</c:v>
                  </c:pt>
                  <c:pt idx="438">
                    <c:v>4.38</c:v>
                  </c:pt>
                  <c:pt idx="439">
                    <c:v>4.3899999999999997</c:v>
                  </c:pt>
                  <c:pt idx="440">
                    <c:v>4.4000000000000004</c:v>
                  </c:pt>
                  <c:pt idx="441">
                    <c:v>4.41</c:v>
                  </c:pt>
                  <c:pt idx="442">
                    <c:v>4.42</c:v>
                  </c:pt>
                  <c:pt idx="443">
                    <c:v>4.43</c:v>
                  </c:pt>
                  <c:pt idx="444">
                    <c:v>4.4400000000000004</c:v>
                  </c:pt>
                  <c:pt idx="445">
                    <c:v>4.45</c:v>
                  </c:pt>
                  <c:pt idx="446">
                    <c:v>4.46</c:v>
                  </c:pt>
                  <c:pt idx="447">
                    <c:v>4.47</c:v>
                  </c:pt>
                  <c:pt idx="448">
                    <c:v>4.4800000000000004</c:v>
                  </c:pt>
                  <c:pt idx="449">
                    <c:v>4.49</c:v>
                  </c:pt>
                  <c:pt idx="450">
                    <c:v>4.5</c:v>
                  </c:pt>
                  <c:pt idx="451">
                    <c:v>4.51</c:v>
                  </c:pt>
                  <c:pt idx="452">
                    <c:v>4.5199999999999996</c:v>
                  </c:pt>
                  <c:pt idx="453">
                    <c:v>4.53</c:v>
                  </c:pt>
                  <c:pt idx="454">
                    <c:v>4.54</c:v>
                  </c:pt>
                  <c:pt idx="455">
                    <c:v>4.55</c:v>
                  </c:pt>
                  <c:pt idx="456">
                    <c:v>4.5600000000000005</c:v>
                  </c:pt>
                  <c:pt idx="457">
                    <c:v>4.57</c:v>
                  </c:pt>
                  <c:pt idx="458">
                    <c:v>4.58</c:v>
                  </c:pt>
                  <c:pt idx="459">
                    <c:v>4.59</c:v>
                  </c:pt>
                  <c:pt idx="460">
                    <c:v>4.5999999999999996</c:v>
                  </c:pt>
                  <c:pt idx="461">
                    <c:v>4.6100000000000003</c:v>
                  </c:pt>
                  <c:pt idx="462">
                    <c:v>4.62</c:v>
                  </c:pt>
                  <c:pt idx="463">
                    <c:v>4.63</c:v>
                  </c:pt>
                  <c:pt idx="464">
                    <c:v>4.6399999999999997</c:v>
                  </c:pt>
                  <c:pt idx="465">
                    <c:v>4.6500000000000004</c:v>
                  </c:pt>
                  <c:pt idx="466">
                    <c:v>4.66</c:v>
                  </c:pt>
                  <c:pt idx="467">
                    <c:v>4.67</c:v>
                  </c:pt>
                  <c:pt idx="468">
                    <c:v>4.68</c:v>
                  </c:pt>
                  <c:pt idx="469">
                    <c:v>4.6899999999999995</c:v>
                  </c:pt>
                  <c:pt idx="470">
                    <c:v>4.7</c:v>
                  </c:pt>
                  <c:pt idx="471">
                    <c:v>4.71</c:v>
                  </c:pt>
                  <c:pt idx="472">
                    <c:v>4.72</c:v>
                  </c:pt>
                  <c:pt idx="473">
                    <c:v>4.7300000000000004</c:v>
                  </c:pt>
                  <c:pt idx="474">
                    <c:v>4.74</c:v>
                  </c:pt>
                  <c:pt idx="475">
                    <c:v>4.75</c:v>
                  </c:pt>
                  <c:pt idx="476">
                    <c:v>4.76</c:v>
                  </c:pt>
                  <c:pt idx="477">
                    <c:v>4.7699999999999996</c:v>
                  </c:pt>
                  <c:pt idx="478">
                    <c:v>4.78</c:v>
                  </c:pt>
                  <c:pt idx="479">
                    <c:v>4.79</c:v>
                  </c:pt>
                  <c:pt idx="480">
                    <c:v>4.8</c:v>
                  </c:pt>
                  <c:pt idx="481">
                    <c:v>4.8100000000000005</c:v>
                  </c:pt>
                  <c:pt idx="482">
                    <c:v>4.82</c:v>
                  </c:pt>
                  <c:pt idx="483">
                    <c:v>4.83</c:v>
                  </c:pt>
                  <c:pt idx="484">
                    <c:v>4.84</c:v>
                  </c:pt>
                  <c:pt idx="485">
                    <c:v>4.8499999999999996</c:v>
                  </c:pt>
                  <c:pt idx="486">
                    <c:v>4.8600000000000003</c:v>
                  </c:pt>
                  <c:pt idx="487">
                    <c:v>4.87</c:v>
                  </c:pt>
                  <c:pt idx="488">
                    <c:v>4.88</c:v>
                  </c:pt>
                  <c:pt idx="489">
                    <c:v>4.8899999999999997</c:v>
                  </c:pt>
                  <c:pt idx="490">
                    <c:v>4.9000000000000004</c:v>
                  </c:pt>
                  <c:pt idx="491">
                    <c:v>4.91</c:v>
                  </c:pt>
                  <c:pt idx="492">
                    <c:v>4.92</c:v>
                  </c:pt>
                  <c:pt idx="493">
                    <c:v>4.93</c:v>
                  </c:pt>
                  <c:pt idx="494">
                    <c:v>4.9399999999999995</c:v>
                  </c:pt>
                  <c:pt idx="495">
                    <c:v>4.95</c:v>
                  </c:pt>
                  <c:pt idx="496">
                    <c:v>4.96</c:v>
                  </c:pt>
                  <c:pt idx="497">
                    <c:v>4.97</c:v>
                  </c:pt>
                  <c:pt idx="498">
                    <c:v>4.9800000000000004</c:v>
                  </c:pt>
                  <c:pt idx="499">
                    <c:v>4.99</c:v>
                  </c:pt>
                  <c:pt idx="500">
                    <c:v>5</c:v>
                  </c:pt>
                  <c:pt idx="501">
                    <c:v>5.01</c:v>
                  </c:pt>
                  <c:pt idx="502">
                    <c:v>5.0199999999999996</c:v>
                  </c:pt>
                  <c:pt idx="503">
                    <c:v>5.03</c:v>
                  </c:pt>
                  <c:pt idx="504">
                    <c:v>5.04</c:v>
                  </c:pt>
                  <c:pt idx="505">
                    <c:v>5.05</c:v>
                  </c:pt>
                  <c:pt idx="506">
                    <c:v>5.0600000000000005</c:v>
                  </c:pt>
                  <c:pt idx="507">
                    <c:v>5.07</c:v>
                  </c:pt>
                  <c:pt idx="508">
                    <c:v>5.08</c:v>
                  </c:pt>
                  <c:pt idx="509">
                    <c:v>5.09</c:v>
                  </c:pt>
                  <c:pt idx="510">
                    <c:v>5.0999999999999996</c:v>
                  </c:pt>
                  <c:pt idx="511">
                    <c:v>5.1100000000000003</c:v>
                  </c:pt>
                  <c:pt idx="512">
                    <c:v>5.12</c:v>
                  </c:pt>
                  <c:pt idx="513">
                    <c:v>5.13</c:v>
                  </c:pt>
                  <c:pt idx="514">
                    <c:v>5.14</c:v>
                  </c:pt>
                  <c:pt idx="515">
                    <c:v>5.15</c:v>
                  </c:pt>
                  <c:pt idx="516">
                    <c:v>5.16</c:v>
                  </c:pt>
                  <c:pt idx="517">
                    <c:v>5.17</c:v>
                  </c:pt>
                  <c:pt idx="518">
                    <c:v>5.18</c:v>
                  </c:pt>
                  <c:pt idx="519">
                    <c:v>5.1899999999999995</c:v>
                  </c:pt>
                  <c:pt idx="520">
                    <c:v>5.2</c:v>
                  </c:pt>
                  <c:pt idx="521">
                    <c:v>5.21</c:v>
                  </c:pt>
                  <c:pt idx="522">
                    <c:v>5.22</c:v>
                  </c:pt>
                  <c:pt idx="523">
                    <c:v>5.23</c:v>
                  </c:pt>
                  <c:pt idx="524">
                    <c:v>5.24</c:v>
                  </c:pt>
                  <c:pt idx="525">
                    <c:v>5.25</c:v>
                  </c:pt>
                  <c:pt idx="526">
                    <c:v>5.26</c:v>
                  </c:pt>
                  <c:pt idx="527">
                    <c:v>5.27</c:v>
                  </c:pt>
                  <c:pt idx="528">
                    <c:v>5.28</c:v>
                  </c:pt>
                  <c:pt idx="529">
                    <c:v>5.29</c:v>
                  </c:pt>
                  <c:pt idx="530">
                    <c:v>5.3</c:v>
                  </c:pt>
                  <c:pt idx="531">
                    <c:v>5.3100000000000005</c:v>
                  </c:pt>
                  <c:pt idx="532">
                    <c:v>5.32</c:v>
                  </c:pt>
                  <c:pt idx="533">
                    <c:v>5.33</c:v>
                  </c:pt>
                  <c:pt idx="534">
                    <c:v>5.34</c:v>
                  </c:pt>
                  <c:pt idx="535">
                    <c:v>5.35</c:v>
                  </c:pt>
                  <c:pt idx="536">
                    <c:v>5.36</c:v>
                  </c:pt>
                  <c:pt idx="537">
                    <c:v>5.37</c:v>
                  </c:pt>
                  <c:pt idx="538">
                    <c:v>5.38</c:v>
                  </c:pt>
                  <c:pt idx="539">
                    <c:v>5.39</c:v>
                  </c:pt>
                  <c:pt idx="540">
                    <c:v>5.4</c:v>
                  </c:pt>
                  <c:pt idx="541">
                    <c:v>5.41</c:v>
                  </c:pt>
                  <c:pt idx="542">
                    <c:v>5.42</c:v>
                  </c:pt>
                  <c:pt idx="543">
                    <c:v>5.43</c:v>
                  </c:pt>
                  <c:pt idx="544">
                    <c:v>5.4399999999999995</c:v>
                  </c:pt>
                  <c:pt idx="545">
                    <c:v>5.45</c:v>
                  </c:pt>
                  <c:pt idx="546">
                    <c:v>5.46</c:v>
                  </c:pt>
                  <c:pt idx="547">
                    <c:v>5.47</c:v>
                  </c:pt>
                  <c:pt idx="548">
                    <c:v>5.48</c:v>
                  </c:pt>
                  <c:pt idx="549">
                    <c:v>5.49</c:v>
                  </c:pt>
                  <c:pt idx="550">
                    <c:v>5.5</c:v>
                  </c:pt>
                  <c:pt idx="551">
                    <c:v>5.51</c:v>
                  </c:pt>
                  <c:pt idx="552">
                    <c:v>5.52</c:v>
                  </c:pt>
                  <c:pt idx="553">
                    <c:v>5.53</c:v>
                  </c:pt>
                  <c:pt idx="554">
                    <c:v>5.54</c:v>
                  </c:pt>
                  <c:pt idx="555">
                    <c:v>5.55</c:v>
                  </c:pt>
                  <c:pt idx="556">
                    <c:v>5.5600000000000005</c:v>
                  </c:pt>
                  <c:pt idx="557">
                    <c:v>5.57</c:v>
                  </c:pt>
                  <c:pt idx="558">
                    <c:v>5.58</c:v>
                  </c:pt>
                  <c:pt idx="559">
                    <c:v>5.59</c:v>
                  </c:pt>
                  <c:pt idx="560">
                    <c:v>5.6</c:v>
                  </c:pt>
                  <c:pt idx="561">
                    <c:v>5.61</c:v>
                  </c:pt>
                  <c:pt idx="562">
                    <c:v>5.62</c:v>
                  </c:pt>
                  <c:pt idx="563">
                    <c:v>5.63</c:v>
                  </c:pt>
                  <c:pt idx="564">
                    <c:v>5.64</c:v>
                  </c:pt>
                  <c:pt idx="565">
                    <c:v>5.65</c:v>
                  </c:pt>
                  <c:pt idx="566">
                    <c:v>5.66</c:v>
                  </c:pt>
                  <c:pt idx="567">
                    <c:v>5.67</c:v>
                  </c:pt>
                  <c:pt idx="568">
                    <c:v>5.68</c:v>
                  </c:pt>
                  <c:pt idx="569">
                    <c:v>5.6899999999999995</c:v>
                  </c:pt>
                  <c:pt idx="570">
                    <c:v>5.7</c:v>
                  </c:pt>
                  <c:pt idx="571">
                    <c:v>5.71</c:v>
                  </c:pt>
                  <c:pt idx="572">
                    <c:v>5.72</c:v>
                  </c:pt>
                  <c:pt idx="573">
                    <c:v>5.73</c:v>
                  </c:pt>
                  <c:pt idx="574">
                    <c:v>5.74</c:v>
                  </c:pt>
                  <c:pt idx="575">
                    <c:v>5.75</c:v>
                  </c:pt>
                  <c:pt idx="576">
                    <c:v>5.76</c:v>
                  </c:pt>
                  <c:pt idx="577">
                    <c:v>5.77</c:v>
                  </c:pt>
                  <c:pt idx="578">
                    <c:v>5.78</c:v>
                  </c:pt>
                  <c:pt idx="579">
                    <c:v>5.79</c:v>
                  </c:pt>
                  <c:pt idx="580">
                    <c:v>5.8</c:v>
                  </c:pt>
                  <c:pt idx="581">
                    <c:v>5.8100000000000005</c:v>
                  </c:pt>
                  <c:pt idx="582">
                    <c:v>5.82</c:v>
                  </c:pt>
                  <c:pt idx="583">
                    <c:v>5.83</c:v>
                  </c:pt>
                  <c:pt idx="584">
                    <c:v>5.84</c:v>
                  </c:pt>
                  <c:pt idx="585">
                    <c:v>5.85</c:v>
                  </c:pt>
                  <c:pt idx="586">
                    <c:v>5.86</c:v>
                  </c:pt>
                  <c:pt idx="587">
                    <c:v>5.87</c:v>
                  </c:pt>
                  <c:pt idx="588">
                    <c:v>5.88</c:v>
                  </c:pt>
                  <c:pt idx="589">
                    <c:v>5.89</c:v>
                  </c:pt>
                  <c:pt idx="590">
                    <c:v>5.9</c:v>
                  </c:pt>
                  <c:pt idx="591">
                    <c:v>5.91</c:v>
                  </c:pt>
                  <c:pt idx="592">
                    <c:v>5.92</c:v>
                  </c:pt>
                  <c:pt idx="593">
                    <c:v>5.93</c:v>
                  </c:pt>
                  <c:pt idx="594">
                    <c:v>5.9399999999999995</c:v>
                  </c:pt>
                  <c:pt idx="595">
                    <c:v>5.95</c:v>
                  </c:pt>
                  <c:pt idx="596">
                    <c:v>5.96</c:v>
                  </c:pt>
                  <c:pt idx="597">
                    <c:v>5.97</c:v>
                  </c:pt>
                  <c:pt idx="598">
                    <c:v>5.98</c:v>
                  </c:pt>
                  <c:pt idx="599">
                    <c:v>5.99</c:v>
                  </c:pt>
                  <c:pt idx="600">
                    <c:v>6</c:v>
                  </c:pt>
                  <c:pt idx="601">
                    <c:v>6.01</c:v>
                  </c:pt>
                  <c:pt idx="602">
                    <c:v>6.02</c:v>
                  </c:pt>
                  <c:pt idx="603">
                    <c:v>6.0299999999999994</c:v>
                  </c:pt>
                  <c:pt idx="604">
                    <c:v>6.04</c:v>
                  </c:pt>
                  <c:pt idx="605">
                    <c:v>6.05</c:v>
                  </c:pt>
                  <c:pt idx="606">
                    <c:v>6.0600000000000005</c:v>
                  </c:pt>
                  <c:pt idx="607">
                    <c:v>6.07</c:v>
                  </c:pt>
                  <c:pt idx="608">
                    <c:v>6.08</c:v>
                  </c:pt>
                  <c:pt idx="609">
                    <c:v>6.09</c:v>
                  </c:pt>
                  <c:pt idx="610">
                    <c:v>6.1</c:v>
                  </c:pt>
                  <c:pt idx="611">
                    <c:v>6.1099999999999994</c:v>
                  </c:pt>
                  <c:pt idx="612">
                    <c:v>6.12</c:v>
                  </c:pt>
                  <c:pt idx="613">
                    <c:v>6.13</c:v>
                  </c:pt>
                  <c:pt idx="614">
                    <c:v>6.1400000000000006</c:v>
                  </c:pt>
                  <c:pt idx="615">
                    <c:v>6.15</c:v>
                  </c:pt>
                  <c:pt idx="616">
                    <c:v>6.16</c:v>
                  </c:pt>
                  <c:pt idx="617">
                    <c:v>6.17</c:v>
                  </c:pt>
                  <c:pt idx="618">
                    <c:v>6.18</c:v>
                  </c:pt>
                  <c:pt idx="619">
                    <c:v>6.1899999999999995</c:v>
                  </c:pt>
                  <c:pt idx="620">
                    <c:v>6.2</c:v>
                  </c:pt>
                  <c:pt idx="621">
                    <c:v>6.21</c:v>
                  </c:pt>
                  <c:pt idx="622">
                    <c:v>6.2200000000000006</c:v>
                  </c:pt>
                  <c:pt idx="623">
                    <c:v>6.23</c:v>
                  </c:pt>
                  <c:pt idx="624">
                    <c:v>6.24</c:v>
                  </c:pt>
                  <c:pt idx="625">
                    <c:v>6.25</c:v>
                  </c:pt>
                  <c:pt idx="626">
                    <c:v>6.26</c:v>
                  </c:pt>
                  <c:pt idx="627">
                    <c:v>6.27</c:v>
                  </c:pt>
                  <c:pt idx="628">
                    <c:v>6.2799999999999994</c:v>
                  </c:pt>
                  <c:pt idx="629">
                    <c:v>6.29</c:v>
                  </c:pt>
                  <c:pt idx="630">
                    <c:v>6.3</c:v>
                  </c:pt>
                  <c:pt idx="631">
                    <c:v>6.3100000000000005</c:v>
                  </c:pt>
                  <c:pt idx="632">
                    <c:v>6.32</c:v>
                  </c:pt>
                  <c:pt idx="633">
                    <c:v>6.33</c:v>
                  </c:pt>
                  <c:pt idx="634">
                    <c:v>6.34</c:v>
                  </c:pt>
                  <c:pt idx="635">
                    <c:v>6.35</c:v>
                  </c:pt>
                  <c:pt idx="636">
                    <c:v>6.3599999999999994</c:v>
                  </c:pt>
                  <c:pt idx="637">
                    <c:v>6.37</c:v>
                  </c:pt>
                  <c:pt idx="638">
                    <c:v>6.38</c:v>
                  </c:pt>
                  <c:pt idx="639">
                    <c:v>6.3900000000000006</c:v>
                  </c:pt>
                  <c:pt idx="640">
                    <c:v>6.4</c:v>
                  </c:pt>
                  <c:pt idx="641">
                    <c:v>6.41</c:v>
                  </c:pt>
                  <c:pt idx="642">
                    <c:v>6.42</c:v>
                  </c:pt>
                  <c:pt idx="643">
                    <c:v>6.43</c:v>
                  </c:pt>
                  <c:pt idx="644">
                    <c:v>6.4399999999999995</c:v>
                  </c:pt>
                  <c:pt idx="645">
                    <c:v>6.45</c:v>
                  </c:pt>
                  <c:pt idx="646">
                    <c:v>6.46</c:v>
                  </c:pt>
                  <c:pt idx="647">
                    <c:v>6.4700000000000006</c:v>
                  </c:pt>
                  <c:pt idx="648">
                    <c:v>6.48</c:v>
                  </c:pt>
                  <c:pt idx="649">
                    <c:v>6.49</c:v>
                  </c:pt>
                  <c:pt idx="650">
                    <c:v>6.5</c:v>
                  </c:pt>
                  <c:pt idx="651">
                    <c:v>6.51</c:v>
                  </c:pt>
                  <c:pt idx="652">
                    <c:v>6.52</c:v>
                  </c:pt>
                  <c:pt idx="653">
                    <c:v>6.5299999999999994</c:v>
                  </c:pt>
                  <c:pt idx="654">
                    <c:v>6.54</c:v>
                  </c:pt>
                  <c:pt idx="655">
                    <c:v>6.55</c:v>
                  </c:pt>
                  <c:pt idx="656">
                    <c:v>6.5600000000000005</c:v>
                  </c:pt>
                  <c:pt idx="657">
                    <c:v>6.57</c:v>
                  </c:pt>
                  <c:pt idx="658">
                    <c:v>6.58</c:v>
                  </c:pt>
                  <c:pt idx="659">
                    <c:v>6.59</c:v>
                  </c:pt>
                  <c:pt idx="660">
                    <c:v>6.6</c:v>
                  </c:pt>
                  <c:pt idx="661">
                    <c:v>6.6099999999999994</c:v>
                  </c:pt>
                  <c:pt idx="662">
                    <c:v>6.62</c:v>
                  </c:pt>
                  <c:pt idx="663">
                    <c:v>6.63</c:v>
                  </c:pt>
                  <c:pt idx="664">
                    <c:v>6.6400000000000006</c:v>
                  </c:pt>
                  <c:pt idx="665">
                    <c:v>6.65</c:v>
                  </c:pt>
                  <c:pt idx="666">
                    <c:v>6.66</c:v>
                  </c:pt>
                  <c:pt idx="667">
                    <c:v>6.67</c:v>
                  </c:pt>
                  <c:pt idx="668">
                    <c:v>6.68</c:v>
                  </c:pt>
                  <c:pt idx="669">
                    <c:v>6.6899999999999995</c:v>
                  </c:pt>
                  <c:pt idx="670">
                    <c:v>6.7</c:v>
                  </c:pt>
                  <c:pt idx="671">
                    <c:v>6.71</c:v>
                  </c:pt>
                  <c:pt idx="672">
                    <c:v>6.7200000000000006</c:v>
                  </c:pt>
                  <c:pt idx="673">
                    <c:v>6.73</c:v>
                  </c:pt>
                  <c:pt idx="674">
                    <c:v>6.74</c:v>
                  </c:pt>
                  <c:pt idx="675">
                    <c:v>6.75</c:v>
                  </c:pt>
                  <c:pt idx="676">
                    <c:v>6.76</c:v>
                  </c:pt>
                  <c:pt idx="677">
                    <c:v>6.77</c:v>
                  </c:pt>
                  <c:pt idx="678">
                    <c:v>6.7799999999999994</c:v>
                  </c:pt>
                  <c:pt idx="679">
                    <c:v>6.79</c:v>
                  </c:pt>
                  <c:pt idx="680">
                    <c:v>6.8</c:v>
                  </c:pt>
                  <c:pt idx="681">
                    <c:v>6.8100000000000005</c:v>
                  </c:pt>
                  <c:pt idx="682">
                    <c:v>6.82</c:v>
                  </c:pt>
                  <c:pt idx="683">
                    <c:v>6.83</c:v>
                  </c:pt>
                  <c:pt idx="684">
                    <c:v>6.84</c:v>
                  </c:pt>
                  <c:pt idx="685">
                    <c:v>6.85</c:v>
                  </c:pt>
                  <c:pt idx="686">
                    <c:v>6.8599999999999994</c:v>
                  </c:pt>
                  <c:pt idx="687">
                    <c:v>6.87</c:v>
                  </c:pt>
                  <c:pt idx="688">
                    <c:v>6.88</c:v>
                  </c:pt>
                  <c:pt idx="689">
                    <c:v>6.8900000000000006</c:v>
                  </c:pt>
                  <c:pt idx="690">
                    <c:v>6.9</c:v>
                  </c:pt>
                  <c:pt idx="691">
                    <c:v>6.91</c:v>
                  </c:pt>
                  <c:pt idx="692">
                    <c:v>6.92</c:v>
                  </c:pt>
                  <c:pt idx="693">
                    <c:v>6.93</c:v>
                  </c:pt>
                  <c:pt idx="694">
                    <c:v>6.9399999999999995</c:v>
                  </c:pt>
                  <c:pt idx="695">
                    <c:v>6.95</c:v>
                  </c:pt>
                  <c:pt idx="696">
                    <c:v>6.96</c:v>
                  </c:pt>
                  <c:pt idx="697">
                    <c:v>6.9700000000000006</c:v>
                  </c:pt>
                  <c:pt idx="698">
                    <c:v>6.98</c:v>
                  </c:pt>
                  <c:pt idx="699">
                    <c:v>6.99</c:v>
                  </c:pt>
                  <c:pt idx="700">
                    <c:v>7</c:v>
                  </c:pt>
                  <c:pt idx="701">
                    <c:v>7.01</c:v>
                  </c:pt>
                  <c:pt idx="702">
                    <c:v>7.02</c:v>
                  </c:pt>
                  <c:pt idx="703">
                    <c:v>7.0299999999999994</c:v>
                  </c:pt>
                  <c:pt idx="704">
                    <c:v>7.04</c:v>
                  </c:pt>
                  <c:pt idx="705">
                    <c:v>7.05</c:v>
                  </c:pt>
                  <c:pt idx="706">
                    <c:v>7.0600000000000005</c:v>
                  </c:pt>
                  <c:pt idx="707">
                    <c:v>7.07</c:v>
                  </c:pt>
                  <c:pt idx="708">
                    <c:v>7.08</c:v>
                  </c:pt>
                  <c:pt idx="709">
                    <c:v>7.09</c:v>
                  </c:pt>
                  <c:pt idx="710">
                    <c:v>7.1</c:v>
                  </c:pt>
                  <c:pt idx="711">
                    <c:v>7.1099999999999994</c:v>
                  </c:pt>
                  <c:pt idx="712">
                    <c:v>7.12</c:v>
                  </c:pt>
                  <c:pt idx="713">
                    <c:v>7.13</c:v>
                  </c:pt>
                  <c:pt idx="714">
                    <c:v>7.1400000000000006</c:v>
                  </c:pt>
                  <c:pt idx="715">
                    <c:v>7.15</c:v>
                  </c:pt>
                  <c:pt idx="716">
                    <c:v>7.16</c:v>
                  </c:pt>
                  <c:pt idx="717">
                    <c:v>7.17</c:v>
                  </c:pt>
                  <c:pt idx="718">
                    <c:v>7.18</c:v>
                  </c:pt>
                  <c:pt idx="719">
                    <c:v>7.1899999999999995</c:v>
                  </c:pt>
                  <c:pt idx="720">
                    <c:v>7.2</c:v>
                  </c:pt>
                  <c:pt idx="721">
                    <c:v>7.21</c:v>
                  </c:pt>
                  <c:pt idx="722">
                    <c:v>7.2200000000000006</c:v>
                  </c:pt>
                  <c:pt idx="723">
                    <c:v>7.23</c:v>
                  </c:pt>
                  <c:pt idx="724">
                    <c:v>7.24</c:v>
                  </c:pt>
                  <c:pt idx="725">
                    <c:v>7.25</c:v>
                  </c:pt>
                  <c:pt idx="726">
                    <c:v>7.26</c:v>
                  </c:pt>
                  <c:pt idx="727">
                    <c:v>7.27</c:v>
                  </c:pt>
                  <c:pt idx="728">
                    <c:v>7.2799999999999994</c:v>
                  </c:pt>
                  <c:pt idx="729">
                    <c:v>7.29</c:v>
                  </c:pt>
                  <c:pt idx="730">
                    <c:v>7.3</c:v>
                  </c:pt>
                  <c:pt idx="731">
                    <c:v>7.3100000000000005</c:v>
                  </c:pt>
                  <c:pt idx="732">
                    <c:v>7.32</c:v>
                  </c:pt>
                  <c:pt idx="733">
                    <c:v>7.33</c:v>
                  </c:pt>
                  <c:pt idx="734">
                    <c:v>7.34</c:v>
                  </c:pt>
                  <c:pt idx="735">
                    <c:v>7.35</c:v>
                  </c:pt>
                  <c:pt idx="736">
                    <c:v>7.3599999999999994</c:v>
                  </c:pt>
                  <c:pt idx="737">
                    <c:v>7.37</c:v>
                  </c:pt>
                  <c:pt idx="738">
                    <c:v>7.38</c:v>
                  </c:pt>
                  <c:pt idx="739">
                    <c:v>7.3900000000000006</c:v>
                  </c:pt>
                  <c:pt idx="740">
                    <c:v>7.4</c:v>
                  </c:pt>
                  <c:pt idx="741">
                    <c:v>7.41</c:v>
                  </c:pt>
                  <c:pt idx="742">
                    <c:v>7.42</c:v>
                  </c:pt>
                  <c:pt idx="743">
                    <c:v>7.43</c:v>
                  </c:pt>
                  <c:pt idx="744">
                    <c:v>7.4399999999999995</c:v>
                  </c:pt>
                  <c:pt idx="745">
                    <c:v>7.45</c:v>
                  </c:pt>
                  <c:pt idx="746">
                    <c:v>7.46</c:v>
                  </c:pt>
                  <c:pt idx="747">
                    <c:v>7.4700000000000006</c:v>
                  </c:pt>
                  <c:pt idx="748">
                    <c:v>7.48</c:v>
                  </c:pt>
                  <c:pt idx="749">
                    <c:v>7.49</c:v>
                  </c:pt>
                  <c:pt idx="750">
                    <c:v>7.5</c:v>
                  </c:pt>
                  <c:pt idx="751">
                    <c:v>7.51</c:v>
                  </c:pt>
                  <c:pt idx="752">
                    <c:v>7.52</c:v>
                  </c:pt>
                  <c:pt idx="753">
                    <c:v>7.5299999999999994</c:v>
                  </c:pt>
                  <c:pt idx="754">
                    <c:v>7.54</c:v>
                  </c:pt>
                  <c:pt idx="755">
                    <c:v>7.55</c:v>
                  </c:pt>
                  <c:pt idx="756">
                    <c:v>7.5600000000000005</c:v>
                  </c:pt>
                  <c:pt idx="757">
                    <c:v>7.57</c:v>
                  </c:pt>
                  <c:pt idx="758">
                    <c:v>7.58</c:v>
                  </c:pt>
                  <c:pt idx="759">
                    <c:v>7.59</c:v>
                  </c:pt>
                  <c:pt idx="760">
                    <c:v>7.6</c:v>
                  </c:pt>
                  <c:pt idx="761">
                    <c:v>7.6099999999999994</c:v>
                  </c:pt>
                  <c:pt idx="762">
                    <c:v>7.62</c:v>
                  </c:pt>
                  <c:pt idx="763">
                    <c:v>7.63</c:v>
                  </c:pt>
                  <c:pt idx="764">
                    <c:v>7.6400000000000006</c:v>
                  </c:pt>
                  <c:pt idx="765">
                    <c:v>7.65</c:v>
                  </c:pt>
                  <c:pt idx="766">
                    <c:v>7.66</c:v>
                  </c:pt>
                  <c:pt idx="767">
                    <c:v>7.67</c:v>
                  </c:pt>
                  <c:pt idx="768">
                    <c:v>7.68</c:v>
                  </c:pt>
                  <c:pt idx="769">
                    <c:v>7.6899999999999995</c:v>
                  </c:pt>
                  <c:pt idx="770">
                    <c:v>7.7</c:v>
                  </c:pt>
                  <c:pt idx="771">
                    <c:v>7.71</c:v>
                  </c:pt>
                  <c:pt idx="772">
                    <c:v>7.7200000000000006</c:v>
                  </c:pt>
                  <c:pt idx="773">
                    <c:v>7.73</c:v>
                  </c:pt>
                  <c:pt idx="774">
                    <c:v>7.74</c:v>
                  </c:pt>
                  <c:pt idx="775">
                    <c:v>7.75</c:v>
                  </c:pt>
                  <c:pt idx="776">
                    <c:v>7.76</c:v>
                  </c:pt>
                  <c:pt idx="777">
                    <c:v>7.77</c:v>
                  </c:pt>
                  <c:pt idx="778">
                    <c:v>7.7799999999999994</c:v>
                  </c:pt>
                  <c:pt idx="779">
                    <c:v>7.79</c:v>
                  </c:pt>
                  <c:pt idx="780">
                    <c:v>7.8</c:v>
                  </c:pt>
                  <c:pt idx="781">
                    <c:v>7.8100000000000005</c:v>
                  </c:pt>
                  <c:pt idx="782">
                    <c:v>7.82</c:v>
                  </c:pt>
                  <c:pt idx="783">
                    <c:v>7.83</c:v>
                  </c:pt>
                  <c:pt idx="784">
                    <c:v>7.84</c:v>
                  </c:pt>
                  <c:pt idx="785">
                    <c:v>7.85</c:v>
                  </c:pt>
                  <c:pt idx="786">
                    <c:v>7.8599999999999994</c:v>
                  </c:pt>
                  <c:pt idx="787">
                    <c:v>7.87</c:v>
                  </c:pt>
                  <c:pt idx="788">
                    <c:v>7.88</c:v>
                  </c:pt>
                  <c:pt idx="789">
                    <c:v>7.8900000000000006</c:v>
                  </c:pt>
                  <c:pt idx="790">
                    <c:v>7.9</c:v>
                  </c:pt>
                  <c:pt idx="791">
                    <c:v>7.91</c:v>
                  </c:pt>
                  <c:pt idx="792">
                    <c:v>7.92</c:v>
                  </c:pt>
                  <c:pt idx="793">
                    <c:v>7.93</c:v>
                  </c:pt>
                  <c:pt idx="794">
                    <c:v>7.9399999999999995</c:v>
                  </c:pt>
                  <c:pt idx="795">
                    <c:v>7.95</c:v>
                  </c:pt>
                  <c:pt idx="796">
                    <c:v>7.96</c:v>
                  </c:pt>
                  <c:pt idx="797">
                    <c:v>7.9700000000000006</c:v>
                  </c:pt>
                  <c:pt idx="798">
                    <c:v>7.98</c:v>
                  </c:pt>
                  <c:pt idx="799">
                    <c:v>7.99</c:v>
                  </c:pt>
                  <c:pt idx="800">
                    <c:v>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C00000"/>
                </a:solidFill>
                <a:prstDash val="sysDot"/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(3)'!$S$3:$S$800</c:f>
                <c:numCache>
                  <c:formatCode>General</c:formatCode>
                  <c:ptCount val="798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  <c:pt idx="180">
                    <c:v>#N/A</c:v>
                  </c:pt>
                  <c:pt idx="181">
                    <c:v>#N/A</c:v>
                  </c:pt>
                  <c:pt idx="182">
                    <c:v>#N/A</c:v>
                  </c:pt>
                  <c:pt idx="183">
                    <c:v>#N/A</c:v>
                  </c:pt>
                  <c:pt idx="184">
                    <c:v>#N/A</c:v>
                  </c:pt>
                  <c:pt idx="185">
                    <c:v>#N/A</c:v>
                  </c:pt>
                  <c:pt idx="186">
                    <c:v>#N/A</c:v>
                  </c:pt>
                  <c:pt idx="187">
                    <c:v>#N/A</c:v>
                  </c:pt>
                  <c:pt idx="188">
                    <c:v>#N/A</c:v>
                  </c:pt>
                  <c:pt idx="189">
                    <c:v>#N/A</c:v>
                  </c:pt>
                  <c:pt idx="190">
                    <c:v>#N/A</c:v>
                  </c:pt>
                  <c:pt idx="191">
                    <c:v>#N/A</c:v>
                  </c:pt>
                  <c:pt idx="192">
                    <c:v>#N/A</c:v>
                  </c:pt>
                  <c:pt idx="193">
                    <c:v>#N/A</c:v>
                  </c:pt>
                  <c:pt idx="194">
                    <c:v>#N/A</c:v>
                  </c:pt>
                  <c:pt idx="195">
                    <c:v>#N/A</c:v>
                  </c:pt>
                  <c:pt idx="196">
                    <c:v>#N/A</c:v>
                  </c:pt>
                  <c:pt idx="197">
                    <c:v>#N/A</c:v>
                  </c:pt>
                  <c:pt idx="198">
                    <c:v>#N/A</c:v>
                  </c:pt>
                  <c:pt idx="199">
                    <c:v>#N/A</c:v>
                  </c:pt>
                  <c:pt idx="200">
                    <c:v>#N/A</c:v>
                  </c:pt>
                  <c:pt idx="201">
                    <c:v>#N/A</c:v>
                  </c:pt>
                  <c:pt idx="202">
                    <c:v>#N/A</c:v>
                  </c:pt>
                  <c:pt idx="203">
                    <c:v>#N/A</c:v>
                  </c:pt>
                  <c:pt idx="204">
                    <c:v>2.5000000000000001E-2</c:v>
                  </c:pt>
                  <c:pt idx="205">
                    <c:v>#N/A</c:v>
                  </c:pt>
                  <c:pt idx="206">
                    <c:v>#N/A</c:v>
                  </c:pt>
                  <c:pt idx="207">
                    <c:v>#N/A</c:v>
                  </c:pt>
                  <c:pt idx="208">
                    <c:v>#N/A</c:v>
                  </c:pt>
                  <c:pt idx="209">
                    <c:v>#N/A</c:v>
                  </c:pt>
                  <c:pt idx="210">
                    <c:v>#N/A</c:v>
                  </c:pt>
                  <c:pt idx="211">
                    <c:v>#N/A</c:v>
                  </c:pt>
                  <c:pt idx="212">
                    <c:v>#N/A</c:v>
                  </c:pt>
                  <c:pt idx="213">
                    <c:v>#N/A</c:v>
                  </c:pt>
                  <c:pt idx="214">
                    <c:v>#N/A</c:v>
                  </c:pt>
                  <c:pt idx="215">
                    <c:v>#N/A</c:v>
                  </c:pt>
                  <c:pt idx="216">
                    <c:v>#N/A</c:v>
                  </c:pt>
                  <c:pt idx="217">
                    <c:v>#N/A</c:v>
                  </c:pt>
                  <c:pt idx="218">
                    <c:v>#N/A</c:v>
                  </c:pt>
                  <c:pt idx="219">
                    <c:v>#N/A</c:v>
                  </c:pt>
                  <c:pt idx="220">
                    <c:v>#N/A</c:v>
                  </c:pt>
                  <c:pt idx="221">
                    <c:v>#N/A</c:v>
                  </c:pt>
                  <c:pt idx="222">
                    <c:v>#N/A</c:v>
                  </c:pt>
                  <c:pt idx="223">
                    <c:v>#N/A</c:v>
                  </c:pt>
                  <c:pt idx="224">
                    <c:v>#N/A</c:v>
                  </c:pt>
                  <c:pt idx="225">
                    <c:v>#N/A</c:v>
                  </c:pt>
                  <c:pt idx="226">
                    <c:v>#N/A</c:v>
                  </c:pt>
                  <c:pt idx="227">
                    <c:v>#N/A</c:v>
                  </c:pt>
                  <c:pt idx="228">
                    <c:v>#N/A</c:v>
                  </c:pt>
                  <c:pt idx="229">
                    <c:v>#N/A</c:v>
                  </c:pt>
                  <c:pt idx="230">
                    <c:v>#N/A</c:v>
                  </c:pt>
                  <c:pt idx="231">
                    <c:v>#N/A</c:v>
                  </c:pt>
                  <c:pt idx="232">
                    <c:v>#N/A</c:v>
                  </c:pt>
                  <c:pt idx="233">
                    <c:v>#N/A</c:v>
                  </c:pt>
                  <c:pt idx="234">
                    <c:v>#N/A</c:v>
                  </c:pt>
                  <c:pt idx="235">
                    <c:v>4.947E-2</c:v>
                  </c:pt>
                  <c:pt idx="236">
                    <c:v>#N/A</c:v>
                  </c:pt>
                  <c:pt idx="237">
                    <c:v>#N/A</c:v>
                  </c:pt>
                  <c:pt idx="238">
                    <c:v>#N/A</c:v>
                  </c:pt>
                  <c:pt idx="239">
                    <c:v>#N/A</c:v>
                  </c:pt>
                  <c:pt idx="240">
                    <c:v>#N/A</c:v>
                  </c:pt>
                  <c:pt idx="241">
                    <c:v>#N/A</c:v>
                  </c:pt>
                  <c:pt idx="242">
                    <c:v>#N/A</c:v>
                  </c:pt>
                  <c:pt idx="243">
                    <c:v>#N/A</c:v>
                  </c:pt>
                  <c:pt idx="244">
                    <c:v>#N/A</c:v>
                  </c:pt>
                  <c:pt idx="245">
                    <c:v>#N/A</c:v>
                  </c:pt>
                  <c:pt idx="246">
                    <c:v>#N/A</c:v>
                  </c:pt>
                  <c:pt idx="247">
                    <c:v>#N/A</c:v>
                  </c:pt>
                  <c:pt idx="248">
                    <c:v>#N/A</c:v>
                  </c:pt>
                  <c:pt idx="249">
                    <c:v>#N/A</c:v>
                  </c:pt>
                  <c:pt idx="250">
                    <c:v>#N/A</c:v>
                  </c:pt>
                  <c:pt idx="251">
                    <c:v>#N/A</c:v>
                  </c:pt>
                  <c:pt idx="252">
                    <c:v>#N/A</c:v>
                  </c:pt>
                  <c:pt idx="253">
                    <c:v>#N/A</c:v>
                  </c:pt>
                  <c:pt idx="254">
                    <c:v>#N/A</c:v>
                  </c:pt>
                  <c:pt idx="255">
                    <c:v>#N/A</c:v>
                  </c:pt>
                  <c:pt idx="256">
                    <c:v>7.4929999999999997E-2</c:v>
                  </c:pt>
                  <c:pt idx="257">
                    <c:v>#N/A</c:v>
                  </c:pt>
                  <c:pt idx="258">
                    <c:v>#N/A</c:v>
                  </c:pt>
                  <c:pt idx="259">
                    <c:v>#N/A</c:v>
                  </c:pt>
                  <c:pt idx="260">
                    <c:v>#N/A</c:v>
                  </c:pt>
                  <c:pt idx="261">
                    <c:v>#N/A</c:v>
                  </c:pt>
                  <c:pt idx="262">
                    <c:v>#N/A</c:v>
                  </c:pt>
                  <c:pt idx="263">
                    <c:v>#N/A</c:v>
                  </c:pt>
                  <c:pt idx="264">
                    <c:v>#N/A</c:v>
                  </c:pt>
                  <c:pt idx="265">
                    <c:v>#N/A</c:v>
                  </c:pt>
                  <c:pt idx="266">
                    <c:v>#N/A</c:v>
                  </c:pt>
                  <c:pt idx="267">
                    <c:v>#N/A</c:v>
                  </c:pt>
                  <c:pt idx="268">
                    <c:v>#N/A</c:v>
                  </c:pt>
                  <c:pt idx="269">
                    <c:v>#N/A</c:v>
                  </c:pt>
                  <c:pt idx="270">
                    <c:v>#N/A</c:v>
                  </c:pt>
                  <c:pt idx="271">
                    <c:v>9.8530000000000006E-2</c:v>
                  </c:pt>
                  <c:pt idx="272">
                    <c:v>#N/A</c:v>
                  </c:pt>
                  <c:pt idx="273">
                    <c:v>#N/A</c:v>
                  </c:pt>
                  <c:pt idx="274">
                    <c:v>#N/A</c:v>
                  </c:pt>
                  <c:pt idx="275">
                    <c:v>#N/A</c:v>
                  </c:pt>
                  <c:pt idx="276">
                    <c:v>#N/A</c:v>
                  </c:pt>
                  <c:pt idx="277">
                    <c:v>#N/A</c:v>
                  </c:pt>
                  <c:pt idx="278">
                    <c:v>#N/A</c:v>
                  </c:pt>
                  <c:pt idx="279">
                    <c:v>#N/A</c:v>
                  </c:pt>
                  <c:pt idx="280">
                    <c:v>#N/A</c:v>
                  </c:pt>
                  <c:pt idx="281">
                    <c:v>#N/A</c:v>
                  </c:pt>
                  <c:pt idx="282">
                    <c:v>#N/A</c:v>
                  </c:pt>
                  <c:pt idx="283">
                    <c:v>#N/A</c:v>
                  </c:pt>
                  <c:pt idx="284">
                    <c:v>0.12302</c:v>
                  </c:pt>
                  <c:pt idx="285">
                    <c:v>#N/A</c:v>
                  </c:pt>
                  <c:pt idx="286">
                    <c:v>#N/A</c:v>
                  </c:pt>
                  <c:pt idx="287">
                    <c:v>#N/A</c:v>
                  </c:pt>
                  <c:pt idx="288">
                    <c:v>#N/A</c:v>
                  </c:pt>
                  <c:pt idx="289">
                    <c:v>#N/A</c:v>
                  </c:pt>
                  <c:pt idx="290">
                    <c:v>#N/A</c:v>
                  </c:pt>
                  <c:pt idx="291">
                    <c:v>#N/A</c:v>
                  </c:pt>
                  <c:pt idx="292">
                    <c:v>#N/A</c:v>
                  </c:pt>
                  <c:pt idx="293">
                    <c:v>#N/A</c:v>
                  </c:pt>
                  <c:pt idx="294">
                    <c:v>#N/A</c:v>
                  </c:pt>
                  <c:pt idx="295">
                    <c:v>#N/A</c:v>
                  </c:pt>
                  <c:pt idx="296">
                    <c:v>0.14917</c:v>
                  </c:pt>
                  <c:pt idx="297">
                    <c:v>#N/A</c:v>
                  </c:pt>
                  <c:pt idx="298">
                    <c:v>#N/A</c:v>
                  </c:pt>
                  <c:pt idx="299">
                    <c:v>#N/A</c:v>
                  </c:pt>
                  <c:pt idx="300">
                    <c:v>#N/A</c:v>
                  </c:pt>
                  <c:pt idx="301">
                    <c:v>#N/A</c:v>
                  </c:pt>
                  <c:pt idx="302">
                    <c:v>#N/A</c:v>
                  </c:pt>
                  <c:pt idx="303">
                    <c:v>#N/A</c:v>
                  </c:pt>
                  <c:pt idx="304">
                    <c:v>#N/A</c:v>
                  </c:pt>
                  <c:pt idx="305">
                    <c:v>#N/A</c:v>
                  </c:pt>
                  <c:pt idx="306">
                    <c:v>0.17360999999999999</c:v>
                  </c:pt>
                  <c:pt idx="307">
                    <c:v>#N/A</c:v>
                  </c:pt>
                  <c:pt idx="308">
                    <c:v>#N/A</c:v>
                  </c:pt>
                  <c:pt idx="309">
                    <c:v>#N/A</c:v>
                  </c:pt>
                  <c:pt idx="310">
                    <c:v>#N/A</c:v>
                  </c:pt>
                  <c:pt idx="311">
                    <c:v>#N/A</c:v>
                  </c:pt>
                  <c:pt idx="312">
                    <c:v>#N/A</c:v>
                  </c:pt>
                  <c:pt idx="313">
                    <c:v>#N/A</c:v>
                  </c:pt>
                  <c:pt idx="314">
                    <c:v>#N/A</c:v>
                  </c:pt>
                  <c:pt idx="315">
                    <c:v>0.19766</c:v>
                  </c:pt>
                  <c:pt idx="316">
                    <c:v>#N/A</c:v>
                  </c:pt>
                  <c:pt idx="317">
                    <c:v>#N/A</c:v>
                  </c:pt>
                  <c:pt idx="318">
                    <c:v>#N/A</c:v>
                  </c:pt>
                  <c:pt idx="319">
                    <c:v>#N/A</c:v>
                  </c:pt>
                  <c:pt idx="320">
                    <c:v>#N/A</c:v>
                  </c:pt>
                  <c:pt idx="321">
                    <c:v>#N/A</c:v>
                  </c:pt>
                  <c:pt idx="322">
                    <c:v>#N/A</c:v>
                  </c:pt>
                  <c:pt idx="323">
                    <c:v>#N/A</c:v>
                  </c:pt>
                  <c:pt idx="324">
                    <c:v>0.22363</c:v>
                  </c:pt>
                  <c:pt idx="325">
                    <c:v>#N/A</c:v>
                  </c:pt>
                  <c:pt idx="326">
                    <c:v>#N/A</c:v>
                  </c:pt>
                  <c:pt idx="327">
                    <c:v>#N/A</c:v>
                  </c:pt>
                  <c:pt idx="328">
                    <c:v>#N/A</c:v>
                  </c:pt>
                  <c:pt idx="329">
                    <c:v>#N/A</c:v>
                  </c:pt>
                  <c:pt idx="330">
                    <c:v>#N/A</c:v>
                  </c:pt>
                  <c:pt idx="331">
                    <c:v>#N/A</c:v>
                  </c:pt>
                  <c:pt idx="332">
                    <c:v>0.24825</c:v>
                  </c:pt>
                  <c:pt idx="333">
                    <c:v>#N/A</c:v>
                  </c:pt>
                  <c:pt idx="334">
                    <c:v>#N/A</c:v>
                  </c:pt>
                  <c:pt idx="335">
                    <c:v>#N/A</c:v>
                  </c:pt>
                  <c:pt idx="336">
                    <c:v>#N/A</c:v>
                  </c:pt>
                  <c:pt idx="337">
                    <c:v>#N/A</c:v>
                  </c:pt>
                  <c:pt idx="338">
                    <c:v>#N/A</c:v>
                  </c:pt>
                  <c:pt idx="339">
                    <c:v>#N/A</c:v>
                  </c:pt>
                  <c:pt idx="340">
                    <c:v>0.27424999999999999</c:v>
                  </c:pt>
                  <c:pt idx="341">
                    <c:v>#N/A</c:v>
                  </c:pt>
                  <c:pt idx="342">
                    <c:v>#N/A</c:v>
                  </c:pt>
                  <c:pt idx="343">
                    <c:v>#N/A</c:v>
                  </c:pt>
                  <c:pt idx="344">
                    <c:v>#N/A</c:v>
                  </c:pt>
                  <c:pt idx="345">
                    <c:v>#N/A</c:v>
                  </c:pt>
                  <c:pt idx="346">
                    <c:v>#N/A</c:v>
                  </c:pt>
                  <c:pt idx="347">
                    <c:v>0.29805999999999999</c:v>
                  </c:pt>
                  <c:pt idx="348">
                    <c:v>#N/A</c:v>
                  </c:pt>
                  <c:pt idx="349">
                    <c:v>#N/A</c:v>
                  </c:pt>
                  <c:pt idx="350">
                    <c:v>#N/A</c:v>
                  </c:pt>
                  <c:pt idx="351">
                    <c:v>#N/A</c:v>
                  </c:pt>
                  <c:pt idx="352">
                    <c:v>#N/A</c:v>
                  </c:pt>
                  <c:pt idx="353">
                    <c:v>#N/A</c:v>
                  </c:pt>
                  <c:pt idx="354">
                    <c:v>0.32275999999999999</c:v>
                  </c:pt>
                  <c:pt idx="355">
                    <c:v>#N/A</c:v>
                  </c:pt>
                  <c:pt idx="356">
                    <c:v>#N/A</c:v>
                  </c:pt>
                  <c:pt idx="357">
                    <c:v>#N/A</c:v>
                  </c:pt>
                  <c:pt idx="358">
                    <c:v>#N/A</c:v>
                  </c:pt>
                  <c:pt idx="359">
                    <c:v>#N/A</c:v>
                  </c:pt>
                  <c:pt idx="360">
                    <c:v>#N/A</c:v>
                  </c:pt>
                  <c:pt idx="361">
                    <c:v>0.34827000000000002</c:v>
                  </c:pt>
                  <c:pt idx="362">
                    <c:v>#N/A</c:v>
                  </c:pt>
                  <c:pt idx="363">
                    <c:v>#N/A</c:v>
                  </c:pt>
                  <c:pt idx="364">
                    <c:v>#N/A</c:v>
                  </c:pt>
                  <c:pt idx="365">
                    <c:v>#N/A</c:v>
                  </c:pt>
                  <c:pt idx="366">
                    <c:v>#N/A</c:v>
                  </c:pt>
                  <c:pt idx="367">
                    <c:v>#N/A</c:v>
                  </c:pt>
                  <c:pt idx="368">
                    <c:v>0.37447999999999998</c:v>
                  </c:pt>
                  <c:pt idx="369">
                    <c:v>#N/A</c:v>
                  </c:pt>
                  <c:pt idx="370">
                    <c:v>#N/A</c:v>
                  </c:pt>
                  <c:pt idx="371">
                    <c:v>#N/A</c:v>
                  </c:pt>
                  <c:pt idx="372">
                    <c:v>#N/A</c:v>
                  </c:pt>
                  <c:pt idx="373">
                    <c:v>#N/A</c:v>
                  </c:pt>
                  <c:pt idx="374">
                    <c:v>0.39743000000000001</c:v>
                  </c:pt>
                  <c:pt idx="375">
                    <c:v>#N/A</c:v>
                  </c:pt>
                  <c:pt idx="376">
                    <c:v>#N/A</c:v>
                  </c:pt>
                  <c:pt idx="377">
                    <c:v>#N/A</c:v>
                  </c:pt>
                  <c:pt idx="378">
                    <c:v>#N/A</c:v>
                  </c:pt>
                  <c:pt idx="379">
                    <c:v>#N/A</c:v>
                  </c:pt>
                  <c:pt idx="380">
                    <c:v>#N/A</c:v>
                  </c:pt>
                  <c:pt idx="381">
                    <c:v>0.42465000000000003</c:v>
                  </c:pt>
                  <c:pt idx="382">
                    <c:v>#N/A</c:v>
                  </c:pt>
                  <c:pt idx="383">
                    <c:v>#N/A</c:v>
                  </c:pt>
                  <c:pt idx="384">
                    <c:v>#N/A</c:v>
                  </c:pt>
                  <c:pt idx="385">
                    <c:v>#N/A</c:v>
                  </c:pt>
                  <c:pt idx="386">
                    <c:v>#N/A</c:v>
                  </c:pt>
                  <c:pt idx="387">
                    <c:v>0.44828000000000001</c:v>
                  </c:pt>
                  <c:pt idx="388">
                    <c:v>#N/A</c:v>
                  </c:pt>
                  <c:pt idx="389">
                    <c:v>#N/A</c:v>
                  </c:pt>
                  <c:pt idx="390">
                    <c:v>#N/A</c:v>
                  </c:pt>
                  <c:pt idx="391">
                    <c:v>#N/A</c:v>
                  </c:pt>
                  <c:pt idx="392">
                    <c:v>#N/A</c:v>
                  </c:pt>
                  <c:pt idx="393">
                    <c:v>0.47210000000000002</c:v>
                  </c:pt>
                  <c:pt idx="394">
                    <c:v>#N/A</c:v>
                  </c:pt>
                  <c:pt idx="395">
                    <c:v>#N/A</c:v>
                  </c:pt>
                  <c:pt idx="396">
                    <c:v>#N/A</c:v>
                  </c:pt>
                  <c:pt idx="397">
                    <c:v>#N/A</c:v>
                  </c:pt>
                  <c:pt idx="398">
                    <c:v>#N/A</c:v>
                  </c:pt>
                  <c:pt idx="399">
                    <c:v>#N/A</c:v>
                  </c:pt>
                  <c:pt idx="400">
                    <c:v>0.5</c:v>
                  </c:pt>
                  <c:pt idx="401">
                    <c:v>#N/A</c:v>
                  </c:pt>
                  <c:pt idx="402">
                    <c:v>#N/A</c:v>
                  </c:pt>
                  <c:pt idx="403">
                    <c:v>#N/A</c:v>
                  </c:pt>
                  <c:pt idx="404">
                    <c:v>#N/A</c:v>
                  </c:pt>
                  <c:pt idx="405">
                    <c:v>#N/A</c:v>
                  </c:pt>
                  <c:pt idx="406">
                    <c:v>0.52392000000000005</c:v>
                  </c:pt>
                  <c:pt idx="407">
                    <c:v>#N/A</c:v>
                  </c:pt>
                  <c:pt idx="408">
                    <c:v>#N/A</c:v>
                  </c:pt>
                  <c:pt idx="409">
                    <c:v>#N/A</c:v>
                  </c:pt>
                  <c:pt idx="410">
                    <c:v>#N/A</c:v>
                  </c:pt>
                  <c:pt idx="411">
                    <c:v>#N/A</c:v>
                  </c:pt>
                  <c:pt idx="412">
                    <c:v>0.54776000000000002</c:v>
                  </c:pt>
                  <c:pt idx="413">
                    <c:v>#N/A</c:v>
                  </c:pt>
                  <c:pt idx="414">
                    <c:v>#N/A</c:v>
                  </c:pt>
                  <c:pt idx="415">
                    <c:v>#N/A</c:v>
                  </c:pt>
                  <c:pt idx="416">
                    <c:v>#N/A</c:v>
                  </c:pt>
                  <c:pt idx="417">
                    <c:v>#N/A</c:v>
                  </c:pt>
                  <c:pt idx="418">
                    <c:v>0.57142000000000004</c:v>
                  </c:pt>
                  <c:pt idx="419">
                    <c:v>#N/A</c:v>
                  </c:pt>
                  <c:pt idx="420">
                    <c:v>#N/A</c:v>
                  </c:pt>
                  <c:pt idx="421">
                    <c:v>#N/A</c:v>
                  </c:pt>
                  <c:pt idx="422">
                    <c:v>#N/A</c:v>
                  </c:pt>
                  <c:pt idx="423">
                    <c:v>#N/A</c:v>
                  </c:pt>
                  <c:pt idx="424">
                    <c:v>#N/A</c:v>
                  </c:pt>
                  <c:pt idx="425">
                    <c:v>0.59870999999999996</c:v>
                  </c:pt>
                  <c:pt idx="426">
                    <c:v>#N/A</c:v>
                  </c:pt>
                  <c:pt idx="427">
                    <c:v>#N/A</c:v>
                  </c:pt>
                  <c:pt idx="428">
                    <c:v>#N/A</c:v>
                  </c:pt>
                  <c:pt idx="429">
                    <c:v>#N/A</c:v>
                  </c:pt>
                  <c:pt idx="430">
                    <c:v>#N/A</c:v>
                  </c:pt>
                  <c:pt idx="431">
                    <c:v>0.62172000000000005</c:v>
                  </c:pt>
                  <c:pt idx="432">
                    <c:v>#N/A</c:v>
                  </c:pt>
                  <c:pt idx="433">
                    <c:v>#N/A</c:v>
                  </c:pt>
                  <c:pt idx="434">
                    <c:v>#N/A</c:v>
                  </c:pt>
                  <c:pt idx="435">
                    <c:v>#N/A</c:v>
                  </c:pt>
                  <c:pt idx="436">
                    <c:v>#N/A</c:v>
                  </c:pt>
                  <c:pt idx="437">
                    <c:v>#N/A</c:v>
                  </c:pt>
                  <c:pt idx="438">
                    <c:v>0.64802999999999999</c:v>
                  </c:pt>
                  <c:pt idx="439">
                    <c:v>#N/A</c:v>
                  </c:pt>
                  <c:pt idx="440">
                    <c:v>#N/A</c:v>
                  </c:pt>
                  <c:pt idx="441">
                    <c:v>#N/A</c:v>
                  </c:pt>
                  <c:pt idx="442">
                    <c:v>#N/A</c:v>
                  </c:pt>
                  <c:pt idx="443">
                    <c:v>#N/A</c:v>
                  </c:pt>
                  <c:pt idx="444">
                    <c:v>#N/A</c:v>
                  </c:pt>
                  <c:pt idx="445">
                    <c:v>0.67364000000000002</c:v>
                  </c:pt>
                  <c:pt idx="446">
                    <c:v>#N/A</c:v>
                  </c:pt>
                  <c:pt idx="447">
                    <c:v>#N/A</c:v>
                  </c:pt>
                  <c:pt idx="448">
                    <c:v>#N/A</c:v>
                  </c:pt>
                  <c:pt idx="449">
                    <c:v>#N/A</c:v>
                  </c:pt>
                  <c:pt idx="450">
                    <c:v>#N/A</c:v>
                  </c:pt>
                  <c:pt idx="451">
                    <c:v>#N/A</c:v>
                  </c:pt>
                  <c:pt idx="452">
                    <c:v>0.69847000000000004</c:v>
                  </c:pt>
                  <c:pt idx="453">
                    <c:v>#N/A</c:v>
                  </c:pt>
                  <c:pt idx="454">
                    <c:v>#N/A</c:v>
                  </c:pt>
                  <c:pt idx="455">
                    <c:v>#N/A</c:v>
                  </c:pt>
                  <c:pt idx="456">
                    <c:v>#N/A</c:v>
                  </c:pt>
                  <c:pt idx="457">
                    <c:v>#N/A</c:v>
                  </c:pt>
                  <c:pt idx="458">
                    <c:v>#N/A</c:v>
                  </c:pt>
                  <c:pt idx="459">
                    <c:v>0.72240000000000004</c:v>
                  </c:pt>
                  <c:pt idx="460">
                    <c:v>#N/A</c:v>
                  </c:pt>
                  <c:pt idx="461">
                    <c:v>#N/A</c:v>
                  </c:pt>
                  <c:pt idx="462">
                    <c:v>#N/A</c:v>
                  </c:pt>
                  <c:pt idx="463">
                    <c:v>#N/A</c:v>
                  </c:pt>
                  <c:pt idx="464">
                    <c:v>#N/A</c:v>
                  </c:pt>
                  <c:pt idx="465">
                    <c:v>#N/A</c:v>
                  </c:pt>
                  <c:pt idx="466">
                    <c:v>#N/A</c:v>
                  </c:pt>
                  <c:pt idx="467">
                    <c:v>0.74856999999999996</c:v>
                  </c:pt>
                  <c:pt idx="468">
                    <c:v>#N/A</c:v>
                  </c:pt>
                  <c:pt idx="469">
                    <c:v>#N/A</c:v>
                  </c:pt>
                  <c:pt idx="470">
                    <c:v>#N/A</c:v>
                  </c:pt>
                  <c:pt idx="471">
                    <c:v>#N/A</c:v>
                  </c:pt>
                  <c:pt idx="472">
                    <c:v>#N/A</c:v>
                  </c:pt>
                  <c:pt idx="473">
                    <c:v>#N/A</c:v>
                  </c:pt>
                  <c:pt idx="474">
                    <c:v>#N/A</c:v>
                  </c:pt>
                  <c:pt idx="475">
                    <c:v>0.77337</c:v>
                  </c:pt>
                  <c:pt idx="476">
                    <c:v>#N/A</c:v>
                  </c:pt>
                  <c:pt idx="477">
                    <c:v>#N/A</c:v>
                  </c:pt>
                  <c:pt idx="478">
                    <c:v>#N/A</c:v>
                  </c:pt>
                  <c:pt idx="479">
                    <c:v>#N/A</c:v>
                  </c:pt>
                  <c:pt idx="480">
                    <c:v>#N/A</c:v>
                  </c:pt>
                  <c:pt idx="481">
                    <c:v>#N/A</c:v>
                  </c:pt>
                  <c:pt idx="482">
                    <c:v>#N/A</c:v>
                  </c:pt>
                  <c:pt idx="483">
                    <c:v>#N/A</c:v>
                  </c:pt>
                  <c:pt idx="484">
                    <c:v>0.79954999999999998</c:v>
                  </c:pt>
                  <c:pt idx="485">
                    <c:v>#N/A</c:v>
                  </c:pt>
                  <c:pt idx="486">
                    <c:v>#N/A</c:v>
                  </c:pt>
                  <c:pt idx="487">
                    <c:v>#N/A</c:v>
                  </c:pt>
                  <c:pt idx="488">
                    <c:v>#N/A</c:v>
                  </c:pt>
                  <c:pt idx="489">
                    <c:v>#N/A</c:v>
                  </c:pt>
                  <c:pt idx="490">
                    <c:v>#N/A</c:v>
                  </c:pt>
                  <c:pt idx="491">
                    <c:v>#N/A</c:v>
                  </c:pt>
                  <c:pt idx="492">
                    <c:v>#N/A</c:v>
                  </c:pt>
                  <c:pt idx="493">
                    <c:v>0.82381000000000004</c:v>
                  </c:pt>
                  <c:pt idx="494">
                    <c:v>#N/A</c:v>
                  </c:pt>
                  <c:pt idx="495">
                    <c:v>#N/A</c:v>
                  </c:pt>
                  <c:pt idx="496">
                    <c:v>#N/A</c:v>
                  </c:pt>
                  <c:pt idx="497">
                    <c:v>#N/A</c:v>
                  </c:pt>
                  <c:pt idx="498">
                    <c:v>#N/A</c:v>
                  </c:pt>
                  <c:pt idx="499">
                    <c:v>#N/A</c:v>
                  </c:pt>
                  <c:pt idx="500">
                    <c:v>#N/A</c:v>
                  </c:pt>
                  <c:pt idx="501">
                    <c:v>#N/A</c:v>
                  </c:pt>
                  <c:pt idx="502">
                    <c:v>#N/A</c:v>
                  </c:pt>
                  <c:pt idx="503">
                    <c:v>0.84848999999999997</c:v>
                  </c:pt>
                  <c:pt idx="504">
                    <c:v>#N/A</c:v>
                  </c:pt>
                  <c:pt idx="505">
                    <c:v>#N/A</c:v>
                  </c:pt>
                  <c:pt idx="506">
                    <c:v>#N/A</c:v>
                  </c:pt>
                  <c:pt idx="507">
                    <c:v>#N/A</c:v>
                  </c:pt>
                  <c:pt idx="508">
                    <c:v>#N/A</c:v>
                  </c:pt>
                  <c:pt idx="509">
                    <c:v>#N/A</c:v>
                  </c:pt>
                  <c:pt idx="510">
                    <c:v>#N/A</c:v>
                  </c:pt>
                  <c:pt idx="511">
                    <c:v>#N/A</c:v>
                  </c:pt>
                  <c:pt idx="512">
                    <c:v>#N/A</c:v>
                  </c:pt>
                  <c:pt idx="513">
                    <c:v>#N/A</c:v>
                  </c:pt>
                  <c:pt idx="514">
                    <c:v>#N/A</c:v>
                  </c:pt>
                  <c:pt idx="515">
                    <c:v>0.87492999999999999</c:v>
                  </c:pt>
                  <c:pt idx="516">
                    <c:v>#N/A</c:v>
                  </c:pt>
                  <c:pt idx="517">
                    <c:v>#N/A</c:v>
                  </c:pt>
                  <c:pt idx="518">
                    <c:v>#N/A</c:v>
                  </c:pt>
                  <c:pt idx="519">
                    <c:v>#N/A</c:v>
                  </c:pt>
                  <c:pt idx="520">
                    <c:v>#N/A</c:v>
                  </c:pt>
                  <c:pt idx="521">
                    <c:v>#N/A</c:v>
                  </c:pt>
                  <c:pt idx="522">
                    <c:v>#N/A</c:v>
                  </c:pt>
                  <c:pt idx="523">
                    <c:v>#N/A</c:v>
                  </c:pt>
                  <c:pt idx="524">
                    <c:v>#N/A</c:v>
                  </c:pt>
                  <c:pt idx="525">
                    <c:v>#N/A</c:v>
                  </c:pt>
                  <c:pt idx="526">
                    <c:v>#N/A</c:v>
                  </c:pt>
                  <c:pt idx="527">
                    <c:v>#N/A</c:v>
                  </c:pt>
                  <c:pt idx="528">
                    <c:v>0.89973000000000003</c:v>
                  </c:pt>
                  <c:pt idx="529">
                    <c:v>#N/A</c:v>
                  </c:pt>
                  <c:pt idx="530">
                    <c:v>#N/A</c:v>
                  </c:pt>
                  <c:pt idx="531">
                    <c:v>#N/A</c:v>
                  </c:pt>
                  <c:pt idx="532">
                    <c:v>#N/A</c:v>
                  </c:pt>
                  <c:pt idx="533">
                    <c:v>#N/A</c:v>
                  </c:pt>
                  <c:pt idx="534">
                    <c:v>#N/A</c:v>
                  </c:pt>
                  <c:pt idx="535">
                    <c:v>#N/A</c:v>
                  </c:pt>
                  <c:pt idx="536">
                    <c:v>#N/A</c:v>
                  </c:pt>
                  <c:pt idx="537">
                    <c:v>#N/A</c:v>
                  </c:pt>
                  <c:pt idx="538">
                    <c:v>#N/A</c:v>
                  </c:pt>
                  <c:pt idx="539">
                    <c:v>#N/A</c:v>
                  </c:pt>
                  <c:pt idx="540">
                    <c:v>#N/A</c:v>
                  </c:pt>
                  <c:pt idx="541">
                    <c:v>#N/A</c:v>
                  </c:pt>
                  <c:pt idx="542">
                    <c:v>#N/A</c:v>
                  </c:pt>
                  <c:pt idx="543">
                    <c:v>0.92364000000000002</c:v>
                  </c:pt>
                  <c:pt idx="544">
                    <c:v>#N/A</c:v>
                  </c:pt>
                  <c:pt idx="545">
                    <c:v>#N/A</c:v>
                  </c:pt>
                  <c:pt idx="546">
                    <c:v>#N/A</c:v>
                  </c:pt>
                  <c:pt idx="547">
                    <c:v>#N/A</c:v>
                  </c:pt>
                  <c:pt idx="548">
                    <c:v>#N/A</c:v>
                  </c:pt>
                  <c:pt idx="549">
                    <c:v>#N/A</c:v>
                  </c:pt>
                  <c:pt idx="550">
                    <c:v>#N/A</c:v>
                  </c:pt>
                  <c:pt idx="551">
                    <c:v>#N/A</c:v>
                  </c:pt>
                  <c:pt idx="552">
                    <c:v>#N/A</c:v>
                  </c:pt>
                  <c:pt idx="553">
                    <c:v>#N/A</c:v>
                  </c:pt>
                  <c:pt idx="554">
                    <c:v>#N/A</c:v>
                  </c:pt>
                  <c:pt idx="555">
                    <c:v>#N/A</c:v>
                  </c:pt>
                  <c:pt idx="556">
                    <c:v>#N/A</c:v>
                  </c:pt>
                  <c:pt idx="557">
                    <c:v>#N/A</c:v>
                  </c:pt>
                  <c:pt idx="558">
                    <c:v>#N/A</c:v>
                  </c:pt>
                  <c:pt idx="559">
                    <c:v>#N/A</c:v>
                  </c:pt>
                  <c:pt idx="560">
                    <c:v>#N/A</c:v>
                  </c:pt>
                  <c:pt idx="561">
                    <c:v>#N/A</c:v>
                  </c:pt>
                  <c:pt idx="562">
                    <c:v>#N/A</c:v>
                  </c:pt>
                  <c:pt idx="563">
                    <c:v>#N/A</c:v>
                  </c:pt>
                  <c:pt idx="564">
                    <c:v>0.94950000000000001</c:v>
                  </c:pt>
                  <c:pt idx="565">
                    <c:v>#N/A</c:v>
                  </c:pt>
                  <c:pt idx="566">
                    <c:v>#N/A</c:v>
                  </c:pt>
                  <c:pt idx="567">
                    <c:v>#N/A</c:v>
                  </c:pt>
                  <c:pt idx="568">
                    <c:v>#N/A</c:v>
                  </c:pt>
                  <c:pt idx="569">
                    <c:v>#N/A</c:v>
                  </c:pt>
                  <c:pt idx="570">
                    <c:v>#N/A</c:v>
                  </c:pt>
                  <c:pt idx="571">
                    <c:v>#N/A</c:v>
                  </c:pt>
                  <c:pt idx="572">
                    <c:v>#N/A</c:v>
                  </c:pt>
                  <c:pt idx="573">
                    <c:v>#N/A</c:v>
                  </c:pt>
                  <c:pt idx="574">
                    <c:v>#N/A</c:v>
                  </c:pt>
                  <c:pt idx="575">
                    <c:v>#N/A</c:v>
                  </c:pt>
                  <c:pt idx="576">
                    <c:v>#N/A</c:v>
                  </c:pt>
                  <c:pt idx="577">
                    <c:v>#N/A</c:v>
                  </c:pt>
                  <c:pt idx="578">
                    <c:v>#N/A</c:v>
                  </c:pt>
                  <c:pt idx="579">
                    <c:v>#N/A</c:v>
                  </c:pt>
                  <c:pt idx="580">
                    <c:v>#N/A</c:v>
                  </c:pt>
                  <c:pt idx="581">
                    <c:v>#N/A</c:v>
                  </c:pt>
                  <c:pt idx="582">
                    <c:v>#N/A</c:v>
                  </c:pt>
                  <c:pt idx="583">
                    <c:v>#N/A</c:v>
                  </c:pt>
                  <c:pt idx="584">
                    <c:v>#N/A</c:v>
                  </c:pt>
                  <c:pt idx="585">
                    <c:v>#N/A</c:v>
                  </c:pt>
                  <c:pt idx="586">
                    <c:v>#N/A</c:v>
                  </c:pt>
                  <c:pt idx="587">
                    <c:v>#N/A</c:v>
                  </c:pt>
                  <c:pt idx="588">
                    <c:v>#N/A</c:v>
                  </c:pt>
                  <c:pt idx="589">
                    <c:v>#N/A</c:v>
                  </c:pt>
                  <c:pt idx="590">
                    <c:v>#N/A</c:v>
                  </c:pt>
                  <c:pt idx="591">
                    <c:v>#N/A</c:v>
                  </c:pt>
                  <c:pt idx="592">
                    <c:v>#N/A</c:v>
                  </c:pt>
                  <c:pt idx="593">
                    <c:v>#N/A</c:v>
                  </c:pt>
                  <c:pt idx="594">
                    <c:v>#N/A</c:v>
                  </c:pt>
                  <c:pt idx="595">
                    <c:v>#N/A</c:v>
                  </c:pt>
                  <c:pt idx="596">
                    <c:v>0.97499999999999998</c:v>
                  </c:pt>
                  <c:pt idx="597">
                    <c:v>#N/A</c:v>
                  </c:pt>
                  <c:pt idx="598">
                    <c:v>#N/A</c:v>
                  </c:pt>
                  <c:pt idx="599">
                    <c:v>#N/A</c:v>
                  </c:pt>
                  <c:pt idx="600">
                    <c:v>#N/A</c:v>
                  </c:pt>
                  <c:pt idx="601">
                    <c:v>#N/A</c:v>
                  </c:pt>
                  <c:pt idx="602">
                    <c:v>#N/A</c:v>
                  </c:pt>
                  <c:pt idx="603">
                    <c:v>#N/A</c:v>
                  </c:pt>
                  <c:pt idx="604">
                    <c:v>#N/A</c:v>
                  </c:pt>
                  <c:pt idx="605">
                    <c:v>#N/A</c:v>
                  </c:pt>
                  <c:pt idx="606">
                    <c:v>#N/A</c:v>
                  </c:pt>
                  <c:pt idx="607">
                    <c:v>#N/A</c:v>
                  </c:pt>
                  <c:pt idx="608">
                    <c:v>#N/A</c:v>
                  </c:pt>
                  <c:pt idx="609">
                    <c:v>#N/A</c:v>
                  </c:pt>
                  <c:pt idx="610">
                    <c:v>#N/A</c:v>
                  </c:pt>
                  <c:pt idx="611">
                    <c:v>#N/A</c:v>
                  </c:pt>
                  <c:pt idx="612">
                    <c:v>#N/A</c:v>
                  </c:pt>
                  <c:pt idx="613">
                    <c:v>#N/A</c:v>
                  </c:pt>
                  <c:pt idx="614">
                    <c:v>#N/A</c:v>
                  </c:pt>
                  <c:pt idx="615">
                    <c:v>#N/A</c:v>
                  </c:pt>
                  <c:pt idx="616">
                    <c:v>#N/A</c:v>
                  </c:pt>
                  <c:pt idx="617">
                    <c:v>#N/A</c:v>
                  </c:pt>
                  <c:pt idx="618">
                    <c:v>#N/A</c:v>
                  </c:pt>
                  <c:pt idx="619">
                    <c:v>#N/A</c:v>
                  </c:pt>
                  <c:pt idx="620">
                    <c:v>#N/A</c:v>
                  </c:pt>
                  <c:pt idx="621">
                    <c:v>#N/A</c:v>
                  </c:pt>
                  <c:pt idx="622">
                    <c:v>#N/A</c:v>
                  </c:pt>
                  <c:pt idx="623">
                    <c:v>#N/A</c:v>
                  </c:pt>
                  <c:pt idx="624">
                    <c:v>#N/A</c:v>
                  </c:pt>
                  <c:pt idx="625">
                    <c:v>#N/A</c:v>
                  </c:pt>
                  <c:pt idx="626">
                    <c:v>#N/A</c:v>
                  </c:pt>
                  <c:pt idx="627">
                    <c:v>#N/A</c:v>
                  </c:pt>
                  <c:pt idx="628">
                    <c:v>#N/A</c:v>
                  </c:pt>
                  <c:pt idx="629">
                    <c:v>#N/A</c:v>
                  </c:pt>
                  <c:pt idx="630">
                    <c:v>#N/A</c:v>
                  </c:pt>
                  <c:pt idx="631">
                    <c:v>#N/A</c:v>
                  </c:pt>
                  <c:pt idx="632">
                    <c:v>#N/A</c:v>
                  </c:pt>
                  <c:pt idx="633">
                    <c:v>#N/A</c:v>
                  </c:pt>
                  <c:pt idx="634">
                    <c:v>#N/A</c:v>
                  </c:pt>
                  <c:pt idx="635">
                    <c:v>#N/A</c:v>
                  </c:pt>
                  <c:pt idx="636">
                    <c:v>#N/A</c:v>
                  </c:pt>
                  <c:pt idx="637">
                    <c:v>#N/A</c:v>
                  </c:pt>
                  <c:pt idx="638">
                    <c:v>#N/A</c:v>
                  </c:pt>
                  <c:pt idx="639">
                    <c:v>#N/A</c:v>
                  </c:pt>
                  <c:pt idx="640">
                    <c:v>#N/A</c:v>
                  </c:pt>
                  <c:pt idx="641">
                    <c:v>#N/A</c:v>
                  </c:pt>
                  <c:pt idx="642">
                    <c:v>#N/A</c:v>
                  </c:pt>
                  <c:pt idx="643">
                    <c:v>#N/A</c:v>
                  </c:pt>
                  <c:pt idx="644">
                    <c:v>#N/A</c:v>
                  </c:pt>
                  <c:pt idx="645">
                    <c:v>#N/A</c:v>
                  </c:pt>
                  <c:pt idx="646">
                    <c:v>#N/A</c:v>
                  </c:pt>
                  <c:pt idx="647">
                    <c:v>#N/A</c:v>
                  </c:pt>
                  <c:pt idx="648">
                    <c:v>#N/A</c:v>
                  </c:pt>
                  <c:pt idx="649">
                    <c:v>#N/A</c:v>
                  </c:pt>
                  <c:pt idx="650">
                    <c:v>#N/A</c:v>
                  </c:pt>
                  <c:pt idx="651">
                    <c:v>#N/A</c:v>
                  </c:pt>
                  <c:pt idx="652">
                    <c:v>#N/A</c:v>
                  </c:pt>
                  <c:pt idx="653">
                    <c:v>#N/A</c:v>
                  </c:pt>
                  <c:pt idx="654">
                    <c:v>#N/A</c:v>
                  </c:pt>
                  <c:pt idx="655">
                    <c:v>#N/A</c:v>
                  </c:pt>
                  <c:pt idx="656">
                    <c:v>#N/A</c:v>
                  </c:pt>
                  <c:pt idx="657">
                    <c:v>#N/A</c:v>
                  </c:pt>
                  <c:pt idx="658">
                    <c:v>#N/A</c:v>
                  </c:pt>
                  <c:pt idx="659">
                    <c:v>#N/A</c:v>
                  </c:pt>
                  <c:pt idx="660">
                    <c:v>#N/A</c:v>
                  </c:pt>
                  <c:pt idx="661">
                    <c:v>#N/A</c:v>
                  </c:pt>
                  <c:pt idx="662">
                    <c:v>#N/A</c:v>
                  </c:pt>
                  <c:pt idx="663">
                    <c:v>#N/A</c:v>
                  </c:pt>
                  <c:pt idx="664">
                    <c:v>#N/A</c:v>
                  </c:pt>
                  <c:pt idx="665">
                    <c:v>#N/A</c:v>
                  </c:pt>
                  <c:pt idx="666">
                    <c:v>#N/A</c:v>
                  </c:pt>
                  <c:pt idx="667">
                    <c:v>#N/A</c:v>
                  </c:pt>
                  <c:pt idx="668">
                    <c:v>#N/A</c:v>
                  </c:pt>
                  <c:pt idx="669">
                    <c:v>#N/A</c:v>
                  </c:pt>
                  <c:pt idx="670">
                    <c:v>#N/A</c:v>
                  </c:pt>
                  <c:pt idx="671">
                    <c:v>#N/A</c:v>
                  </c:pt>
                  <c:pt idx="672">
                    <c:v>#N/A</c:v>
                  </c:pt>
                  <c:pt idx="673">
                    <c:v>#N/A</c:v>
                  </c:pt>
                  <c:pt idx="674">
                    <c:v>#N/A</c:v>
                  </c:pt>
                  <c:pt idx="675">
                    <c:v>#N/A</c:v>
                  </c:pt>
                  <c:pt idx="676">
                    <c:v>#N/A</c:v>
                  </c:pt>
                  <c:pt idx="677">
                    <c:v>#N/A</c:v>
                  </c:pt>
                  <c:pt idx="678">
                    <c:v>#N/A</c:v>
                  </c:pt>
                  <c:pt idx="679">
                    <c:v>#N/A</c:v>
                  </c:pt>
                  <c:pt idx="680">
                    <c:v>#N/A</c:v>
                  </c:pt>
                  <c:pt idx="681">
                    <c:v>#N/A</c:v>
                  </c:pt>
                  <c:pt idx="682">
                    <c:v>#N/A</c:v>
                  </c:pt>
                  <c:pt idx="683">
                    <c:v>#N/A</c:v>
                  </c:pt>
                  <c:pt idx="684">
                    <c:v>#N/A</c:v>
                  </c:pt>
                  <c:pt idx="685">
                    <c:v>#N/A</c:v>
                  </c:pt>
                  <c:pt idx="686">
                    <c:v>#N/A</c:v>
                  </c:pt>
                  <c:pt idx="687">
                    <c:v>#N/A</c:v>
                  </c:pt>
                  <c:pt idx="688">
                    <c:v>#N/A</c:v>
                  </c:pt>
                  <c:pt idx="689">
                    <c:v>#N/A</c:v>
                  </c:pt>
                  <c:pt idx="690">
                    <c:v>#N/A</c:v>
                  </c:pt>
                  <c:pt idx="691">
                    <c:v>#N/A</c:v>
                  </c:pt>
                  <c:pt idx="692">
                    <c:v>#N/A</c:v>
                  </c:pt>
                  <c:pt idx="693">
                    <c:v>#N/A</c:v>
                  </c:pt>
                  <c:pt idx="694">
                    <c:v>#N/A</c:v>
                  </c:pt>
                  <c:pt idx="695">
                    <c:v>#N/A</c:v>
                  </c:pt>
                  <c:pt idx="696">
                    <c:v>#N/A</c:v>
                  </c:pt>
                  <c:pt idx="697">
                    <c:v>#N/A</c:v>
                  </c:pt>
                  <c:pt idx="698">
                    <c:v>#N/A</c:v>
                  </c:pt>
                  <c:pt idx="699">
                    <c:v>#N/A</c:v>
                  </c:pt>
                  <c:pt idx="700">
                    <c:v>#N/A</c:v>
                  </c:pt>
                  <c:pt idx="701">
                    <c:v>#N/A</c:v>
                  </c:pt>
                  <c:pt idx="702">
                    <c:v>#N/A</c:v>
                  </c:pt>
                  <c:pt idx="703">
                    <c:v>#N/A</c:v>
                  </c:pt>
                  <c:pt idx="704">
                    <c:v>#N/A</c:v>
                  </c:pt>
                  <c:pt idx="705">
                    <c:v>#N/A</c:v>
                  </c:pt>
                  <c:pt idx="706">
                    <c:v>#N/A</c:v>
                  </c:pt>
                  <c:pt idx="707">
                    <c:v>#N/A</c:v>
                  </c:pt>
                  <c:pt idx="708">
                    <c:v>#N/A</c:v>
                  </c:pt>
                  <c:pt idx="709">
                    <c:v>#N/A</c:v>
                  </c:pt>
                  <c:pt idx="710">
                    <c:v>#N/A</c:v>
                  </c:pt>
                  <c:pt idx="711">
                    <c:v>#N/A</c:v>
                  </c:pt>
                  <c:pt idx="712">
                    <c:v>#N/A</c:v>
                  </c:pt>
                  <c:pt idx="713">
                    <c:v>#N/A</c:v>
                  </c:pt>
                  <c:pt idx="714">
                    <c:v>#N/A</c:v>
                  </c:pt>
                  <c:pt idx="715">
                    <c:v>#N/A</c:v>
                  </c:pt>
                  <c:pt idx="716">
                    <c:v>#N/A</c:v>
                  </c:pt>
                  <c:pt idx="717">
                    <c:v>#N/A</c:v>
                  </c:pt>
                  <c:pt idx="718">
                    <c:v>#N/A</c:v>
                  </c:pt>
                  <c:pt idx="719">
                    <c:v>#N/A</c:v>
                  </c:pt>
                  <c:pt idx="720">
                    <c:v>#N/A</c:v>
                  </c:pt>
                  <c:pt idx="721">
                    <c:v>#N/A</c:v>
                  </c:pt>
                  <c:pt idx="722">
                    <c:v>#N/A</c:v>
                  </c:pt>
                  <c:pt idx="723">
                    <c:v>#N/A</c:v>
                  </c:pt>
                  <c:pt idx="724">
                    <c:v>#N/A</c:v>
                  </c:pt>
                  <c:pt idx="725">
                    <c:v>#N/A</c:v>
                  </c:pt>
                  <c:pt idx="726">
                    <c:v>#N/A</c:v>
                  </c:pt>
                  <c:pt idx="727">
                    <c:v>#N/A</c:v>
                  </c:pt>
                  <c:pt idx="728">
                    <c:v>#N/A</c:v>
                  </c:pt>
                  <c:pt idx="729">
                    <c:v>#N/A</c:v>
                  </c:pt>
                  <c:pt idx="730">
                    <c:v>#N/A</c:v>
                  </c:pt>
                  <c:pt idx="731">
                    <c:v>#N/A</c:v>
                  </c:pt>
                  <c:pt idx="732">
                    <c:v>#N/A</c:v>
                  </c:pt>
                  <c:pt idx="733">
                    <c:v>#N/A</c:v>
                  </c:pt>
                  <c:pt idx="734">
                    <c:v>#N/A</c:v>
                  </c:pt>
                  <c:pt idx="735">
                    <c:v>#N/A</c:v>
                  </c:pt>
                  <c:pt idx="736">
                    <c:v>#N/A</c:v>
                  </c:pt>
                  <c:pt idx="737">
                    <c:v>#N/A</c:v>
                  </c:pt>
                  <c:pt idx="738">
                    <c:v>#N/A</c:v>
                  </c:pt>
                  <c:pt idx="739">
                    <c:v>#N/A</c:v>
                  </c:pt>
                  <c:pt idx="740">
                    <c:v>#N/A</c:v>
                  </c:pt>
                  <c:pt idx="741">
                    <c:v>#N/A</c:v>
                  </c:pt>
                  <c:pt idx="742">
                    <c:v>#N/A</c:v>
                  </c:pt>
                  <c:pt idx="743">
                    <c:v>#N/A</c:v>
                  </c:pt>
                  <c:pt idx="744">
                    <c:v>#N/A</c:v>
                  </c:pt>
                  <c:pt idx="745">
                    <c:v>#N/A</c:v>
                  </c:pt>
                  <c:pt idx="746">
                    <c:v>#N/A</c:v>
                  </c:pt>
                  <c:pt idx="747">
                    <c:v>#N/A</c:v>
                  </c:pt>
                  <c:pt idx="748">
                    <c:v>#N/A</c:v>
                  </c:pt>
                  <c:pt idx="749">
                    <c:v>#N/A</c:v>
                  </c:pt>
                  <c:pt idx="750">
                    <c:v>#N/A</c:v>
                  </c:pt>
                  <c:pt idx="751">
                    <c:v>#N/A</c:v>
                  </c:pt>
                  <c:pt idx="752">
                    <c:v>#N/A</c:v>
                  </c:pt>
                  <c:pt idx="753">
                    <c:v>#N/A</c:v>
                  </c:pt>
                  <c:pt idx="754">
                    <c:v>#N/A</c:v>
                  </c:pt>
                  <c:pt idx="755">
                    <c:v>#N/A</c:v>
                  </c:pt>
                  <c:pt idx="756">
                    <c:v>#N/A</c:v>
                  </c:pt>
                  <c:pt idx="757">
                    <c:v>#N/A</c:v>
                  </c:pt>
                  <c:pt idx="758">
                    <c:v>#N/A</c:v>
                  </c:pt>
                  <c:pt idx="759">
                    <c:v>#N/A</c:v>
                  </c:pt>
                  <c:pt idx="760">
                    <c:v>#N/A</c:v>
                  </c:pt>
                  <c:pt idx="761">
                    <c:v>#N/A</c:v>
                  </c:pt>
                  <c:pt idx="762">
                    <c:v>#N/A</c:v>
                  </c:pt>
                  <c:pt idx="763">
                    <c:v>#N/A</c:v>
                  </c:pt>
                  <c:pt idx="764">
                    <c:v>#N/A</c:v>
                  </c:pt>
                  <c:pt idx="765">
                    <c:v>#N/A</c:v>
                  </c:pt>
                  <c:pt idx="766">
                    <c:v>#N/A</c:v>
                  </c:pt>
                  <c:pt idx="767">
                    <c:v>#N/A</c:v>
                  </c:pt>
                  <c:pt idx="768">
                    <c:v>#N/A</c:v>
                  </c:pt>
                  <c:pt idx="769">
                    <c:v>#N/A</c:v>
                  </c:pt>
                  <c:pt idx="770">
                    <c:v>#N/A</c:v>
                  </c:pt>
                  <c:pt idx="771">
                    <c:v>#N/A</c:v>
                  </c:pt>
                  <c:pt idx="772">
                    <c:v>#N/A</c:v>
                  </c:pt>
                  <c:pt idx="773">
                    <c:v>#N/A</c:v>
                  </c:pt>
                  <c:pt idx="774">
                    <c:v>#N/A</c:v>
                  </c:pt>
                  <c:pt idx="775">
                    <c:v>#N/A</c:v>
                  </c:pt>
                  <c:pt idx="776">
                    <c:v>#N/A</c:v>
                  </c:pt>
                  <c:pt idx="777">
                    <c:v>#N/A</c:v>
                  </c:pt>
                  <c:pt idx="778">
                    <c:v>#N/A</c:v>
                  </c:pt>
                  <c:pt idx="779">
                    <c:v>#N/A</c:v>
                  </c:pt>
                  <c:pt idx="780">
                    <c:v>#N/A</c:v>
                  </c:pt>
                  <c:pt idx="781">
                    <c:v>#N/A</c:v>
                  </c:pt>
                  <c:pt idx="782">
                    <c:v>#N/A</c:v>
                  </c:pt>
                  <c:pt idx="783">
                    <c:v>#N/A</c:v>
                  </c:pt>
                  <c:pt idx="784">
                    <c:v>#N/A</c:v>
                  </c:pt>
                  <c:pt idx="785">
                    <c:v>#N/A</c:v>
                  </c:pt>
                  <c:pt idx="786">
                    <c:v>#N/A</c:v>
                  </c:pt>
                  <c:pt idx="787">
                    <c:v>#N/A</c:v>
                  </c:pt>
                  <c:pt idx="788">
                    <c:v>#N/A</c:v>
                  </c:pt>
                  <c:pt idx="789">
                    <c:v>#N/A</c:v>
                  </c:pt>
                  <c:pt idx="790">
                    <c:v>#N/A</c:v>
                  </c:pt>
                  <c:pt idx="791">
                    <c:v>#N/A</c:v>
                  </c:pt>
                  <c:pt idx="792">
                    <c:v>#N/A</c:v>
                  </c:pt>
                  <c:pt idx="793">
                    <c:v>#N/A</c:v>
                  </c:pt>
                  <c:pt idx="794">
                    <c:v>#N/A</c:v>
                  </c:pt>
                  <c:pt idx="795">
                    <c:v>#N/A</c:v>
                  </c:pt>
                  <c:pt idx="796">
                    <c:v>#N/A</c:v>
                  </c:pt>
                  <c:pt idx="797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C00000"/>
                </a:solidFill>
                <a:prstDash val="sysDot"/>
                <a:round/>
              </a:ln>
              <a:effectLst/>
            </c:spPr>
          </c:errBars>
          <c:xVal>
            <c:numRef>
              <c:f>'Лист1 (3)'!$Q$3:$Q$803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xVal>
          <c:yVal>
            <c:numRef>
              <c:f>'Лист1 (3)'!$S$3:$S$803</c:f>
              <c:numCache>
                <c:formatCode>General</c:formatCode>
                <c:ptCount val="80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2.5000000000000001E-2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4.947E-2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7.4929999999999997E-2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9.8530000000000006E-2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0.12302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0.14917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0.17360999999999999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0.19766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0.22363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0.24825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0.27424999999999999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0.29805999999999999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0.32275999999999999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0.34827000000000002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0.37447999999999998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0.39743000000000001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0.42465000000000003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0.44828000000000001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0.47210000000000002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0.5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0.52392000000000005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0.54776000000000002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0.57142000000000004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0.59870999999999996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0.62172000000000005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0.64802999999999999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0.67364000000000002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0.69847000000000004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0.72240000000000004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0.74856999999999996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0.77337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0.79954999999999998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0.82381000000000004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0.84848999999999997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0.87492999999999999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0.89973000000000003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0.92364000000000002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0.94950000000000001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0.97499999999999998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E-4A83-865A-1FA7F483C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41928"/>
        <c:axId val="461438976"/>
      </c:scatterChart>
      <c:scatterChart>
        <c:scatterStyle val="smoothMarker"/>
        <c:varyColors val="0"/>
        <c:ser>
          <c:idx val="0"/>
          <c:order val="0"/>
          <c:tx>
            <c:strRef>
              <c:f>'Лист1 (3)'!$R$2</c:f>
              <c:strCache>
                <c:ptCount val="1"/>
                <c:pt idx="0">
                  <c:v>функция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'Лист1 (3)'!$Q$3:$Q$803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xVal>
          <c:yVal>
            <c:numRef>
              <c:f>'Лист1 (3)'!$R$3:$R$803</c:f>
              <c:numCache>
                <c:formatCode>General</c:formatCode>
                <c:ptCount val="801"/>
                <c:pt idx="0">
                  <c:v>1.2999999999999999E-4</c:v>
                </c:pt>
                <c:pt idx="1">
                  <c:v>3.0000000000000001E-5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4.0000000000000003E-5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5.0000000000000002E-5</c:v>
                </c:pt>
                <c:pt idx="10">
                  <c:v>5.0000000000000002E-5</c:v>
                </c:pt>
                <c:pt idx="11">
                  <c:v>5.0000000000000002E-5</c:v>
                </c:pt>
                <c:pt idx="12">
                  <c:v>5.0000000000000002E-5</c:v>
                </c:pt>
                <c:pt idx="13">
                  <c:v>5.0000000000000002E-5</c:v>
                </c:pt>
                <c:pt idx="14">
                  <c:v>6.0000000000000002E-5</c:v>
                </c:pt>
                <c:pt idx="15">
                  <c:v>6.0000000000000002E-5</c:v>
                </c:pt>
                <c:pt idx="16">
                  <c:v>6.0000000000000002E-5</c:v>
                </c:pt>
                <c:pt idx="17">
                  <c:v>6.0000000000000002E-5</c:v>
                </c:pt>
                <c:pt idx="18">
                  <c:v>6.9999999999999994E-5</c:v>
                </c:pt>
                <c:pt idx="19">
                  <c:v>6.9999999999999994E-5</c:v>
                </c:pt>
                <c:pt idx="20">
                  <c:v>6.9999999999999994E-5</c:v>
                </c:pt>
                <c:pt idx="21">
                  <c:v>8.0000000000000007E-5</c:v>
                </c:pt>
                <c:pt idx="22">
                  <c:v>8.0000000000000007E-5</c:v>
                </c:pt>
                <c:pt idx="23">
                  <c:v>8.0000000000000007E-5</c:v>
                </c:pt>
                <c:pt idx="24">
                  <c:v>8.0000000000000007E-5</c:v>
                </c:pt>
                <c:pt idx="25">
                  <c:v>9.0000000000000006E-5</c:v>
                </c:pt>
                <c:pt idx="26">
                  <c:v>9.0000000000000006E-5</c:v>
                </c:pt>
                <c:pt idx="27">
                  <c:v>1E-4</c:v>
                </c:pt>
                <c:pt idx="28">
                  <c:v>1E-4</c:v>
                </c:pt>
                <c:pt idx="29">
                  <c:v>1E-4</c:v>
                </c:pt>
                <c:pt idx="30">
                  <c:v>1.1E-4</c:v>
                </c:pt>
                <c:pt idx="31">
                  <c:v>1.1E-4</c:v>
                </c:pt>
                <c:pt idx="32">
                  <c:v>1.2E-4</c:v>
                </c:pt>
                <c:pt idx="33">
                  <c:v>1.2E-4</c:v>
                </c:pt>
                <c:pt idx="34">
                  <c:v>1.2999999999999999E-4</c:v>
                </c:pt>
                <c:pt idx="35">
                  <c:v>1.2999999999999999E-4</c:v>
                </c:pt>
                <c:pt idx="36">
                  <c:v>1.3999999999999999E-4</c:v>
                </c:pt>
                <c:pt idx="37">
                  <c:v>1.3999999999999999E-4</c:v>
                </c:pt>
                <c:pt idx="38">
                  <c:v>1.4999999999999999E-4</c:v>
                </c:pt>
                <c:pt idx="39">
                  <c:v>1.4999999999999999E-4</c:v>
                </c:pt>
                <c:pt idx="40">
                  <c:v>1.6000000000000001E-4</c:v>
                </c:pt>
                <c:pt idx="41">
                  <c:v>1.7000000000000001E-4</c:v>
                </c:pt>
                <c:pt idx="42">
                  <c:v>1.7000000000000001E-4</c:v>
                </c:pt>
                <c:pt idx="43">
                  <c:v>1.8000000000000001E-4</c:v>
                </c:pt>
                <c:pt idx="44">
                  <c:v>1.9000000000000001E-4</c:v>
                </c:pt>
                <c:pt idx="45">
                  <c:v>1.9000000000000001E-4</c:v>
                </c:pt>
                <c:pt idx="46">
                  <c:v>2.0000000000000001E-4</c:v>
                </c:pt>
                <c:pt idx="47">
                  <c:v>2.1000000000000001E-4</c:v>
                </c:pt>
                <c:pt idx="48">
                  <c:v>2.2000000000000001E-4</c:v>
                </c:pt>
                <c:pt idx="49">
                  <c:v>2.2000000000000001E-4</c:v>
                </c:pt>
                <c:pt idx="50">
                  <c:v>2.3000000000000001E-4</c:v>
                </c:pt>
                <c:pt idx="51">
                  <c:v>2.4000000000000001E-4</c:v>
                </c:pt>
                <c:pt idx="52">
                  <c:v>2.5000000000000001E-4</c:v>
                </c:pt>
                <c:pt idx="53">
                  <c:v>2.5999999999999998E-4</c:v>
                </c:pt>
                <c:pt idx="54">
                  <c:v>2.7E-4</c:v>
                </c:pt>
                <c:pt idx="55">
                  <c:v>2.7999999999999998E-4</c:v>
                </c:pt>
                <c:pt idx="56">
                  <c:v>2.9E-4</c:v>
                </c:pt>
                <c:pt idx="57">
                  <c:v>2.9999999999999997E-4</c:v>
                </c:pt>
                <c:pt idx="58">
                  <c:v>3.1E-4</c:v>
                </c:pt>
                <c:pt idx="59">
                  <c:v>3.2000000000000003E-4</c:v>
                </c:pt>
                <c:pt idx="60">
                  <c:v>3.4000000000000002E-4</c:v>
                </c:pt>
                <c:pt idx="61">
                  <c:v>3.5E-4</c:v>
                </c:pt>
                <c:pt idx="62">
                  <c:v>3.6000000000000002E-4</c:v>
                </c:pt>
                <c:pt idx="63">
                  <c:v>3.8000000000000002E-4</c:v>
                </c:pt>
                <c:pt idx="64">
                  <c:v>3.8999999999999999E-4</c:v>
                </c:pt>
                <c:pt idx="65">
                  <c:v>4.0000000000000002E-4</c:v>
                </c:pt>
                <c:pt idx="66">
                  <c:v>4.2000000000000002E-4</c:v>
                </c:pt>
                <c:pt idx="67">
                  <c:v>4.2999999999999999E-4</c:v>
                </c:pt>
                <c:pt idx="68">
                  <c:v>4.4999999999999999E-4</c:v>
                </c:pt>
                <c:pt idx="69">
                  <c:v>4.6999999999999999E-4</c:v>
                </c:pt>
                <c:pt idx="70">
                  <c:v>4.8000000000000001E-4</c:v>
                </c:pt>
                <c:pt idx="71">
                  <c:v>5.0000000000000001E-4</c:v>
                </c:pt>
                <c:pt idx="72">
                  <c:v>5.1999999999999995E-4</c:v>
                </c:pt>
                <c:pt idx="73">
                  <c:v>5.4000000000000001E-4</c:v>
                </c:pt>
                <c:pt idx="74">
                  <c:v>5.5999999999999995E-4</c:v>
                </c:pt>
                <c:pt idx="75">
                  <c:v>5.8E-4</c:v>
                </c:pt>
                <c:pt idx="76">
                  <c:v>5.9999999999999995E-4</c:v>
                </c:pt>
                <c:pt idx="77">
                  <c:v>6.2E-4</c:v>
                </c:pt>
                <c:pt idx="78">
                  <c:v>6.4000000000000005E-4</c:v>
                </c:pt>
                <c:pt idx="79">
                  <c:v>6.6E-4</c:v>
                </c:pt>
                <c:pt idx="80">
                  <c:v>6.8999999999999997E-4</c:v>
                </c:pt>
                <c:pt idx="81">
                  <c:v>7.1000000000000002E-4</c:v>
                </c:pt>
                <c:pt idx="82">
                  <c:v>7.3999999999999999E-4</c:v>
                </c:pt>
                <c:pt idx="83">
                  <c:v>7.6000000000000004E-4</c:v>
                </c:pt>
                <c:pt idx="84">
                  <c:v>7.9000000000000001E-4</c:v>
                </c:pt>
                <c:pt idx="85">
                  <c:v>8.1999999999999998E-4</c:v>
                </c:pt>
                <c:pt idx="86">
                  <c:v>8.4000000000000003E-4</c:v>
                </c:pt>
                <c:pt idx="87">
                  <c:v>8.7000000000000001E-4</c:v>
                </c:pt>
                <c:pt idx="88">
                  <c:v>8.9999999999999998E-4</c:v>
                </c:pt>
                <c:pt idx="89">
                  <c:v>9.3999999999999997E-4</c:v>
                </c:pt>
                <c:pt idx="90">
                  <c:v>9.7000000000000005E-4</c:v>
                </c:pt>
                <c:pt idx="91">
                  <c:v>1E-3</c:v>
                </c:pt>
                <c:pt idx="92">
                  <c:v>1.0399999999999999E-3</c:v>
                </c:pt>
                <c:pt idx="93">
                  <c:v>1.07E-3</c:v>
                </c:pt>
                <c:pt idx="94">
                  <c:v>1.1100000000000001E-3</c:v>
                </c:pt>
                <c:pt idx="95">
                  <c:v>1.14E-3</c:v>
                </c:pt>
                <c:pt idx="96">
                  <c:v>1.1800000000000001E-3</c:v>
                </c:pt>
                <c:pt idx="97">
                  <c:v>1.2199999999999999E-3</c:v>
                </c:pt>
                <c:pt idx="98">
                  <c:v>1.2600000000000001E-3</c:v>
                </c:pt>
                <c:pt idx="99">
                  <c:v>1.31E-3</c:v>
                </c:pt>
                <c:pt idx="100">
                  <c:v>1.3500000000000001E-3</c:v>
                </c:pt>
                <c:pt idx="101">
                  <c:v>1.39E-3</c:v>
                </c:pt>
                <c:pt idx="102">
                  <c:v>1.4400000000000001E-3</c:v>
                </c:pt>
                <c:pt idx="103">
                  <c:v>1.49E-3</c:v>
                </c:pt>
                <c:pt idx="104">
                  <c:v>1.5399999999999999E-3</c:v>
                </c:pt>
                <c:pt idx="105">
                  <c:v>1.5900000000000001E-3</c:v>
                </c:pt>
                <c:pt idx="106">
                  <c:v>1.64E-3</c:v>
                </c:pt>
                <c:pt idx="107">
                  <c:v>1.6900000000000001E-3</c:v>
                </c:pt>
                <c:pt idx="108">
                  <c:v>1.75E-3</c:v>
                </c:pt>
                <c:pt idx="109">
                  <c:v>1.81E-3</c:v>
                </c:pt>
                <c:pt idx="110">
                  <c:v>1.8699999999999999E-3</c:v>
                </c:pt>
                <c:pt idx="111">
                  <c:v>1.9300000000000001E-3</c:v>
                </c:pt>
                <c:pt idx="112">
                  <c:v>1.99E-3</c:v>
                </c:pt>
                <c:pt idx="113">
                  <c:v>2.0500000000000002E-3</c:v>
                </c:pt>
                <c:pt idx="114">
                  <c:v>2.1199999999999999E-3</c:v>
                </c:pt>
                <c:pt idx="115">
                  <c:v>2.1900000000000001E-3</c:v>
                </c:pt>
                <c:pt idx="116">
                  <c:v>2.2599999999999999E-3</c:v>
                </c:pt>
                <c:pt idx="117">
                  <c:v>2.33E-3</c:v>
                </c:pt>
                <c:pt idx="118">
                  <c:v>2.3999999999999998E-3</c:v>
                </c:pt>
                <c:pt idx="119">
                  <c:v>2.48E-3</c:v>
                </c:pt>
                <c:pt idx="120">
                  <c:v>2.5600000000000002E-3</c:v>
                </c:pt>
                <c:pt idx="121">
                  <c:v>2.64E-3</c:v>
                </c:pt>
                <c:pt idx="122">
                  <c:v>2.7200000000000002E-3</c:v>
                </c:pt>
                <c:pt idx="123">
                  <c:v>2.8E-3</c:v>
                </c:pt>
                <c:pt idx="124">
                  <c:v>2.8900000000000002E-3</c:v>
                </c:pt>
                <c:pt idx="125">
                  <c:v>2.98E-3</c:v>
                </c:pt>
                <c:pt idx="126">
                  <c:v>3.0699999999999998E-3</c:v>
                </c:pt>
                <c:pt idx="127">
                  <c:v>3.1700000000000001E-3</c:v>
                </c:pt>
                <c:pt idx="128">
                  <c:v>3.2599999999999999E-3</c:v>
                </c:pt>
                <c:pt idx="129">
                  <c:v>3.3600000000000001E-3</c:v>
                </c:pt>
                <c:pt idx="130">
                  <c:v>3.47E-3</c:v>
                </c:pt>
                <c:pt idx="131">
                  <c:v>3.5699999999999998E-3</c:v>
                </c:pt>
                <c:pt idx="132">
                  <c:v>3.6800000000000001E-3</c:v>
                </c:pt>
                <c:pt idx="133">
                  <c:v>3.79E-3</c:v>
                </c:pt>
                <c:pt idx="134">
                  <c:v>3.9100000000000003E-3</c:v>
                </c:pt>
                <c:pt idx="135">
                  <c:v>4.0200000000000001E-3</c:v>
                </c:pt>
                <c:pt idx="136">
                  <c:v>4.15E-3</c:v>
                </c:pt>
                <c:pt idx="137">
                  <c:v>4.2700000000000004E-3</c:v>
                </c:pt>
                <c:pt idx="138">
                  <c:v>4.4000000000000003E-3</c:v>
                </c:pt>
                <c:pt idx="139">
                  <c:v>4.5300000000000002E-3</c:v>
                </c:pt>
                <c:pt idx="140">
                  <c:v>4.6600000000000001E-3</c:v>
                </c:pt>
                <c:pt idx="141">
                  <c:v>4.7999999999999996E-3</c:v>
                </c:pt>
                <c:pt idx="142">
                  <c:v>4.9399999999999999E-3</c:v>
                </c:pt>
                <c:pt idx="143">
                  <c:v>5.0800000000000003E-3</c:v>
                </c:pt>
                <c:pt idx="144">
                  <c:v>5.2300000000000003E-3</c:v>
                </c:pt>
                <c:pt idx="145">
                  <c:v>5.3899999999999998E-3</c:v>
                </c:pt>
                <c:pt idx="146">
                  <c:v>5.5399999999999998E-3</c:v>
                </c:pt>
                <c:pt idx="147">
                  <c:v>5.7000000000000002E-3</c:v>
                </c:pt>
                <c:pt idx="148">
                  <c:v>5.8700000000000002E-3</c:v>
                </c:pt>
                <c:pt idx="149">
                  <c:v>6.0400000000000002E-3</c:v>
                </c:pt>
                <c:pt idx="150">
                  <c:v>6.2100000000000002E-3</c:v>
                </c:pt>
                <c:pt idx="151">
                  <c:v>6.3899999999999998E-3</c:v>
                </c:pt>
                <c:pt idx="152">
                  <c:v>6.5700000000000003E-3</c:v>
                </c:pt>
                <c:pt idx="153">
                  <c:v>6.7600000000000004E-3</c:v>
                </c:pt>
                <c:pt idx="154">
                  <c:v>6.9499999999999996E-3</c:v>
                </c:pt>
                <c:pt idx="155">
                  <c:v>7.1399999999999996E-3</c:v>
                </c:pt>
                <c:pt idx="156">
                  <c:v>7.3400000000000002E-3</c:v>
                </c:pt>
                <c:pt idx="157">
                  <c:v>7.5500000000000003E-3</c:v>
                </c:pt>
                <c:pt idx="158">
                  <c:v>7.7600000000000004E-3</c:v>
                </c:pt>
                <c:pt idx="159">
                  <c:v>7.9799999999999992E-3</c:v>
                </c:pt>
                <c:pt idx="160">
                  <c:v>8.2000000000000007E-3</c:v>
                </c:pt>
                <c:pt idx="161">
                  <c:v>8.4200000000000004E-3</c:v>
                </c:pt>
                <c:pt idx="162">
                  <c:v>8.6599999999999993E-3</c:v>
                </c:pt>
                <c:pt idx="163">
                  <c:v>8.8900000000000003E-3</c:v>
                </c:pt>
                <c:pt idx="164">
                  <c:v>9.1400000000000006E-3</c:v>
                </c:pt>
                <c:pt idx="165">
                  <c:v>9.3900000000000008E-3</c:v>
                </c:pt>
                <c:pt idx="166">
                  <c:v>9.6399999999999993E-3</c:v>
                </c:pt>
                <c:pt idx="167">
                  <c:v>9.9000000000000008E-3</c:v>
                </c:pt>
                <c:pt idx="168">
                  <c:v>1.017E-2</c:v>
                </c:pt>
                <c:pt idx="169">
                  <c:v>1.044E-2</c:v>
                </c:pt>
                <c:pt idx="170">
                  <c:v>1.072E-2</c:v>
                </c:pt>
                <c:pt idx="171">
                  <c:v>1.1010000000000001E-2</c:v>
                </c:pt>
                <c:pt idx="172">
                  <c:v>1.1299999999999999E-2</c:v>
                </c:pt>
                <c:pt idx="173">
                  <c:v>1.1599999999999999E-2</c:v>
                </c:pt>
                <c:pt idx="174">
                  <c:v>1.191E-2</c:v>
                </c:pt>
                <c:pt idx="175">
                  <c:v>1.222E-2</c:v>
                </c:pt>
                <c:pt idx="176">
                  <c:v>1.255E-2</c:v>
                </c:pt>
                <c:pt idx="177">
                  <c:v>1.2869999999999999E-2</c:v>
                </c:pt>
                <c:pt idx="178">
                  <c:v>1.321E-2</c:v>
                </c:pt>
                <c:pt idx="179">
                  <c:v>1.355E-2</c:v>
                </c:pt>
                <c:pt idx="180">
                  <c:v>1.3899999999999999E-2</c:v>
                </c:pt>
                <c:pt idx="181">
                  <c:v>1.426E-2</c:v>
                </c:pt>
                <c:pt idx="182">
                  <c:v>1.4630000000000001E-2</c:v>
                </c:pt>
                <c:pt idx="183">
                  <c:v>1.4999999999999999E-2</c:v>
                </c:pt>
                <c:pt idx="184">
                  <c:v>1.5389999999999999E-2</c:v>
                </c:pt>
                <c:pt idx="185">
                  <c:v>1.5779999999999999E-2</c:v>
                </c:pt>
                <c:pt idx="186">
                  <c:v>1.618E-2</c:v>
                </c:pt>
                <c:pt idx="187">
                  <c:v>1.6590000000000001E-2</c:v>
                </c:pt>
                <c:pt idx="188">
                  <c:v>1.7000000000000001E-2</c:v>
                </c:pt>
                <c:pt idx="189">
                  <c:v>1.7430000000000001E-2</c:v>
                </c:pt>
                <c:pt idx="190">
                  <c:v>1.7860000000000001E-2</c:v>
                </c:pt>
                <c:pt idx="191">
                  <c:v>1.831E-2</c:v>
                </c:pt>
                <c:pt idx="192">
                  <c:v>1.8759999999999999E-2</c:v>
                </c:pt>
                <c:pt idx="193">
                  <c:v>1.9230000000000001E-2</c:v>
                </c:pt>
                <c:pt idx="194">
                  <c:v>1.9699999999999999E-2</c:v>
                </c:pt>
                <c:pt idx="195">
                  <c:v>2.018E-2</c:v>
                </c:pt>
                <c:pt idx="196">
                  <c:v>2.068E-2</c:v>
                </c:pt>
                <c:pt idx="197">
                  <c:v>2.1180000000000001E-2</c:v>
                </c:pt>
                <c:pt idx="198">
                  <c:v>2.1690000000000001E-2</c:v>
                </c:pt>
                <c:pt idx="199">
                  <c:v>2.222E-2</c:v>
                </c:pt>
                <c:pt idx="200">
                  <c:v>2.2749999999999999E-2</c:v>
                </c:pt>
                <c:pt idx="201">
                  <c:v>2.3300000000000001E-2</c:v>
                </c:pt>
                <c:pt idx="202">
                  <c:v>2.385E-2</c:v>
                </c:pt>
                <c:pt idx="203">
                  <c:v>2.4420000000000001E-2</c:v>
                </c:pt>
                <c:pt idx="204">
                  <c:v>2.5000000000000001E-2</c:v>
                </c:pt>
                <c:pt idx="205">
                  <c:v>2.5590000000000002E-2</c:v>
                </c:pt>
                <c:pt idx="206">
                  <c:v>2.6190000000000001E-2</c:v>
                </c:pt>
                <c:pt idx="207">
                  <c:v>2.6800000000000001E-2</c:v>
                </c:pt>
                <c:pt idx="208">
                  <c:v>2.743E-2</c:v>
                </c:pt>
                <c:pt idx="209">
                  <c:v>2.8070000000000001E-2</c:v>
                </c:pt>
                <c:pt idx="210">
                  <c:v>2.8719999999999999E-2</c:v>
                </c:pt>
                <c:pt idx="211">
                  <c:v>2.938E-2</c:v>
                </c:pt>
                <c:pt idx="212">
                  <c:v>3.005E-2</c:v>
                </c:pt>
                <c:pt idx="213">
                  <c:v>3.074E-2</c:v>
                </c:pt>
                <c:pt idx="214">
                  <c:v>3.1440000000000003E-2</c:v>
                </c:pt>
                <c:pt idx="215">
                  <c:v>3.2160000000000001E-2</c:v>
                </c:pt>
                <c:pt idx="216">
                  <c:v>3.288E-2</c:v>
                </c:pt>
                <c:pt idx="217">
                  <c:v>3.3619999999999997E-2</c:v>
                </c:pt>
                <c:pt idx="218">
                  <c:v>3.4380000000000001E-2</c:v>
                </c:pt>
                <c:pt idx="219">
                  <c:v>3.5150000000000001E-2</c:v>
                </c:pt>
                <c:pt idx="220">
                  <c:v>3.5929999999999997E-2</c:v>
                </c:pt>
                <c:pt idx="221">
                  <c:v>3.6729999999999999E-2</c:v>
                </c:pt>
                <c:pt idx="222">
                  <c:v>3.7539999999999997E-2</c:v>
                </c:pt>
                <c:pt idx="223">
                  <c:v>3.8359999999999998E-2</c:v>
                </c:pt>
                <c:pt idx="224">
                  <c:v>3.9199999999999999E-2</c:v>
                </c:pt>
                <c:pt idx="225">
                  <c:v>4.0059999999999998E-2</c:v>
                </c:pt>
                <c:pt idx="226">
                  <c:v>4.0930000000000001E-2</c:v>
                </c:pt>
                <c:pt idx="227">
                  <c:v>4.1820000000000003E-2</c:v>
                </c:pt>
                <c:pt idx="228">
                  <c:v>4.2720000000000001E-2</c:v>
                </c:pt>
                <c:pt idx="229">
                  <c:v>4.3630000000000002E-2</c:v>
                </c:pt>
                <c:pt idx="230">
                  <c:v>4.4569999999999999E-2</c:v>
                </c:pt>
                <c:pt idx="231">
                  <c:v>4.5510000000000002E-2</c:v>
                </c:pt>
                <c:pt idx="232">
                  <c:v>4.648E-2</c:v>
                </c:pt>
                <c:pt idx="233">
                  <c:v>4.7460000000000002E-2</c:v>
                </c:pt>
                <c:pt idx="234">
                  <c:v>4.8460000000000003E-2</c:v>
                </c:pt>
                <c:pt idx="235">
                  <c:v>4.947E-2</c:v>
                </c:pt>
                <c:pt idx="236">
                  <c:v>5.0500000000000003E-2</c:v>
                </c:pt>
                <c:pt idx="237">
                  <c:v>5.1549999999999999E-2</c:v>
                </c:pt>
                <c:pt idx="238">
                  <c:v>5.262E-2</c:v>
                </c:pt>
                <c:pt idx="239">
                  <c:v>5.3699999999999998E-2</c:v>
                </c:pt>
                <c:pt idx="240">
                  <c:v>5.4800000000000001E-2</c:v>
                </c:pt>
                <c:pt idx="241">
                  <c:v>5.5919999999999997E-2</c:v>
                </c:pt>
                <c:pt idx="242">
                  <c:v>5.7049999999999997E-2</c:v>
                </c:pt>
                <c:pt idx="243">
                  <c:v>5.8209999999999998E-2</c:v>
                </c:pt>
                <c:pt idx="244">
                  <c:v>5.9380000000000002E-2</c:v>
                </c:pt>
                <c:pt idx="245">
                  <c:v>6.0569999999999999E-2</c:v>
                </c:pt>
                <c:pt idx="246">
                  <c:v>6.1780000000000002E-2</c:v>
                </c:pt>
                <c:pt idx="247">
                  <c:v>6.3009999999999997E-2</c:v>
                </c:pt>
                <c:pt idx="248">
                  <c:v>6.4259999999999998E-2</c:v>
                </c:pt>
                <c:pt idx="249">
                  <c:v>6.5519999999999995E-2</c:v>
                </c:pt>
                <c:pt idx="250">
                  <c:v>6.6809999999999994E-2</c:v>
                </c:pt>
                <c:pt idx="251">
                  <c:v>6.8110000000000004E-2</c:v>
                </c:pt>
                <c:pt idx="252">
                  <c:v>6.9440000000000002E-2</c:v>
                </c:pt>
                <c:pt idx="253">
                  <c:v>7.0779999999999996E-2</c:v>
                </c:pt>
                <c:pt idx="254">
                  <c:v>7.2150000000000006E-2</c:v>
                </c:pt>
                <c:pt idx="255">
                  <c:v>7.3529999999999998E-2</c:v>
                </c:pt>
                <c:pt idx="256">
                  <c:v>7.4929999999999997E-2</c:v>
                </c:pt>
                <c:pt idx="257">
                  <c:v>7.6359999999999997E-2</c:v>
                </c:pt>
                <c:pt idx="258">
                  <c:v>7.7799999999999994E-2</c:v>
                </c:pt>
                <c:pt idx="259">
                  <c:v>7.9269999999999993E-2</c:v>
                </c:pt>
                <c:pt idx="260">
                  <c:v>8.0759999999999998E-2</c:v>
                </c:pt>
                <c:pt idx="261">
                  <c:v>8.226E-2</c:v>
                </c:pt>
                <c:pt idx="262">
                  <c:v>8.3790000000000003E-2</c:v>
                </c:pt>
                <c:pt idx="263">
                  <c:v>8.5339999999999999E-2</c:v>
                </c:pt>
                <c:pt idx="264">
                  <c:v>8.6910000000000001E-2</c:v>
                </c:pt>
                <c:pt idx="265">
                  <c:v>8.8510000000000005E-2</c:v>
                </c:pt>
                <c:pt idx="266">
                  <c:v>9.0120000000000006E-2</c:v>
                </c:pt>
                <c:pt idx="267">
                  <c:v>9.1759999999999994E-2</c:v>
                </c:pt>
                <c:pt idx="268">
                  <c:v>9.3420000000000003E-2</c:v>
                </c:pt>
                <c:pt idx="269">
                  <c:v>9.5100000000000004E-2</c:v>
                </c:pt>
                <c:pt idx="270">
                  <c:v>9.6799999999999997E-2</c:v>
                </c:pt>
                <c:pt idx="271">
                  <c:v>9.8530000000000006E-2</c:v>
                </c:pt>
                <c:pt idx="272">
                  <c:v>0.10027</c:v>
                </c:pt>
                <c:pt idx="273">
                  <c:v>0.10204000000000001</c:v>
                </c:pt>
                <c:pt idx="274">
                  <c:v>0.10383000000000001</c:v>
                </c:pt>
                <c:pt idx="275">
                  <c:v>0.10564999999999999</c:v>
                </c:pt>
                <c:pt idx="276">
                  <c:v>0.10749</c:v>
                </c:pt>
                <c:pt idx="277">
                  <c:v>0.10935</c:v>
                </c:pt>
                <c:pt idx="278">
                  <c:v>0.11123</c:v>
                </c:pt>
                <c:pt idx="279">
                  <c:v>0.11314</c:v>
                </c:pt>
                <c:pt idx="280">
                  <c:v>0.11507000000000001</c:v>
                </c:pt>
                <c:pt idx="281">
                  <c:v>0.11702</c:v>
                </c:pt>
                <c:pt idx="282">
                  <c:v>0.11899999999999999</c:v>
                </c:pt>
                <c:pt idx="283">
                  <c:v>0.121</c:v>
                </c:pt>
                <c:pt idx="284">
                  <c:v>0.12302</c:v>
                </c:pt>
                <c:pt idx="285">
                  <c:v>0.12506999999999999</c:v>
                </c:pt>
                <c:pt idx="286">
                  <c:v>0.12714</c:v>
                </c:pt>
                <c:pt idx="287">
                  <c:v>0.12923999999999999</c:v>
                </c:pt>
                <c:pt idx="288">
                  <c:v>0.13136</c:v>
                </c:pt>
                <c:pt idx="289">
                  <c:v>0.13350000000000001</c:v>
                </c:pt>
                <c:pt idx="290">
                  <c:v>0.13567000000000001</c:v>
                </c:pt>
                <c:pt idx="291">
                  <c:v>0.13786000000000001</c:v>
                </c:pt>
                <c:pt idx="292">
                  <c:v>0.14007</c:v>
                </c:pt>
                <c:pt idx="293">
                  <c:v>0.14230999999999999</c:v>
                </c:pt>
                <c:pt idx="294">
                  <c:v>0.14457</c:v>
                </c:pt>
                <c:pt idx="295">
                  <c:v>0.14685999999999999</c:v>
                </c:pt>
                <c:pt idx="296">
                  <c:v>0.14917</c:v>
                </c:pt>
                <c:pt idx="297">
                  <c:v>0.15151000000000001</c:v>
                </c:pt>
                <c:pt idx="298">
                  <c:v>0.15386</c:v>
                </c:pt>
                <c:pt idx="299">
                  <c:v>0.15625</c:v>
                </c:pt>
                <c:pt idx="300">
                  <c:v>0.15866</c:v>
                </c:pt>
                <c:pt idx="301">
                  <c:v>0.16109000000000001</c:v>
                </c:pt>
                <c:pt idx="302">
                  <c:v>0.16353999999999999</c:v>
                </c:pt>
                <c:pt idx="303">
                  <c:v>0.16602</c:v>
                </c:pt>
                <c:pt idx="304">
                  <c:v>0.16853000000000001</c:v>
                </c:pt>
                <c:pt idx="305">
                  <c:v>0.17105999999999999</c:v>
                </c:pt>
                <c:pt idx="306">
                  <c:v>0.17360999999999999</c:v>
                </c:pt>
                <c:pt idx="307">
                  <c:v>0.17619000000000001</c:v>
                </c:pt>
                <c:pt idx="308">
                  <c:v>0.17879</c:v>
                </c:pt>
                <c:pt idx="309">
                  <c:v>0.18140999999999999</c:v>
                </c:pt>
                <c:pt idx="310">
                  <c:v>0.18406</c:v>
                </c:pt>
                <c:pt idx="311">
                  <c:v>0.18673000000000001</c:v>
                </c:pt>
                <c:pt idx="312">
                  <c:v>0.18942999999999999</c:v>
                </c:pt>
                <c:pt idx="313">
                  <c:v>0.19214999999999999</c:v>
                </c:pt>
                <c:pt idx="314">
                  <c:v>0.19489000000000001</c:v>
                </c:pt>
                <c:pt idx="315">
                  <c:v>0.19766</c:v>
                </c:pt>
                <c:pt idx="316">
                  <c:v>0.20044999999999999</c:v>
                </c:pt>
                <c:pt idx="317">
                  <c:v>0.20327000000000001</c:v>
                </c:pt>
                <c:pt idx="318">
                  <c:v>0.20610999999999999</c:v>
                </c:pt>
                <c:pt idx="319">
                  <c:v>0.20896999999999999</c:v>
                </c:pt>
                <c:pt idx="320">
                  <c:v>0.21185999999999999</c:v>
                </c:pt>
                <c:pt idx="321">
                  <c:v>0.21476000000000001</c:v>
                </c:pt>
                <c:pt idx="322">
                  <c:v>0.2177</c:v>
                </c:pt>
                <c:pt idx="323">
                  <c:v>0.22065000000000001</c:v>
                </c:pt>
                <c:pt idx="324">
                  <c:v>0.22363</c:v>
                </c:pt>
                <c:pt idx="325">
                  <c:v>0.22663</c:v>
                </c:pt>
                <c:pt idx="326">
                  <c:v>0.22964999999999999</c:v>
                </c:pt>
                <c:pt idx="327">
                  <c:v>0.23269999999999999</c:v>
                </c:pt>
                <c:pt idx="328">
                  <c:v>0.23576</c:v>
                </c:pt>
                <c:pt idx="329">
                  <c:v>0.23885000000000001</c:v>
                </c:pt>
                <c:pt idx="330">
                  <c:v>0.24196000000000001</c:v>
                </c:pt>
                <c:pt idx="331">
                  <c:v>0.24510000000000001</c:v>
                </c:pt>
                <c:pt idx="332">
                  <c:v>0.24825</c:v>
                </c:pt>
                <c:pt idx="333">
                  <c:v>0.25142999999999999</c:v>
                </c:pt>
                <c:pt idx="334">
                  <c:v>0.25463000000000002</c:v>
                </c:pt>
                <c:pt idx="335">
                  <c:v>0.25785000000000002</c:v>
                </c:pt>
                <c:pt idx="336">
                  <c:v>0.26108999999999999</c:v>
                </c:pt>
                <c:pt idx="337">
                  <c:v>0.26434999999999997</c:v>
                </c:pt>
                <c:pt idx="338">
                  <c:v>0.26762999999999998</c:v>
                </c:pt>
                <c:pt idx="339">
                  <c:v>0.27093</c:v>
                </c:pt>
                <c:pt idx="340">
                  <c:v>0.27424999999999999</c:v>
                </c:pt>
                <c:pt idx="341">
                  <c:v>0.27760000000000001</c:v>
                </c:pt>
                <c:pt idx="342">
                  <c:v>0.28095999999999999</c:v>
                </c:pt>
                <c:pt idx="343">
                  <c:v>0.28433999999999998</c:v>
                </c:pt>
                <c:pt idx="344">
                  <c:v>0.28774</c:v>
                </c:pt>
                <c:pt idx="345">
                  <c:v>0.29115999999999997</c:v>
                </c:pt>
                <c:pt idx="346">
                  <c:v>0.29459999999999997</c:v>
                </c:pt>
                <c:pt idx="347">
                  <c:v>0.29805999999999999</c:v>
                </c:pt>
                <c:pt idx="348">
                  <c:v>0.30153000000000002</c:v>
                </c:pt>
                <c:pt idx="349">
                  <c:v>0.30503000000000002</c:v>
                </c:pt>
                <c:pt idx="350">
                  <c:v>0.30853999999999998</c:v>
                </c:pt>
                <c:pt idx="351">
                  <c:v>0.31207000000000001</c:v>
                </c:pt>
                <c:pt idx="352">
                  <c:v>0.31561</c:v>
                </c:pt>
                <c:pt idx="353">
                  <c:v>0.31918000000000002</c:v>
                </c:pt>
                <c:pt idx="354">
                  <c:v>0.32275999999999999</c:v>
                </c:pt>
                <c:pt idx="355">
                  <c:v>0.32635999999999998</c:v>
                </c:pt>
                <c:pt idx="356">
                  <c:v>0.32996999999999999</c:v>
                </c:pt>
                <c:pt idx="357">
                  <c:v>0.33360000000000001</c:v>
                </c:pt>
                <c:pt idx="358">
                  <c:v>0.33723999999999998</c:v>
                </c:pt>
                <c:pt idx="359">
                  <c:v>0.34089999999999998</c:v>
                </c:pt>
                <c:pt idx="360">
                  <c:v>0.34458</c:v>
                </c:pt>
                <c:pt idx="361">
                  <c:v>0.34827000000000002</c:v>
                </c:pt>
                <c:pt idx="362">
                  <c:v>0.35197000000000001</c:v>
                </c:pt>
                <c:pt idx="363">
                  <c:v>0.35569000000000001</c:v>
                </c:pt>
                <c:pt idx="364">
                  <c:v>0.35942000000000002</c:v>
                </c:pt>
                <c:pt idx="365">
                  <c:v>0.36316999999999999</c:v>
                </c:pt>
                <c:pt idx="366">
                  <c:v>0.36692999999999998</c:v>
                </c:pt>
                <c:pt idx="367">
                  <c:v>0.37069999999999997</c:v>
                </c:pt>
                <c:pt idx="368">
                  <c:v>0.37447999999999998</c:v>
                </c:pt>
                <c:pt idx="369">
                  <c:v>0.37828000000000001</c:v>
                </c:pt>
                <c:pt idx="370">
                  <c:v>0.38208999999999999</c:v>
                </c:pt>
                <c:pt idx="371">
                  <c:v>0.38590999999999998</c:v>
                </c:pt>
                <c:pt idx="372">
                  <c:v>0.38973999999999998</c:v>
                </c:pt>
                <c:pt idx="373">
                  <c:v>0.39357999999999999</c:v>
                </c:pt>
                <c:pt idx="374">
                  <c:v>0.39743000000000001</c:v>
                </c:pt>
                <c:pt idx="375">
                  <c:v>0.40128999999999998</c:v>
                </c:pt>
                <c:pt idx="376">
                  <c:v>0.40516999999999997</c:v>
                </c:pt>
                <c:pt idx="377">
                  <c:v>0.40905000000000002</c:v>
                </c:pt>
                <c:pt idx="378">
                  <c:v>0.41293999999999997</c:v>
                </c:pt>
                <c:pt idx="379">
                  <c:v>0.41682999999999998</c:v>
                </c:pt>
                <c:pt idx="380">
                  <c:v>0.42074</c:v>
                </c:pt>
                <c:pt idx="381">
                  <c:v>0.42465000000000003</c:v>
                </c:pt>
                <c:pt idx="382">
                  <c:v>0.42858000000000002</c:v>
                </c:pt>
                <c:pt idx="383">
                  <c:v>0.43251000000000001</c:v>
                </c:pt>
                <c:pt idx="384">
                  <c:v>0.43643999999999999</c:v>
                </c:pt>
                <c:pt idx="385">
                  <c:v>0.44037999999999999</c:v>
                </c:pt>
                <c:pt idx="386">
                  <c:v>0.44433</c:v>
                </c:pt>
                <c:pt idx="387">
                  <c:v>0.44828000000000001</c:v>
                </c:pt>
                <c:pt idx="388">
                  <c:v>0.45223999999999998</c:v>
                </c:pt>
                <c:pt idx="389">
                  <c:v>0.45619999999999999</c:v>
                </c:pt>
                <c:pt idx="390">
                  <c:v>0.46017000000000002</c:v>
                </c:pt>
                <c:pt idx="391">
                  <c:v>0.46414</c:v>
                </c:pt>
                <c:pt idx="392">
                  <c:v>0.46811999999999998</c:v>
                </c:pt>
                <c:pt idx="393">
                  <c:v>0.47210000000000002</c:v>
                </c:pt>
                <c:pt idx="394">
                  <c:v>0.47608</c:v>
                </c:pt>
                <c:pt idx="395">
                  <c:v>0.48005999999999999</c:v>
                </c:pt>
                <c:pt idx="396">
                  <c:v>0.48404999999999998</c:v>
                </c:pt>
                <c:pt idx="397">
                  <c:v>0.48803000000000002</c:v>
                </c:pt>
                <c:pt idx="398">
                  <c:v>0.49202000000000001</c:v>
                </c:pt>
                <c:pt idx="399">
                  <c:v>0.49601000000000001</c:v>
                </c:pt>
                <c:pt idx="400">
                  <c:v>0.5</c:v>
                </c:pt>
                <c:pt idx="401">
                  <c:v>0.50399000000000005</c:v>
                </c:pt>
                <c:pt idx="402">
                  <c:v>0.50797999999999999</c:v>
                </c:pt>
                <c:pt idx="403">
                  <c:v>0.51197000000000004</c:v>
                </c:pt>
                <c:pt idx="404">
                  <c:v>0.51595000000000002</c:v>
                </c:pt>
                <c:pt idx="405">
                  <c:v>0.51993999999999996</c:v>
                </c:pt>
                <c:pt idx="406">
                  <c:v>0.52392000000000005</c:v>
                </c:pt>
                <c:pt idx="407">
                  <c:v>0.52790000000000004</c:v>
                </c:pt>
                <c:pt idx="408">
                  <c:v>0.53188000000000002</c:v>
                </c:pt>
                <c:pt idx="409">
                  <c:v>0.53586</c:v>
                </c:pt>
                <c:pt idx="410">
                  <c:v>0.53983000000000003</c:v>
                </c:pt>
                <c:pt idx="411">
                  <c:v>0.54379999999999995</c:v>
                </c:pt>
                <c:pt idx="412">
                  <c:v>0.54776000000000002</c:v>
                </c:pt>
                <c:pt idx="413">
                  <c:v>0.55171999999999999</c:v>
                </c:pt>
                <c:pt idx="414">
                  <c:v>0.55567</c:v>
                </c:pt>
                <c:pt idx="415">
                  <c:v>0.55962000000000001</c:v>
                </c:pt>
                <c:pt idx="416">
                  <c:v>0.56355999999999995</c:v>
                </c:pt>
                <c:pt idx="417">
                  <c:v>0.56749000000000005</c:v>
                </c:pt>
                <c:pt idx="418">
                  <c:v>0.57142000000000004</c:v>
                </c:pt>
                <c:pt idx="419">
                  <c:v>0.57535000000000003</c:v>
                </c:pt>
                <c:pt idx="420">
                  <c:v>0.57926</c:v>
                </c:pt>
                <c:pt idx="421">
                  <c:v>0.58316999999999997</c:v>
                </c:pt>
                <c:pt idx="422">
                  <c:v>0.58706000000000003</c:v>
                </c:pt>
                <c:pt idx="423">
                  <c:v>0.59094999999999998</c:v>
                </c:pt>
                <c:pt idx="424">
                  <c:v>0.59482999999999997</c:v>
                </c:pt>
                <c:pt idx="425">
                  <c:v>0.59870999999999996</c:v>
                </c:pt>
                <c:pt idx="426">
                  <c:v>0.60257000000000005</c:v>
                </c:pt>
                <c:pt idx="427">
                  <c:v>0.60641999999999996</c:v>
                </c:pt>
                <c:pt idx="428">
                  <c:v>0.61026000000000002</c:v>
                </c:pt>
                <c:pt idx="429">
                  <c:v>0.61409000000000002</c:v>
                </c:pt>
                <c:pt idx="430">
                  <c:v>0.61790999999999996</c:v>
                </c:pt>
                <c:pt idx="431">
                  <c:v>0.62172000000000005</c:v>
                </c:pt>
                <c:pt idx="432">
                  <c:v>0.62551999999999996</c:v>
                </c:pt>
                <c:pt idx="433">
                  <c:v>0.62929999999999997</c:v>
                </c:pt>
                <c:pt idx="434">
                  <c:v>0.63307000000000002</c:v>
                </c:pt>
                <c:pt idx="435">
                  <c:v>0.63683000000000001</c:v>
                </c:pt>
                <c:pt idx="436">
                  <c:v>0.64058000000000004</c:v>
                </c:pt>
                <c:pt idx="437">
                  <c:v>0.64431000000000005</c:v>
                </c:pt>
                <c:pt idx="438">
                  <c:v>0.64802999999999999</c:v>
                </c:pt>
                <c:pt idx="439">
                  <c:v>0.65173000000000003</c:v>
                </c:pt>
                <c:pt idx="440">
                  <c:v>0.65542</c:v>
                </c:pt>
                <c:pt idx="441">
                  <c:v>0.65910000000000002</c:v>
                </c:pt>
                <c:pt idx="442">
                  <c:v>0.66276000000000002</c:v>
                </c:pt>
                <c:pt idx="443">
                  <c:v>0.66639999999999999</c:v>
                </c:pt>
                <c:pt idx="444">
                  <c:v>0.67003000000000001</c:v>
                </c:pt>
                <c:pt idx="445">
                  <c:v>0.67364000000000002</c:v>
                </c:pt>
                <c:pt idx="446">
                  <c:v>0.67723999999999995</c:v>
                </c:pt>
                <c:pt idx="447">
                  <c:v>0.68081999999999998</c:v>
                </c:pt>
                <c:pt idx="448">
                  <c:v>0.68439000000000005</c:v>
                </c:pt>
                <c:pt idx="449">
                  <c:v>0.68793000000000004</c:v>
                </c:pt>
                <c:pt idx="450">
                  <c:v>0.69145999999999996</c:v>
                </c:pt>
                <c:pt idx="451">
                  <c:v>0.69496999999999998</c:v>
                </c:pt>
                <c:pt idx="452">
                  <c:v>0.69847000000000004</c:v>
                </c:pt>
                <c:pt idx="453">
                  <c:v>0.70194000000000001</c:v>
                </c:pt>
                <c:pt idx="454">
                  <c:v>0.70540000000000003</c:v>
                </c:pt>
                <c:pt idx="455">
                  <c:v>0.70884000000000003</c:v>
                </c:pt>
                <c:pt idx="456">
                  <c:v>0.71226</c:v>
                </c:pt>
                <c:pt idx="457">
                  <c:v>0.71565999999999996</c:v>
                </c:pt>
                <c:pt idx="458">
                  <c:v>0.71904000000000001</c:v>
                </c:pt>
                <c:pt idx="459">
                  <c:v>0.72240000000000004</c:v>
                </c:pt>
                <c:pt idx="460">
                  <c:v>0.72575000000000001</c:v>
                </c:pt>
                <c:pt idx="461">
                  <c:v>0.72907</c:v>
                </c:pt>
                <c:pt idx="462">
                  <c:v>0.73236999999999997</c:v>
                </c:pt>
                <c:pt idx="463">
                  <c:v>0.73565000000000003</c:v>
                </c:pt>
                <c:pt idx="464">
                  <c:v>0.73890999999999996</c:v>
                </c:pt>
                <c:pt idx="465">
                  <c:v>0.74214999999999998</c:v>
                </c:pt>
                <c:pt idx="466">
                  <c:v>0.74536999999999998</c:v>
                </c:pt>
                <c:pt idx="467">
                  <c:v>0.74856999999999996</c:v>
                </c:pt>
                <c:pt idx="468">
                  <c:v>0.75175000000000003</c:v>
                </c:pt>
                <c:pt idx="469">
                  <c:v>0.75490000000000002</c:v>
                </c:pt>
                <c:pt idx="470">
                  <c:v>0.75804000000000005</c:v>
                </c:pt>
                <c:pt idx="471">
                  <c:v>0.76114999999999999</c:v>
                </c:pt>
                <c:pt idx="472">
                  <c:v>0.76424000000000003</c:v>
                </c:pt>
                <c:pt idx="473">
                  <c:v>0.76729999999999998</c:v>
                </c:pt>
                <c:pt idx="474">
                  <c:v>0.77034999999999998</c:v>
                </c:pt>
                <c:pt idx="475">
                  <c:v>0.77337</c:v>
                </c:pt>
                <c:pt idx="476">
                  <c:v>0.77637</c:v>
                </c:pt>
                <c:pt idx="477">
                  <c:v>0.77934999999999999</c:v>
                </c:pt>
                <c:pt idx="478">
                  <c:v>0.7823</c:v>
                </c:pt>
                <c:pt idx="479">
                  <c:v>0.78524000000000005</c:v>
                </c:pt>
                <c:pt idx="480">
                  <c:v>0.78813999999999995</c:v>
                </c:pt>
                <c:pt idx="481">
                  <c:v>0.79103000000000001</c:v>
                </c:pt>
                <c:pt idx="482">
                  <c:v>0.79388999999999998</c:v>
                </c:pt>
                <c:pt idx="483">
                  <c:v>0.79673000000000005</c:v>
                </c:pt>
                <c:pt idx="484">
                  <c:v>0.79954999999999998</c:v>
                </c:pt>
                <c:pt idx="485">
                  <c:v>0.80234000000000005</c:v>
                </c:pt>
                <c:pt idx="486">
                  <c:v>0.80510999999999999</c:v>
                </c:pt>
                <c:pt idx="487">
                  <c:v>0.80784999999999996</c:v>
                </c:pt>
                <c:pt idx="488">
                  <c:v>0.81057000000000001</c:v>
                </c:pt>
                <c:pt idx="489">
                  <c:v>0.81327000000000005</c:v>
                </c:pt>
                <c:pt idx="490">
                  <c:v>0.81594</c:v>
                </c:pt>
                <c:pt idx="491">
                  <c:v>0.81859000000000004</c:v>
                </c:pt>
                <c:pt idx="492">
                  <c:v>0.82121</c:v>
                </c:pt>
                <c:pt idx="493">
                  <c:v>0.82381000000000004</c:v>
                </c:pt>
                <c:pt idx="494">
                  <c:v>0.82638999999999996</c:v>
                </c:pt>
                <c:pt idx="495">
                  <c:v>0.82894000000000001</c:v>
                </c:pt>
                <c:pt idx="496">
                  <c:v>0.83147000000000004</c:v>
                </c:pt>
                <c:pt idx="497">
                  <c:v>0.83398000000000005</c:v>
                </c:pt>
                <c:pt idx="498">
                  <c:v>0.83645999999999998</c:v>
                </c:pt>
                <c:pt idx="499">
                  <c:v>0.83891000000000004</c:v>
                </c:pt>
                <c:pt idx="500">
                  <c:v>0.84133999999999998</c:v>
                </c:pt>
                <c:pt idx="501">
                  <c:v>0.84375</c:v>
                </c:pt>
                <c:pt idx="502">
                  <c:v>0.84614</c:v>
                </c:pt>
                <c:pt idx="503">
                  <c:v>0.84848999999999997</c:v>
                </c:pt>
                <c:pt idx="504">
                  <c:v>0.85082999999999998</c:v>
                </c:pt>
                <c:pt idx="505">
                  <c:v>0.85314000000000001</c:v>
                </c:pt>
                <c:pt idx="506">
                  <c:v>0.85543000000000002</c:v>
                </c:pt>
                <c:pt idx="507">
                  <c:v>0.85768999999999995</c:v>
                </c:pt>
                <c:pt idx="508">
                  <c:v>0.85992999999999997</c:v>
                </c:pt>
                <c:pt idx="509">
                  <c:v>0.86214000000000002</c:v>
                </c:pt>
                <c:pt idx="510">
                  <c:v>0.86433000000000004</c:v>
                </c:pt>
                <c:pt idx="511">
                  <c:v>0.86650000000000005</c:v>
                </c:pt>
                <c:pt idx="512">
                  <c:v>0.86863999999999997</c:v>
                </c:pt>
                <c:pt idx="513">
                  <c:v>0.87075999999999998</c:v>
                </c:pt>
                <c:pt idx="514">
                  <c:v>0.87285999999999997</c:v>
                </c:pt>
                <c:pt idx="515">
                  <c:v>0.87492999999999999</c:v>
                </c:pt>
                <c:pt idx="516">
                  <c:v>0.87697999999999998</c:v>
                </c:pt>
                <c:pt idx="517">
                  <c:v>0.879</c:v>
                </c:pt>
                <c:pt idx="518">
                  <c:v>0.88100000000000001</c:v>
                </c:pt>
                <c:pt idx="519">
                  <c:v>0.88297999999999999</c:v>
                </c:pt>
                <c:pt idx="520">
                  <c:v>0.88492999999999999</c:v>
                </c:pt>
                <c:pt idx="521">
                  <c:v>0.88685999999999998</c:v>
                </c:pt>
                <c:pt idx="522">
                  <c:v>0.88876999999999995</c:v>
                </c:pt>
                <c:pt idx="523">
                  <c:v>0.89065000000000005</c:v>
                </c:pt>
                <c:pt idx="524">
                  <c:v>0.89251000000000003</c:v>
                </c:pt>
                <c:pt idx="525">
                  <c:v>0.89434999999999998</c:v>
                </c:pt>
                <c:pt idx="526">
                  <c:v>0.89617000000000002</c:v>
                </c:pt>
                <c:pt idx="527">
                  <c:v>0.89795999999999998</c:v>
                </c:pt>
                <c:pt idx="528">
                  <c:v>0.89973000000000003</c:v>
                </c:pt>
                <c:pt idx="529">
                  <c:v>0.90146999999999999</c:v>
                </c:pt>
                <c:pt idx="530">
                  <c:v>0.9032</c:v>
                </c:pt>
                <c:pt idx="531">
                  <c:v>0.90490000000000004</c:v>
                </c:pt>
                <c:pt idx="532">
                  <c:v>0.90658000000000005</c:v>
                </c:pt>
                <c:pt idx="533">
                  <c:v>0.90824000000000005</c:v>
                </c:pt>
                <c:pt idx="534">
                  <c:v>0.90988000000000002</c:v>
                </c:pt>
                <c:pt idx="535">
                  <c:v>0.91149000000000002</c:v>
                </c:pt>
                <c:pt idx="536">
                  <c:v>0.91308999999999996</c:v>
                </c:pt>
                <c:pt idx="537">
                  <c:v>0.91466000000000003</c:v>
                </c:pt>
                <c:pt idx="538">
                  <c:v>0.91620999999999997</c:v>
                </c:pt>
                <c:pt idx="539">
                  <c:v>0.91774</c:v>
                </c:pt>
                <c:pt idx="540">
                  <c:v>0.91923999999999995</c:v>
                </c:pt>
                <c:pt idx="541">
                  <c:v>0.92073000000000005</c:v>
                </c:pt>
                <c:pt idx="542">
                  <c:v>0.92220000000000002</c:v>
                </c:pt>
                <c:pt idx="543">
                  <c:v>0.92364000000000002</c:v>
                </c:pt>
                <c:pt idx="544">
                  <c:v>0.92506999999999995</c:v>
                </c:pt>
                <c:pt idx="545">
                  <c:v>0.92647000000000002</c:v>
                </c:pt>
                <c:pt idx="546">
                  <c:v>0.92784999999999995</c:v>
                </c:pt>
                <c:pt idx="547">
                  <c:v>0.92922000000000005</c:v>
                </c:pt>
                <c:pt idx="548">
                  <c:v>0.93056000000000005</c:v>
                </c:pt>
                <c:pt idx="549">
                  <c:v>0.93189</c:v>
                </c:pt>
                <c:pt idx="550">
                  <c:v>0.93318999999999996</c:v>
                </c:pt>
                <c:pt idx="551">
                  <c:v>0.93447999999999998</c:v>
                </c:pt>
                <c:pt idx="552">
                  <c:v>0.93574000000000002</c:v>
                </c:pt>
                <c:pt idx="553">
                  <c:v>0.93698999999999999</c:v>
                </c:pt>
                <c:pt idx="554">
                  <c:v>0.93822000000000005</c:v>
                </c:pt>
                <c:pt idx="555">
                  <c:v>0.93942999999999999</c:v>
                </c:pt>
                <c:pt idx="556">
                  <c:v>0.94062000000000001</c:v>
                </c:pt>
                <c:pt idx="557">
                  <c:v>0.94179000000000002</c:v>
                </c:pt>
                <c:pt idx="558">
                  <c:v>0.94294999999999995</c:v>
                </c:pt>
                <c:pt idx="559">
                  <c:v>0.94408000000000003</c:v>
                </c:pt>
                <c:pt idx="560">
                  <c:v>0.94520000000000004</c:v>
                </c:pt>
                <c:pt idx="561">
                  <c:v>0.94630000000000003</c:v>
                </c:pt>
                <c:pt idx="562">
                  <c:v>0.94738</c:v>
                </c:pt>
                <c:pt idx="563">
                  <c:v>0.94845000000000002</c:v>
                </c:pt>
                <c:pt idx="564">
                  <c:v>0.94950000000000001</c:v>
                </c:pt>
                <c:pt idx="565">
                  <c:v>0.95052999999999999</c:v>
                </c:pt>
                <c:pt idx="566">
                  <c:v>0.95154000000000005</c:v>
                </c:pt>
                <c:pt idx="567">
                  <c:v>0.95254000000000005</c:v>
                </c:pt>
                <c:pt idx="568">
                  <c:v>0.95352000000000003</c:v>
                </c:pt>
                <c:pt idx="569">
                  <c:v>0.95448999999999995</c:v>
                </c:pt>
                <c:pt idx="570">
                  <c:v>0.95543</c:v>
                </c:pt>
                <c:pt idx="571">
                  <c:v>0.95637000000000005</c:v>
                </c:pt>
                <c:pt idx="572">
                  <c:v>0.95728000000000002</c:v>
                </c:pt>
                <c:pt idx="573">
                  <c:v>0.95818000000000003</c:v>
                </c:pt>
                <c:pt idx="574">
                  <c:v>0.95906999999999998</c:v>
                </c:pt>
                <c:pt idx="575">
                  <c:v>0.95994000000000002</c:v>
                </c:pt>
                <c:pt idx="576">
                  <c:v>0.96079999999999999</c:v>
                </c:pt>
                <c:pt idx="577">
                  <c:v>0.96164000000000005</c:v>
                </c:pt>
                <c:pt idx="578">
                  <c:v>0.96245999999999998</c:v>
                </c:pt>
                <c:pt idx="579">
                  <c:v>0.96326999999999996</c:v>
                </c:pt>
                <c:pt idx="580">
                  <c:v>0.96406999999999998</c:v>
                </c:pt>
                <c:pt idx="581">
                  <c:v>0.96484999999999999</c:v>
                </c:pt>
                <c:pt idx="582">
                  <c:v>0.96562000000000003</c:v>
                </c:pt>
                <c:pt idx="583">
                  <c:v>0.96638000000000002</c:v>
                </c:pt>
                <c:pt idx="584">
                  <c:v>0.96711999999999998</c:v>
                </c:pt>
                <c:pt idx="585">
                  <c:v>0.96784000000000003</c:v>
                </c:pt>
                <c:pt idx="586">
                  <c:v>0.96855999999999998</c:v>
                </c:pt>
                <c:pt idx="587">
                  <c:v>0.96926000000000001</c:v>
                </c:pt>
                <c:pt idx="588">
                  <c:v>0.96994999999999998</c:v>
                </c:pt>
                <c:pt idx="589">
                  <c:v>0.97062000000000004</c:v>
                </c:pt>
                <c:pt idx="590">
                  <c:v>0.97128000000000003</c:v>
                </c:pt>
                <c:pt idx="591">
                  <c:v>0.97192999999999996</c:v>
                </c:pt>
                <c:pt idx="592">
                  <c:v>0.97257000000000005</c:v>
                </c:pt>
                <c:pt idx="593">
                  <c:v>0.97319999999999995</c:v>
                </c:pt>
                <c:pt idx="594">
                  <c:v>0.97380999999999995</c:v>
                </c:pt>
                <c:pt idx="595">
                  <c:v>0.97441</c:v>
                </c:pt>
                <c:pt idx="596">
                  <c:v>0.97499999999999998</c:v>
                </c:pt>
                <c:pt idx="597">
                  <c:v>0.97558</c:v>
                </c:pt>
                <c:pt idx="598">
                  <c:v>0.97614999999999996</c:v>
                </c:pt>
                <c:pt idx="599">
                  <c:v>0.97670000000000001</c:v>
                </c:pt>
                <c:pt idx="600">
                  <c:v>0.97724999999999995</c:v>
                </c:pt>
                <c:pt idx="601">
                  <c:v>0.97777999999999998</c:v>
                </c:pt>
                <c:pt idx="602">
                  <c:v>0.97831000000000001</c:v>
                </c:pt>
                <c:pt idx="603">
                  <c:v>0.97882000000000002</c:v>
                </c:pt>
                <c:pt idx="604">
                  <c:v>0.97931999999999997</c:v>
                </c:pt>
                <c:pt idx="605">
                  <c:v>0.97982000000000002</c:v>
                </c:pt>
                <c:pt idx="606">
                  <c:v>0.98029999999999995</c:v>
                </c:pt>
                <c:pt idx="607">
                  <c:v>0.98077000000000003</c:v>
                </c:pt>
                <c:pt idx="608">
                  <c:v>0.98124</c:v>
                </c:pt>
                <c:pt idx="609">
                  <c:v>0.98168999999999995</c:v>
                </c:pt>
                <c:pt idx="610">
                  <c:v>0.98214000000000001</c:v>
                </c:pt>
                <c:pt idx="611">
                  <c:v>0.98257000000000005</c:v>
                </c:pt>
                <c:pt idx="612">
                  <c:v>0.98299999999999998</c:v>
                </c:pt>
                <c:pt idx="613">
                  <c:v>0.98341000000000001</c:v>
                </c:pt>
                <c:pt idx="614">
                  <c:v>0.98382000000000003</c:v>
                </c:pt>
                <c:pt idx="615">
                  <c:v>0.98421999999999998</c:v>
                </c:pt>
                <c:pt idx="616">
                  <c:v>0.98460999999999999</c:v>
                </c:pt>
                <c:pt idx="617">
                  <c:v>0.98499999999999999</c:v>
                </c:pt>
                <c:pt idx="618">
                  <c:v>0.98536999999999997</c:v>
                </c:pt>
                <c:pt idx="619">
                  <c:v>0.98573999999999995</c:v>
                </c:pt>
                <c:pt idx="620">
                  <c:v>0.98609999999999998</c:v>
                </c:pt>
                <c:pt idx="621">
                  <c:v>0.98645000000000005</c:v>
                </c:pt>
                <c:pt idx="622">
                  <c:v>0.98678999999999994</c:v>
                </c:pt>
                <c:pt idx="623">
                  <c:v>0.98712999999999995</c:v>
                </c:pt>
                <c:pt idx="624">
                  <c:v>0.98745000000000005</c:v>
                </c:pt>
                <c:pt idx="625">
                  <c:v>0.98777999999999999</c:v>
                </c:pt>
                <c:pt idx="626">
                  <c:v>0.98809000000000002</c:v>
                </c:pt>
                <c:pt idx="627">
                  <c:v>0.98839999999999995</c:v>
                </c:pt>
                <c:pt idx="628">
                  <c:v>0.98870000000000002</c:v>
                </c:pt>
                <c:pt idx="629">
                  <c:v>0.98899000000000004</c:v>
                </c:pt>
                <c:pt idx="630">
                  <c:v>0.98928000000000005</c:v>
                </c:pt>
                <c:pt idx="631">
                  <c:v>0.98956</c:v>
                </c:pt>
                <c:pt idx="632">
                  <c:v>0.98982999999999999</c:v>
                </c:pt>
                <c:pt idx="633">
                  <c:v>0.99009999999999998</c:v>
                </c:pt>
                <c:pt idx="634">
                  <c:v>0.99036000000000002</c:v>
                </c:pt>
                <c:pt idx="635">
                  <c:v>0.99060999999999999</c:v>
                </c:pt>
                <c:pt idx="636">
                  <c:v>0.99085999999999996</c:v>
                </c:pt>
                <c:pt idx="637">
                  <c:v>0.99111000000000005</c:v>
                </c:pt>
                <c:pt idx="638">
                  <c:v>0.99134</c:v>
                </c:pt>
                <c:pt idx="639">
                  <c:v>0.99158000000000002</c:v>
                </c:pt>
                <c:pt idx="640">
                  <c:v>0.99180000000000001</c:v>
                </c:pt>
                <c:pt idx="641">
                  <c:v>0.99202000000000001</c:v>
                </c:pt>
                <c:pt idx="642">
                  <c:v>0.99224000000000001</c:v>
                </c:pt>
                <c:pt idx="643">
                  <c:v>0.99245000000000005</c:v>
                </c:pt>
                <c:pt idx="644">
                  <c:v>0.99265999999999999</c:v>
                </c:pt>
                <c:pt idx="645">
                  <c:v>0.99285999999999996</c:v>
                </c:pt>
                <c:pt idx="646">
                  <c:v>0.99304999999999999</c:v>
                </c:pt>
                <c:pt idx="647">
                  <c:v>0.99324000000000001</c:v>
                </c:pt>
                <c:pt idx="648">
                  <c:v>0.99343000000000004</c:v>
                </c:pt>
                <c:pt idx="649">
                  <c:v>0.99360999999999999</c:v>
                </c:pt>
                <c:pt idx="650">
                  <c:v>0.99378999999999995</c:v>
                </c:pt>
                <c:pt idx="651">
                  <c:v>0.99395999999999995</c:v>
                </c:pt>
                <c:pt idx="652">
                  <c:v>0.99412999999999996</c:v>
                </c:pt>
                <c:pt idx="653">
                  <c:v>0.99429999999999996</c:v>
                </c:pt>
                <c:pt idx="654">
                  <c:v>0.99446000000000001</c:v>
                </c:pt>
                <c:pt idx="655">
                  <c:v>0.99460999999999999</c:v>
                </c:pt>
                <c:pt idx="656">
                  <c:v>0.99477000000000004</c:v>
                </c:pt>
                <c:pt idx="657">
                  <c:v>0.99492000000000003</c:v>
                </c:pt>
                <c:pt idx="658">
                  <c:v>0.99505999999999994</c:v>
                </c:pt>
                <c:pt idx="659">
                  <c:v>0.99519999999999997</c:v>
                </c:pt>
                <c:pt idx="660">
                  <c:v>0.99534</c:v>
                </c:pt>
                <c:pt idx="661">
                  <c:v>0.99546999999999997</c:v>
                </c:pt>
                <c:pt idx="662">
                  <c:v>0.99560000000000004</c:v>
                </c:pt>
                <c:pt idx="663">
                  <c:v>0.99573</c:v>
                </c:pt>
                <c:pt idx="664">
                  <c:v>0.99585000000000001</c:v>
                </c:pt>
                <c:pt idx="665">
                  <c:v>0.99597999999999998</c:v>
                </c:pt>
                <c:pt idx="666">
                  <c:v>0.99609000000000003</c:v>
                </c:pt>
                <c:pt idx="667">
                  <c:v>0.99621000000000004</c:v>
                </c:pt>
                <c:pt idx="668">
                  <c:v>0.99631999999999998</c:v>
                </c:pt>
                <c:pt idx="669">
                  <c:v>0.99643000000000004</c:v>
                </c:pt>
                <c:pt idx="670">
                  <c:v>0.99653000000000003</c:v>
                </c:pt>
                <c:pt idx="671">
                  <c:v>0.99663999999999997</c:v>
                </c:pt>
                <c:pt idx="672">
                  <c:v>0.99673999999999996</c:v>
                </c:pt>
                <c:pt idx="673">
                  <c:v>0.99682999999999999</c:v>
                </c:pt>
                <c:pt idx="674">
                  <c:v>0.99692999999999998</c:v>
                </c:pt>
                <c:pt idx="675">
                  <c:v>0.99702000000000002</c:v>
                </c:pt>
                <c:pt idx="676">
                  <c:v>0.99711000000000005</c:v>
                </c:pt>
                <c:pt idx="677">
                  <c:v>0.99719999999999998</c:v>
                </c:pt>
                <c:pt idx="678">
                  <c:v>0.99728000000000006</c:v>
                </c:pt>
                <c:pt idx="679">
                  <c:v>0.99736000000000002</c:v>
                </c:pt>
                <c:pt idx="680">
                  <c:v>0.99743999999999999</c:v>
                </c:pt>
                <c:pt idx="681">
                  <c:v>0.99751999999999996</c:v>
                </c:pt>
                <c:pt idx="682">
                  <c:v>0.99760000000000004</c:v>
                </c:pt>
                <c:pt idx="683">
                  <c:v>0.99766999999999995</c:v>
                </c:pt>
                <c:pt idx="684">
                  <c:v>0.99773999999999996</c:v>
                </c:pt>
                <c:pt idx="685">
                  <c:v>0.99780999999999997</c:v>
                </c:pt>
                <c:pt idx="686">
                  <c:v>0.99787999999999999</c:v>
                </c:pt>
                <c:pt idx="687">
                  <c:v>0.99795</c:v>
                </c:pt>
                <c:pt idx="688">
                  <c:v>0.99800999999999995</c:v>
                </c:pt>
                <c:pt idx="689">
                  <c:v>0.99807000000000001</c:v>
                </c:pt>
                <c:pt idx="690">
                  <c:v>0.99812999999999996</c:v>
                </c:pt>
                <c:pt idx="691">
                  <c:v>0.99819000000000002</c:v>
                </c:pt>
                <c:pt idx="692">
                  <c:v>0.99824999999999997</c:v>
                </c:pt>
                <c:pt idx="693">
                  <c:v>0.99831000000000003</c:v>
                </c:pt>
                <c:pt idx="694">
                  <c:v>0.99836000000000003</c:v>
                </c:pt>
                <c:pt idx="695">
                  <c:v>0.99841000000000002</c:v>
                </c:pt>
                <c:pt idx="696">
                  <c:v>0.99846000000000001</c:v>
                </c:pt>
                <c:pt idx="697">
                  <c:v>0.99851000000000001</c:v>
                </c:pt>
                <c:pt idx="698">
                  <c:v>0.99856</c:v>
                </c:pt>
                <c:pt idx="699">
                  <c:v>0.99861</c:v>
                </c:pt>
                <c:pt idx="700">
                  <c:v>0.99865000000000004</c:v>
                </c:pt>
                <c:pt idx="701">
                  <c:v>0.99868999999999997</c:v>
                </c:pt>
                <c:pt idx="702">
                  <c:v>0.99873999999999996</c:v>
                </c:pt>
                <c:pt idx="703">
                  <c:v>0.99878</c:v>
                </c:pt>
                <c:pt idx="704">
                  <c:v>0.99882000000000004</c:v>
                </c:pt>
                <c:pt idx="705">
                  <c:v>0.99885999999999997</c:v>
                </c:pt>
                <c:pt idx="706">
                  <c:v>0.99888999999999994</c:v>
                </c:pt>
                <c:pt idx="707">
                  <c:v>0.99892999999999998</c:v>
                </c:pt>
                <c:pt idx="708">
                  <c:v>0.99895999999999996</c:v>
                </c:pt>
                <c:pt idx="709">
                  <c:v>0.999</c:v>
                </c:pt>
                <c:pt idx="710">
                  <c:v>0.99902999999999997</c:v>
                </c:pt>
                <c:pt idx="711">
                  <c:v>0.99905999999999995</c:v>
                </c:pt>
                <c:pt idx="712">
                  <c:v>0.99909999999999999</c:v>
                </c:pt>
                <c:pt idx="713">
                  <c:v>0.99912999999999996</c:v>
                </c:pt>
                <c:pt idx="714">
                  <c:v>0.99916000000000005</c:v>
                </c:pt>
                <c:pt idx="715">
                  <c:v>0.99917999999999996</c:v>
                </c:pt>
                <c:pt idx="716">
                  <c:v>0.99921000000000004</c:v>
                </c:pt>
                <c:pt idx="717">
                  <c:v>0.99924000000000002</c:v>
                </c:pt>
                <c:pt idx="718">
                  <c:v>0.99926000000000004</c:v>
                </c:pt>
                <c:pt idx="719">
                  <c:v>0.99929000000000001</c:v>
                </c:pt>
                <c:pt idx="720">
                  <c:v>0.99931000000000003</c:v>
                </c:pt>
                <c:pt idx="721">
                  <c:v>0.99934000000000001</c:v>
                </c:pt>
                <c:pt idx="722">
                  <c:v>0.99936000000000003</c:v>
                </c:pt>
                <c:pt idx="723">
                  <c:v>0.99938000000000005</c:v>
                </c:pt>
                <c:pt idx="724">
                  <c:v>0.99939999999999996</c:v>
                </c:pt>
                <c:pt idx="725">
                  <c:v>0.99941999999999998</c:v>
                </c:pt>
                <c:pt idx="726">
                  <c:v>0.99944</c:v>
                </c:pt>
                <c:pt idx="727">
                  <c:v>0.99946000000000002</c:v>
                </c:pt>
                <c:pt idx="728">
                  <c:v>0.99948000000000004</c:v>
                </c:pt>
                <c:pt idx="729">
                  <c:v>0.99950000000000006</c:v>
                </c:pt>
                <c:pt idx="730">
                  <c:v>0.99951999999999996</c:v>
                </c:pt>
                <c:pt idx="731">
                  <c:v>0.99953000000000003</c:v>
                </c:pt>
                <c:pt idx="732">
                  <c:v>0.99955000000000005</c:v>
                </c:pt>
                <c:pt idx="733">
                  <c:v>0.99956999999999996</c:v>
                </c:pt>
                <c:pt idx="734">
                  <c:v>0.99958000000000002</c:v>
                </c:pt>
                <c:pt idx="735">
                  <c:v>0.99960000000000004</c:v>
                </c:pt>
                <c:pt idx="736">
                  <c:v>0.99961</c:v>
                </c:pt>
                <c:pt idx="737">
                  <c:v>0.99961999999999995</c:v>
                </c:pt>
                <c:pt idx="738">
                  <c:v>0.99963999999999997</c:v>
                </c:pt>
                <c:pt idx="739">
                  <c:v>0.99965000000000004</c:v>
                </c:pt>
                <c:pt idx="740">
                  <c:v>0.99965999999999999</c:v>
                </c:pt>
                <c:pt idx="741">
                  <c:v>0.99968000000000001</c:v>
                </c:pt>
                <c:pt idx="742">
                  <c:v>0.99968999999999997</c:v>
                </c:pt>
                <c:pt idx="743">
                  <c:v>0.99970000000000003</c:v>
                </c:pt>
                <c:pt idx="744">
                  <c:v>0.99970999999999999</c:v>
                </c:pt>
                <c:pt idx="745">
                  <c:v>0.99972000000000005</c:v>
                </c:pt>
                <c:pt idx="746">
                  <c:v>0.99973000000000001</c:v>
                </c:pt>
                <c:pt idx="747">
                  <c:v>0.99973999999999996</c:v>
                </c:pt>
                <c:pt idx="748">
                  <c:v>0.99975000000000003</c:v>
                </c:pt>
                <c:pt idx="749">
                  <c:v>0.99975999999999998</c:v>
                </c:pt>
                <c:pt idx="750">
                  <c:v>0.99977000000000005</c:v>
                </c:pt>
                <c:pt idx="751">
                  <c:v>0.99978</c:v>
                </c:pt>
                <c:pt idx="752">
                  <c:v>0.99978</c:v>
                </c:pt>
                <c:pt idx="753">
                  <c:v>0.99978999999999996</c:v>
                </c:pt>
                <c:pt idx="754">
                  <c:v>0.99980000000000002</c:v>
                </c:pt>
                <c:pt idx="755">
                  <c:v>0.99980999999999998</c:v>
                </c:pt>
                <c:pt idx="756">
                  <c:v>0.99980999999999998</c:v>
                </c:pt>
                <c:pt idx="757">
                  <c:v>0.99982000000000004</c:v>
                </c:pt>
                <c:pt idx="758">
                  <c:v>0.99983</c:v>
                </c:pt>
                <c:pt idx="759">
                  <c:v>0.99983</c:v>
                </c:pt>
                <c:pt idx="760">
                  <c:v>0.99983999999999995</c:v>
                </c:pt>
                <c:pt idx="761">
                  <c:v>0.99985000000000002</c:v>
                </c:pt>
                <c:pt idx="762">
                  <c:v>0.99985000000000002</c:v>
                </c:pt>
                <c:pt idx="763">
                  <c:v>0.99985999999999997</c:v>
                </c:pt>
                <c:pt idx="764">
                  <c:v>0.99985999999999997</c:v>
                </c:pt>
                <c:pt idx="765">
                  <c:v>0.99987000000000004</c:v>
                </c:pt>
                <c:pt idx="766">
                  <c:v>0.99987000000000004</c:v>
                </c:pt>
                <c:pt idx="767">
                  <c:v>0.99987999999999999</c:v>
                </c:pt>
                <c:pt idx="768">
                  <c:v>0.99987999999999999</c:v>
                </c:pt>
                <c:pt idx="769">
                  <c:v>0.99988999999999995</c:v>
                </c:pt>
                <c:pt idx="770">
                  <c:v>0.99988999999999995</c:v>
                </c:pt>
                <c:pt idx="771">
                  <c:v>0.99990000000000001</c:v>
                </c:pt>
                <c:pt idx="772">
                  <c:v>0.99990000000000001</c:v>
                </c:pt>
                <c:pt idx="773">
                  <c:v>0.99990000000000001</c:v>
                </c:pt>
                <c:pt idx="774">
                  <c:v>0.99990999999999997</c:v>
                </c:pt>
                <c:pt idx="775">
                  <c:v>0.99990999999999997</c:v>
                </c:pt>
                <c:pt idx="776">
                  <c:v>0.99992000000000003</c:v>
                </c:pt>
                <c:pt idx="777">
                  <c:v>0.99992000000000003</c:v>
                </c:pt>
                <c:pt idx="778">
                  <c:v>0.99992000000000003</c:v>
                </c:pt>
                <c:pt idx="779">
                  <c:v>0.99992000000000003</c:v>
                </c:pt>
                <c:pt idx="780">
                  <c:v>0.99992999999999999</c:v>
                </c:pt>
                <c:pt idx="781">
                  <c:v>0.99992999999999999</c:v>
                </c:pt>
                <c:pt idx="782">
                  <c:v>0.99992999999999999</c:v>
                </c:pt>
                <c:pt idx="783">
                  <c:v>0.99994000000000005</c:v>
                </c:pt>
                <c:pt idx="784">
                  <c:v>0.99994000000000005</c:v>
                </c:pt>
                <c:pt idx="785">
                  <c:v>0.99994000000000005</c:v>
                </c:pt>
                <c:pt idx="786">
                  <c:v>0.99994000000000005</c:v>
                </c:pt>
                <c:pt idx="787">
                  <c:v>0.99995000000000001</c:v>
                </c:pt>
                <c:pt idx="788">
                  <c:v>0.99995000000000001</c:v>
                </c:pt>
                <c:pt idx="789">
                  <c:v>0.99995000000000001</c:v>
                </c:pt>
                <c:pt idx="790">
                  <c:v>0.99995000000000001</c:v>
                </c:pt>
                <c:pt idx="791">
                  <c:v>0.99995000000000001</c:v>
                </c:pt>
                <c:pt idx="792">
                  <c:v>0.99995999999999996</c:v>
                </c:pt>
                <c:pt idx="793">
                  <c:v>0.99995999999999996</c:v>
                </c:pt>
                <c:pt idx="794">
                  <c:v>0.99995999999999996</c:v>
                </c:pt>
                <c:pt idx="795">
                  <c:v>0.99995999999999996</c:v>
                </c:pt>
                <c:pt idx="796">
                  <c:v>0.99995999999999996</c:v>
                </c:pt>
                <c:pt idx="797">
                  <c:v>0.99995999999999996</c:v>
                </c:pt>
                <c:pt idx="798">
                  <c:v>0.99997000000000003</c:v>
                </c:pt>
                <c:pt idx="799">
                  <c:v>0.99997000000000003</c:v>
                </c:pt>
                <c:pt idx="800">
                  <c:v>0.99997000000000003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E-4A83-865A-1FA7F483C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41928"/>
        <c:axId val="461438976"/>
      </c:scatterChart>
      <c:valAx>
        <c:axId val="461441928"/>
        <c:scaling>
          <c:orientation val="minMax"/>
          <c:max val="4"/>
          <c:min val="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Обратное значение функции</a:t>
                </a:r>
                <a:r>
                  <a:rPr lang="ru-RU" baseline="0"/>
                  <a:t> нормального распределения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38976"/>
        <c:crosses val="autoZero"/>
        <c:crossBetween val="midCat"/>
      </c:valAx>
      <c:valAx>
        <c:axId val="4614389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Вероятность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41928"/>
        <c:crossesAt val="-4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'Лист1 (3)'!$R$2</c:f>
              <c:strCache>
                <c:ptCount val="1"/>
                <c:pt idx="0">
                  <c:v>функция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'Лист1 (3)'!$Q$3:$Q$803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xVal>
          <c:yVal>
            <c:numRef>
              <c:f>'Лист1 (3)'!$R$3:$R$803</c:f>
              <c:numCache>
                <c:formatCode>General</c:formatCode>
                <c:ptCount val="801"/>
                <c:pt idx="0">
                  <c:v>1.2999999999999999E-4</c:v>
                </c:pt>
                <c:pt idx="1">
                  <c:v>3.0000000000000001E-5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4.0000000000000003E-5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5.0000000000000002E-5</c:v>
                </c:pt>
                <c:pt idx="10">
                  <c:v>5.0000000000000002E-5</c:v>
                </c:pt>
                <c:pt idx="11">
                  <c:v>5.0000000000000002E-5</c:v>
                </c:pt>
                <c:pt idx="12">
                  <c:v>5.0000000000000002E-5</c:v>
                </c:pt>
                <c:pt idx="13">
                  <c:v>5.0000000000000002E-5</c:v>
                </c:pt>
                <c:pt idx="14">
                  <c:v>6.0000000000000002E-5</c:v>
                </c:pt>
                <c:pt idx="15">
                  <c:v>6.0000000000000002E-5</c:v>
                </c:pt>
                <c:pt idx="16">
                  <c:v>6.0000000000000002E-5</c:v>
                </c:pt>
                <c:pt idx="17">
                  <c:v>6.0000000000000002E-5</c:v>
                </c:pt>
                <c:pt idx="18">
                  <c:v>6.9999999999999994E-5</c:v>
                </c:pt>
                <c:pt idx="19">
                  <c:v>6.9999999999999994E-5</c:v>
                </c:pt>
                <c:pt idx="20">
                  <c:v>6.9999999999999994E-5</c:v>
                </c:pt>
                <c:pt idx="21">
                  <c:v>8.0000000000000007E-5</c:v>
                </c:pt>
                <c:pt idx="22">
                  <c:v>8.0000000000000007E-5</c:v>
                </c:pt>
                <c:pt idx="23">
                  <c:v>8.0000000000000007E-5</c:v>
                </c:pt>
                <c:pt idx="24">
                  <c:v>8.0000000000000007E-5</c:v>
                </c:pt>
                <c:pt idx="25">
                  <c:v>9.0000000000000006E-5</c:v>
                </c:pt>
                <c:pt idx="26">
                  <c:v>9.0000000000000006E-5</c:v>
                </c:pt>
                <c:pt idx="27">
                  <c:v>1E-4</c:v>
                </c:pt>
                <c:pt idx="28">
                  <c:v>1E-4</c:v>
                </c:pt>
                <c:pt idx="29">
                  <c:v>1E-4</c:v>
                </c:pt>
                <c:pt idx="30">
                  <c:v>1.1E-4</c:v>
                </c:pt>
                <c:pt idx="31">
                  <c:v>1.1E-4</c:v>
                </c:pt>
                <c:pt idx="32">
                  <c:v>1.2E-4</c:v>
                </c:pt>
                <c:pt idx="33">
                  <c:v>1.2E-4</c:v>
                </c:pt>
                <c:pt idx="34">
                  <c:v>1.2999999999999999E-4</c:v>
                </c:pt>
                <c:pt idx="35">
                  <c:v>1.2999999999999999E-4</c:v>
                </c:pt>
                <c:pt idx="36">
                  <c:v>1.3999999999999999E-4</c:v>
                </c:pt>
                <c:pt idx="37">
                  <c:v>1.3999999999999999E-4</c:v>
                </c:pt>
                <c:pt idx="38">
                  <c:v>1.4999999999999999E-4</c:v>
                </c:pt>
                <c:pt idx="39">
                  <c:v>1.4999999999999999E-4</c:v>
                </c:pt>
                <c:pt idx="40">
                  <c:v>1.6000000000000001E-4</c:v>
                </c:pt>
                <c:pt idx="41">
                  <c:v>1.7000000000000001E-4</c:v>
                </c:pt>
                <c:pt idx="42">
                  <c:v>1.7000000000000001E-4</c:v>
                </c:pt>
                <c:pt idx="43">
                  <c:v>1.8000000000000001E-4</c:v>
                </c:pt>
                <c:pt idx="44">
                  <c:v>1.9000000000000001E-4</c:v>
                </c:pt>
                <c:pt idx="45">
                  <c:v>1.9000000000000001E-4</c:v>
                </c:pt>
                <c:pt idx="46">
                  <c:v>2.0000000000000001E-4</c:v>
                </c:pt>
                <c:pt idx="47">
                  <c:v>2.1000000000000001E-4</c:v>
                </c:pt>
                <c:pt idx="48">
                  <c:v>2.2000000000000001E-4</c:v>
                </c:pt>
                <c:pt idx="49">
                  <c:v>2.2000000000000001E-4</c:v>
                </c:pt>
                <c:pt idx="50">
                  <c:v>2.3000000000000001E-4</c:v>
                </c:pt>
                <c:pt idx="51">
                  <c:v>2.4000000000000001E-4</c:v>
                </c:pt>
                <c:pt idx="52">
                  <c:v>2.5000000000000001E-4</c:v>
                </c:pt>
                <c:pt idx="53">
                  <c:v>2.5999999999999998E-4</c:v>
                </c:pt>
                <c:pt idx="54">
                  <c:v>2.7E-4</c:v>
                </c:pt>
                <c:pt idx="55">
                  <c:v>2.7999999999999998E-4</c:v>
                </c:pt>
                <c:pt idx="56">
                  <c:v>2.9E-4</c:v>
                </c:pt>
                <c:pt idx="57">
                  <c:v>2.9999999999999997E-4</c:v>
                </c:pt>
                <c:pt idx="58">
                  <c:v>3.1E-4</c:v>
                </c:pt>
                <c:pt idx="59">
                  <c:v>3.2000000000000003E-4</c:v>
                </c:pt>
                <c:pt idx="60">
                  <c:v>3.4000000000000002E-4</c:v>
                </c:pt>
                <c:pt idx="61">
                  <c:v>3.5E-4</c:v>
                </c:pt>
                <c:pt idx="62">
                  <c:v>3.6000000000000002E-4</c:v>
                </c:pt>
                <c:pt idx="63">
                  <c:v>3.8000000000000002E-4</c:v>
                </c:pt>
                <c:pt idx="64">
                  <c:v>3.8999999999999999E-4</c:v>
                </c:pt>
                <c:pt idx="65">
                  <c:v>4.0000000000000002E-4</c:v>
                </c:pt>
                <c:pt idx="66">
                  <c:v>4.2000000000000002E-4</c:v>
                </c:pt>
                <c:pt idx="67">
                  <c:v>4.2999999999999999E-4</c:v>
                </c:pt>
                <c:pt idx="68">
                  <c:v>4.4999999999999999E-4</c:v>
                </c:pt>
                <c:pt idx="69">
                  <c:v>4.6999999999999999E-4</c:v>
                </c:pt>
                <c:pt idx="70">
                  <c:v>4.8000000000000001E-4</c:v>
                </c:pt>
                <c:pt idx="71">
                  <c:v>5.0000000000000001E-4</c:v>
                </c:pt>
                <c:pt idx="72">
                  <c:v>5.1999999999999995E-4</c:v>
                </c:pt>
                <c:pt idx="73">
                  <c:v>5.4000000000000001E-4</c:v>
                </c:pt>
                <c:pt idx="74">
                  <c:v>5.5999999999999995E-4</c:v>
                </c:pt>
                <c:pt idx="75">
                  <c:v>5.8E-4</c:v>
                </c:pt>
                <c:pt idx="76">
                  <c:v>5.9999999999999995E-4</c:v>
                </c:pt>
                <c:pt idx="77">
                  <c:v>6.2E-4</c:v>
                </c:pt>
                <c:pt idx="78">
                  <c:v>6.4000000000000005E-4</c:v>
                </c:pt>
                <c:pt idx="79">
                  <c:v>6.6E-4</c:v>
                </c:pt>
                <c:pt idx="80">
                  <c:v>6.8999999999999997E-4</c:v>
                </c:pt>
                <c:pt idx="81">
                  <c:v>7.1000000000000002E-4</c:v>
                </c:pt>
                <c:pt idx="82">
                  <c:v>7.3999999999999999E-4</c:v>
                </c:pt>
                <c:pt idx="83">
                  <c:v>7.6000000000000004E-4</c:v>
                </c:pt>
                <c:pt idx="84">
                  <c:v>7.9000000000000001E-4</c:v>
                </c:pt>
                <c:pt idx="85">
                  <c:v>8.1999999999999998E-4</c:v>
                </c:pt>
                <c:pt idx="86">
                  <c:v>8.4000000000000003E-4</c:v>
                </c:pt>
                <c:pt idx="87">
                  <c:v>8.7000000000000001E-4</c:v>
                </c:pt>
                <c:pt idx="88">
                  <c:v>8.9999999999999998E-4</c:v>
                </c:pt>
                <c:pt idx="89">
                  <c:v>9.3999999999999997E-4</c:v>
                </c:pt>
                <c:pt idx="90">
                  <c:v>9.7000000000000005E-4</c:v>
                </c:pt>
                <c:pt idx="91">
                  <c:v>1E-3</c:v>
                </c:pt>
                <c:pt idx="92">
                  <c:v>1.0399999999999999E-3</c:v>
                </c:pt>
                <c:pt idx="93">
                  <c:v>1.07E-3</c:v>
                </c:pt>
                <c:pt idx="94">
                  <c:v>1.1100000000000001E-3</c:v>
                </c:pt>
                <c:pt idx="95">
                  <c:v>1.14E-3</c:v>
                </c:pt>
                <c:pt idx="96">
                  <c:v>1.1800000000000001E-3</c:v>
                </c:pt>
                <c:pt idx="97">
                  <c:v>1.2199999999999999E-3</c:v>
                </c:pt>
                <c:pt idx="98">
                  <c:v>1.2600000000000001E-3</c:v>
                </c:pt>
                <c:pt idx="99">
                  <c:v>1.31E-3</c:v>
                </c:pt>
                <c:pt idx="100">
                  <c:v>1.3500000000000001E-3</c:v>
                </c:pt>
                <c:pt idx="101">
                  <c:v>1.39E-3</c:v>
                </c:pt>
                <c:pt idx="102">
                  <c:v>1.4400000000000001E-3</c:v>
                </c:pt>
                <c:pt idx="103">
                  <c:v>1.49E-3</c:v>
                </c:pt>
                <c:pt idx="104">
                  <c:v>1.5399999999999999E-3</c:v>
                </c:pt>
                <c:pt idx="105">
                  <c:v>1.5900000000000001E-3</c:v>
                </c:pt>
                <c:pt idx="106">
                  <c:v>1.64E-3</c:v>
                </c:pt>
                <c:pt idx="107">
                  <c:v>1.6900000000000001E-3</c:v>
                </c:pt>
                <c:pt idx="108">
                  <c:v>1.75E-3</c:v>
                </c:pt>
                <c:pt idx="109">
                  <c:v>1.81E-3</c:v>
                </c:pt>
                <c:pt idx="110">
                  <c:v>1.8699999999999999E-3</c:v>
                </c:pt>
                <c:pt idx="111">
                  <c:v>1.9300000000000001E-3</c:v>
                </c:pt>
                <c:pt idx="112">
                  <c:v>1.99E-3</c:v>
                </c:pt>
                <c:pt idx="113">
                  <c:v>2.0500000000000002E-3</c:v>
                </c:pt>
                <c:pt idx="114">
                  <c:v>2.1199999999999999E-3</c:v>
                </c:pt>
                <c:pt idx="115">
                  <c:v>2.1900000000000001E-3</c:v>
                </c:pt>
                <c:pt idx="116">
                  <c:v>2.2599999999999999E-3</c:v>
                </c:pt>
                <c:pt idx="117">
                  <c:v>2.33E-3</c:v>
                </c:pt>
                <c:pt idx="118">
                  <c:v>2.3999999999999998E-3</c:v>
                </c:pt>
                <c:pt idx="119">
                  <c:v>2.48E-3</c:v>
                </c:pt>
                <c:pt idx="120">
                  <c:v>2.5600000000000002E-3</c:v>
                </c:pt>
                <c:pt idx="121">
                  <c:v>2.64E-3</c:v>
                </c:pt>
                <c:pt idx="122">
                  <c:v>2.7200000000000002E-3</c:v>
                </c:pt>
                <c:pt idx="123">
                  <c:v>2.8E-3</c:v>
                </c:pt>
                <c:pt idx="124">
                  <c:v>2.8900000000000002E-3</c:v>
                </c:pt>
                <c:pt idx="125">
                  <c:v>2.98E-3</c:v>
                </c:pt>
                <c:pt idx="126">
                  <c:v>3.0699999999999998E-3</c:v>
                </c:pt>
                <c:pt idx="127">
                  <c:v>3.1700000000000001E-3</c:v>
                </c:pt>
                <c:pt idx="128">
                  <c:v>3.2599999999999999E-3</c:v>
                </c:pt>
                <c:pt idx="129">
                  <c:v>3.3600000000000001E-3</c:v>
                </c:pt>
                <c:pt idx="130">
                  <c:v>3.47E-3</c:v>
                </c:pt>
                <c:pt idx="131">
                  <c:v>3.5699999999999998E-3</c:v>
                </c:pt>
                <c:pt idx="132">
                  <c:v>3.6800000000000001E-3</c:v>
                </c:pt>
                <c:pt idx="133">
                  <c:v>3.79E-3</c:v>
                </c:pt>
                <c:pt idx="134">
                  <c:v>3.9100000000000003E-3</c:v>
                </c:pt>
                <c:pt idx="135">
                  <c:v>4.0200000000000001E-3</c:v>
                </c:pt>
                <c:pt idx="136">
                  <c:v>4.15E-3</c:v>
                </c:pt>
                <c:pt idx="137">
                  <c:v>4.2700000000000004E-3</c:v>
                </c:pt>
                <c:pt idx="138">
                  <c:v>4.4000000000000003E-3</c:v>
                </c:pt>
                <c:pt idx="139">
                  <c:v>4.5300000000000002E-3</c:v>
                </c:pt>
                <c:pt idx="140">
                  <c:v>4.6600000000000001E-3</c:v>
                </c:pt>
                <c:pt idx="141">
                  <c:v>4.7999999999999996E-3</c:v>
                </c:pt>
                <c:pt idx="142">
                  <c:v>4.9399999999999999E-3</c:v>
                </c:pt>
                <c:pt idx="143">
                  <c:v>5.0800000000000003E-3</c:v>
                </c:pt>
                <c:pt idx="144">
                  <c:v>5.2300000000000003E-3</c:v>
                </c:pt>
                <c:pt idx="145">
                  <c:v>5.3899999999999998E-3</c:v>
                </c:pt>
                <c:pt idx="146">
                  <c:v>5.5399999999999998E-3</c:v>
                </c:pt>
                <c:pt idx="147">
                  <c:v>5.7000000000000002E-3</c:v>
                </c:pt>
                <c:pt idx="148">
                  <c:v>5.8700000000000002E-3</c:v>
                </c:pt>
                <c:pt idx="149">
                  <c:v>6.0400000000000002E-3</c:v>
                </c:pt>
                <c:pt idx="150">
                  <c:v>6.2100000000000002E-3</c:v>
                </c:pt>
                <c:pt idx="151">
                  <c:v>6.3899999999999998E-3</c:v>
                </c:pt>
                <c:pt idx="152">
                  <c:v>6.5700000000000003E-3</c:v>
                </c:pt>
                <c:pt idx="153">
                  <c:v>6.7600000000000004E-3</c:v>
                </c:pt>
                <c:pt idx="154">
                  <c:v>6.9499999999999996E-3</c:v>
                </c:pt>
                <c:pt idx="155">
                  <c:v>7.1399999999999996E-3</c:v>
                </c:pt>
                <c:pt idx="156">
                  <c:v>7.3400000000000002E-3</c:v>
                </c:pt>
                <c:pt idx="157">
                  <c:v>7.5500000000000003E-3</c:v>
                </c:pt>
                <c:pt idx="158">
                  <c:v>7.7600000000000004E-3</c:v>
                </c:pt>
                <c:pt idx="159">
                  <c:v>7.9799999999999992E-3</c:v>
                </c:pt>
                <c:pt idx="160">
                  <c:v>8.2000000000000007E-3</c:v>
                </c:pt>
                <c:pt idx="161">
                  <c:v>8.4200000000000004E-3</c:v>
                </c:pt>
                <c:pt idx="162">
                  <c:v>8.6599999999999993E-3</c:v>
                </c:pt>
                <c:pt idx="163">
                  <c:v>8.8900000000000003E-3</c:v>
                </c:pt>
                <c:pt idx="164">
                  <c:v>9.1400000000000006E-3</c:v>
                </c:pt>
                <c:pt idx="165">
                  <c:v>9.3900000000000008E-3</c:v>
                </c:pt>
                <c:pt idx="166">
                  <c:v>9.6399999999999993E-3</c:v>
                </c:pt>
                <c:pt idx="167">
                  <c:v>9.9000000000000008E-3</c:v>
                </c:pt>
                <c:pt idx="168">
                  <c:v>1.017E-2</c:v>
                </c:pt>
                <c:pt idx="169">
                  <c:v>1.044E-2</c:v>
                </c:pt>
                <c:pt idx="170">
                  <c:v>1.072E-2</c:v>
                </c:pt>
                <c:pt idx="171">
                  <c:v>1.1010000000000001E-2</c:v>
                </c:pt>
                <c:pt idx="172">
                  <c:v>1.1299999999999999E-2</c:v>
                </c:pt>
                <c:pt idx="173">
                  <c:v>1.1599999999999999E-2</c:v>
                </c:pt>
                <c:pt idx="174">
                  <c:v>1.191E-2</c:v>
                </c:pt>
                <c:pt idx="175">
                  <c:v>1.222E-2</c:v>
                </c:pt>
                <c:pt idx="176">
                  <c:v>1.255E-2</c:v>
                </c:pt>
                <c:pt idx="177">
                  <c:v>1.2869999999999999E-2</c:v>
                </c:pt>
                <c:pt idx="178">
                  <c:v>1.321E-2</c:v>
                </c:pt>
                <c:pt idx="179">
                  <c:v>1.355E-2</c:v>
                </c:pt>
                <c:pt idx="180">
                  <c:v>1.3899999999999999E-2</c:v>
                </c:pt>
                <c:pt idx="181">
                  <c:v>1.426E-2</c:v>
                </c:pt>
                <c:pt idx="182">
                  <c:v>1.4630000000000001E-2</c:v>
                </c:pt>
                <c:pt idx="183">
                  <c:v>1.4999999999999999E-2</c:v>
                </c:pt>
                <c:pt idx="184">
                  <c:v>1.5389999999999999E-2</c:v>
                </c:pt>
                <c:pt idx="185">
                  <c:v>1.5779999999999999E-2</c:v>
                </c:pt>
                <c:pt idx="186">
                  <c:v>1.618E-2</c:v>
                </c:pt>
                <c:pt idx="187">
                  <c:v>1.6590000000000001E-2</c:v>
                </c:pt>
                <c:pt idx="188">
                  <c:v>1.7000000000000001E-2</c:v>
                </c:pt>
                <c:pt idx="189">
                  <c:v>1.7430000000000001E-2</c:v>
                </c:pt>
                <c:pt idx="190">
                  <c:v>1.7860000000000001E-2</c:v>
                </c:pt>
                <c:pt idx="191">
                  <c:v>1.831E-2</c:v>
                </c:pt>
                <c:pt idx="192">
                  <c:v>1.8759999999999999E-2</c:v>
                </c:pt>
                <c:pt idx="193">
                  <c:v>1.9230000000000001E-2</c:v>
                </c:pt>
                <c:pt idx="194">
                  <c:v>1.9699999999999999E-2</c:v>
                </c:pt>
                <c:pt idx="195">
                  <c:v>2.018E-2</c:v>
                </c:pt>
                <c:pt idx="196">
                  <c:v>2.068E-2</c:v>
                </c:pt>
                <c:pt idx="197">
                  <c:v>2.1180000000000001E-2</c:v>
                </c:pt>
                <c:pt idx="198">
                  <c:v>2.1690000000000001E-2</c:v>
                </c:pt>
                <c:pt idx="199">
                  <c:v>2.222E-2</c:v>
                </c:pt>
                <c:pt idx="200">
                  <c:v>2.2749999999999999E-2</c:v>
                </c:pt>
                <c:pt idx="201">
                  <c:v>2.3300000000000001E-2</c:v>
                </c:pt>
                <c:pt idx="202">
                  <c:v>2.385E-2</c:v>
                </c:pt>
                <c:pt idx="203">
                  <c:v>2.4420000000000001E-2</c:v>
                </c:pt>
                <c:pt idx="204">
                  <c:v>2.5000000000000001E-2</c:v>
                </c:pt>
                <c:pt idx="205">
                  <c:v>2.5590000000000002E-2</c:v>
                </c:pt>
                <c:pt idx="206">
                  <c:v>2.6190000000000001E-2</c:v>
                </c:pt>
                <c:pt idx="207">
                  <c:v>2.6800000000000001E-2</c:v>
                </c:pt>
                <c:pt idx="208">
                  <c:v>2.743E-2</c:v>
                </c:pt>
                <c:pt idx="209">
                  <c:v>2.8070000000000001E-2</c:v>
                </c:pt>
                <c:pt idx="210">
                  <c:v>2.8719999999999999E-2</c:v>
                </c:pt>
                <c:pt idx="211">
                  <c:v>2.938E-2</c:v>
                </c:pt>
                <c:pt idx="212">
                  <c:v>3.005E-2</c:v>
                </c:pt>
                <c:pt idx="213">
                  <c:v>3.074E-2</c:v>
                </c:pt>
                <c:pt idx="214">
                  <c:v>3.1440000000000003E-2</c:v>
                </c:pt>
                <c:pt idx="215">
                  <c:v>3.2160000000000001E-2</c:v>
                </c:pt>
                <c:pt idx="216">
                  <c:v>3.288E-2</c:v>
                </c:pt>
                <c:pt idx="217">
                  <c:v>3.3619999999999997E-2</c:v>
                </c:pt>
                <c:pt idx="218">
                  <c:v>3.4380000000000001E-2</c:v>
                </c:pt>
                <c:pt idx="219">
                  <c:v>3.5150000000000001E-2</c:v>
                </c:pt>
                <c:pt idx="220">
                  <c:v>3.5929999999999997E-2</c:v>
                </c:pt>
                <c:pt idx="221">
                  <c:v>3.6729999999999999E-2</c:v>
                </c:pt>
                <c:pt idx="222">
                  <c:v>3.7539999999999997E-2</c:v>
                </c:pt>
                <c:pt idx="223">
                  <c:v>3.8359999999999998E-2</c:v>
                </c:pt>
                <c:pt idx="224">
                  <c:v>3.9199999999999999E-2</c:v>
                </c:pt>
                <c:pt idx="225">
                  <c:v>4.0059999999999998E-2</c:v>
                </c:pt>
                <c:pt idx="226">
                  <c:v>4.0930000000000001E-2</c:v>
                </c:pt>
                <c:pt idx="227">
                  <c:v>4.1820000000000003E-2</c:v>
                </c:pt>
                <c:pt idx="228">
                  <c:v>4.2720000000000001E-2</c:v>
                </c:pt>
                <c:pt idx="229">
                  <c:v>4.3630000000000002E-2</c:v>
                </c:pt>
                <c:pt idx="230">
                  <c:v>4.4569999999999999E-2</c:v>
                </c:pt>
                <c:pt idx="231">
                  <c:v>4.5510000000000002E-2</c:v>
                </c:pt>
                <c:pt idx="232">
                  <c:v>4.648E-2</c:v>
                </c:pt>
                <c:pt idx="233">
                  <c:v>4.7460000000000002E-2</c:v>
                </c:pt>
                <c:pt idx="234">
                  <c:v>4.8460000000000003E-2</c:v>
                </c:pt>
                <c:pt idx="235">
                  <c:v>4.947E-2</c:v>
                </c:pt>
                <c:pt idx="236">
                  <c:v>5.0500000000000003E-2</c:v>
                </c:pt>
                <c:pt idx="237">
                  <c:v>5.1549999999999999E-2</c:v>
                </c:pt>
                <c:pt idx="238">
                  <c:v>5.262E-2</c:v>
                </c:pt>
                <c:pt idx="239">
                  <c:v>5.3699999999999998E-2</c:v>
                </c:pt>
                <c:pt idx="240">
                  <c:v>5.4800000000000001E-2</c:v>
                </c:pt>
                <c:pt idx="241">
                  <c:v>5.5919999999999997E-2</c:v>
                </c:pt>
                <c:pt idx="242">
                  <c:v>5.7049999999999997E-2</c:v>
                </c:pt>
                <c:pt idx="243">
                  <c:v>5.8209999999999998E-2</c:v>
                </c:pt>
                <c:pt idx="244">
                  <c:v>5.9380000000000002E-2</c:v>
                </c:pt>
                <c:pt idx="245">
                  <c:v>6.0569999999999999E-2</c:v>
                </c:pt>
                <c:pt idx="246">
                  <c:v>6.1780000000000002E-2</c:v>
                </c:pt>
                <c:pt idx="247">
                  <c:v>6.3009999999999997E-2</c:v>
                </c:pt>
                <c:pt idx="248">
                  <c:v>6.4259999999999998E-2</c:v>
                </c:pt>
                <c:pt idx="249">
                  <c:v>6.5519999999999995E-2</c:v>
                </c:pt>
                <c:pt idx="250">
                  <c:v>6.6809999999999994E-2</c:v>
                </c:pt>
                <c:pt idx="251">
                  <c:v>6.8110000000000004E-2</c:v>
                </c:pt>
                <c:pt idx="252">
                  <c:v>6.9440000000000002E-2</c:v>
                </c:pt>
                <c:pt idx="253">
                  <c:v>7.0779999999999996E-2</c:v>
                </c:pt>
                <c:pt idx="254">
                  <c:v>7.2150000000000006E-2</c:v>
                </c:pt>
                <c:pt idx="255">
                  <c:v>7.3529999999999998E-2</c:v>
                </c:pt>
                <c:pt idx="256">
                  <c:v>7.4929999999999997E-2</c:v>
                </c:pt>
                <c:pt idx="257">
                  <c:v>7.6359999999999997E-2</c:v>
                </c:pt>
                <c:pt idx="258">
                  <c:v>7.7799999999999994E-2</c:v>
                </c:pt>
                <c:pt idx="259">
                  <c:v>7.9269999999999993E-2</c:v>
                </c:pt>
                <c:pt idx="260">
                  <c:v>8.0759999999999998E-2</c:v>
                </c:pt>
                <c:pt idx="261">
                  <c:v>8.226E-2</c:v>
                </c:pt>
                <c:pt idx="262">
                  <c:v>8.3790000000000003E-2</c:v>
                </c:pt>
                <c:pt idx="263">
                  <c:v>8.5339999999999999E-2</c:v>
                </c:pt>
                <c:pt idx="264">
                  <c:v>8.6910000000000001E-2</c:v>
                </c:pt>
                <c:pt idx="265">
                  <c:v>8.8510000000000005E-2</c:v>
                </c:pt>
                <c:pt idx="266">
                  <c:v>9.0120000000000006E-2</c:v>
                </c:pt>
                <c:pt idx="267">
                  <c:v>9.1759999999999994E-2</c:v>
                </c:pt>
                <c:pt idx="268">
                  <c:v>9.3420000000000003E-2</c:v>
                </c:pt>
                <c:pt idx="269">
                  <c:v>9.5100000000000004E-2</c:v>
                </c:pt>
                <c:pt idx="270">
                  <c:v>9.6799999999999997E-2</c:v>
                </c:pt>
                <c:pt idx="271">
                  <c:v>9.8530000000000006E-2</c:v>
                </c:pt>
                <c:pt idx="272">
                  <c:v>0.10027</c:v>
                </c:pt>
                <c:pt idx="273">
                  <c:v>0.10204000000000001</c:v>
                </c:pt>
                <c:pt idx="274">
                  <c:v>0.10383000000000001</c:v>
                </c:pt>
                <c:pt idx="275">
                  <c:v>0.10564999999999999</c:v>
                </c:pt>
                <c:pt idx="276">
                  <c:v>0.10749</c:v>
                </c:pt>
                <c:pt idx="277">
                  <c:v>0.10935</c:v>
                </c:pt>
                <c:pt idx="278">
                  <c:v>0.11123</c:v>
                </c:pt>
                <c:pt idx="279">
                  <c:v>0.11314</c:v>
                </c:pt>
                <c:pt idx="280">
                  <c:v>0.11507000000000001</c:v>
                </c:pt>
                <c:pt idx="281">
                  <c:v>0.11702</c:v>
                </c:pt>
                <c:pt idx="282">
                  <c:v>0.11899999999999999</c:v>
                </c:pt>
                <c:pt idx="283">
                  <c:v>0.121</c:v>
                </c:pt>
                <c:pt idx="284">
                  <c:v>0.12302</c:v>
                </c:pt>
                <c:pt idx="285">
                  <c:v>0.12506999999999999</c:v>
                </c:pt>
                <c:pt idx="286">
                  <c:v>0.12714</c:v>
                </c:pt>
                <c:pt idx="287">
                  <c:v>0.12923999999999999</c:v>
                </c:pt>
                <c:pt idx="288">
                  <c:v>0.13136</c:v>
                </c:pt>
                <c:pt idx="289">
                  <c:v>0.13350000000000001</c:v>
                </c:pt>
                <c:pt idx="290">
                  <c:v>0.13567000000000001</c:v>
                </c:pt>
                <c:pt idx="291">
                  <c:v>0.13786000000000001</c:v>
                </c:pt>
                <c:pt idx="292">
                  <c:v>0.14007</c:v>
                </c:pt>
                <c:pt idx="293">
                  <c:v>0.14230999999999999</c:v>
                </c:pt>
                <c:pt idx="294">
                  <c:v>0.14457</c:v>
                </c:pt>
                <c:pt idx="295">
                  <c:v>0.14685999999999999</c:v>
                </c:pt>
                <c:pt idx="296">
                  <c:v>0.14917</c:v>
                </c:pt>
                <c:pt idx="297">
                  <c:v>0.15151000000000001</c:v>
                </c:pt>
                <c:pt idx="298">
                  <c:v>0.15386</c:v>
                </c:pt>
                <c:pt idx="299">
                  <c:v>0.15625</c:v>
                </c:pt>
                <c:pt idx="300">
                  <c:v>0.15866</c:v>
                </c:pt>
                <c:pt idx="301">
                  <c:v>0.16109000000000001</c:v>
                </c:pt>
                <c:pt idx="302">
                  <c:v>0.16353999999999999</c:v>
                </c:pt>
                <c:pt idx="303">
                  <c:v>0.16602</c:v>
                </c:pt>
                <c:pt idx="304">
                  <c:v>0.16853000000000001</c:v>
                </c:pt>
                <c:pt idx="305">
                  <c:v>0.17105999999999999</c:v>
                </c:pt>
                <c:pt idx="306">
                  <c:v>0.17360999999999999</c:v>
                </c:pt>
                <c:pt idx="307">
                  <c:v>0.17619000000000001</c:v>
                </c:pt>
                <c:pt idx="308">
                  <c:v>0.17879</c:v>
                </c:pt>
                <c:pt idx="309">
                  <c:v>0.18140999999999999</c:v>
                </c:pt>
                <c:pt idx="310">
                  <c:v>0.18406</c:v>
                </c:pt>
                <c:pt idx="311">
                  <c:v>0.18673000000000001</c:v>
                </c:pt>
                <c:pt idx="312">
                  <c:v>0.18942999999999999</c:v>
                </c:pt>
                <c:pt idx="313">
                  <c:v>0.19214999999999999</c:v>
                </c:pt>
                <c:pt idx="314">
                  <c:v>0.19489000000000001</c:v>
                </c:pt>
                <c:pt idx="315">
                  <c:v>0.19766</c:v>
                </c:pt>
                <c:pt idx="316">
                  <c:v>0.20044999999999999</c:v>
                </c:pt>
                <c:pt idx="317">
                  <c:v>0.20327000000000001</c:v>
                </c:pt>
                <c:pt idx="318">
                  <c:v>0.20610999999999999</c:v>
                </c:pt>
                <c:pt idx="319">
                  <c:v>0.20896999999999999</c:v>
                </c:pt>
                <c:pt idx="320">
                  <c:v>0.21185999999999999</c:v>
                </c:pt>
                <c:pt idx="321">
                  <c:v>0.21476000000000001</c:v>
                </c:pt>
                <c:pt idx="322">
                  <c:v>0.2177</c:v>
                </c:pt>
                <c:pt idx="323">
                  <c:v>0.22065000000000001</c:v>
                </c:pt>
                <c:pt idx="324">
                  <c:v>0.22363</c:v>
                </c:pt>
                <c:pt idx="325">
                  <c:v>0.22663</c:v>
                </c:pt>
                <c:pt idx="326">
                  <c:v>0.22964999999999999</c:v>
                </c:pt>
                <c:pt idx="327">
                  <c:v>0.23269999999999999</c:v>
                </c:pt>
                <c:pt idx="328">
                  <c:v>0.23576</c:v>
                </c:pt>
                <c:pt idx="329">
                  <c:v>0.23885000000000001</c:v>
                </c:pt>
                <c:pt idx="330">
                  <c:v>0.24196000000000001</c:v>
                </c:pt>
                <c:pt idx="331">
                  <c:v>0.24510000000000001</c:v>
                </c:pt>
                <c:pt idx="332">
                  <c:v>0.24825</c:v>
                </c:pt>
                <c:pt idx="333">
                  <c:v>0.25142999999999999</c:v>
                </c:pt>
                <c:pt idx="334">
                  <c:v>0.25463000000000002</c:v>
                </c:pt>
                <c:pt idx="335">
                  <c:v>0.25785000000000002</c:v>
                </c:pt>
                <c:pt idx="336">
                  <c:v>0.26108999999999999</c:v>
                </c:pt>
                <c:pt idx="337">
                  <c:v>0.26434999999999997</c:v>
                </c:pt>
                <c:pt idx="338">
                  <c:v>0.26762999999999998</c:v>
                </c:pt>
                <c:pt idx="339">
                  <c:v>0.27093</c:v>
                </c:pt>
                <c:pt idx="340">
                  <c:v>0.27424999999999999</c:v>
                </c:pt>
                <c:pt idx="341">
                  <c:v>0.27760000000000001</c:v>
                </c:pt>
                <c:pt idx="342">
                  <c:v>0.28095999999999999</c:v>
                </c:pt>
                <c:pt idx="343">
                  <c:v>0.28433999999999998</c:v>
                </c:pt>
                <c:pt idx="344">
                  <c:v>0.28774</c:v>
                </c:pt>
                <c:pt idx="345">
                  <c:v>0.29115999999999997</c:v>
                </c:pt>
                <c:pt idx="346">
                  <c:v>0.29459999999999997</c:v>
                </c:pt>
                <c:pt idx="347">
                  <c:v>0.29805999999999999</c:v>
                </c:pt>
                <c:pt idx="348">
                  <c:v>0.30153000000000002</c:v>
                </c:pt>
                <c:pt idx="349">
                  <c:v>0.30503000000000002</c:v>
                </c:pt>
                <c:pt idx="350">
                  <c:v>0.30853999999999998</c:v>
                </c:pt>
                <c:pt idx="351">
                  <c:v>0.31207000000000001</c:v>
                </c:pt>
                <c:pt idx="352">
                  <c:v>0.31561</c:v>
                </c:pt>
                <c:pt idx="353">
                  <c:v>0.31918000000000002</c:v>
                </c:pt>
                <c:pt idx="354">
                  <c:v>0.32275999999999999</c:v>
                </c:pt>
                <c:pt idx="355">
                  <c:v>0.32635999999999998</c:v>
                </c:pt>
                <c:pt idx="356">
                  <c:v>0.32996999999999999</c:v>
                </c:pt>
                <c:pt idx="357">
                  <c:v>0.33360000000000001</c:v>
                </c:pt>
                <c:pt idx="358">
                  <c:v>0.33723999999999998</c:v>
                </c:pt>
                <c:pt idx="359">
                  <c:v>0.34089999999999998</c:v>
                </c:pt>
                <c:pt idx="360">
                  <c:v>0.34458</c:v>
                </c:pt>
                <c:pt idx="361">
                  <c:v>0.34827000000000002</c:v>
                </c:pt>
                <c:pt idx="362">
                  <c:v>0.35197000000000001</c:v>
                </c:pt>
                <c:pt idx="363">
                  <c:v>0.35569000000000001</c:v>
                </c:pt>
                <c:pt idx="364">
                  <c:v>0.35942000000000002</c:v>
                </c:pt>
                <c:pt idx="365">
                  <c:v>0.36316999999999999</c:v>
                </c:pt>
                <c:pt idx="366">
                  <c:v>0.36692999999999998</c:v>
                </c:pt>
                <c:pt idx="367">
                  <c:v>0.37069999999999997</c:v>
                </c:pt>
                <c:pt idx="368">
                  <c:v>0.37447999999999998</c:v>
                </c:pt>
                <c:pt idx="369">
                  <c:v>0.37828000000000001</c:v>
                </c:pt>
                <c:pt idx="370">
                  <c:v>0.38208999999999999</c:v>
                </c:pt>
                <c:pt idx="371">
                  <c:v>0.38590999999999998</c:v>
                </c:pt>
                <c:pt idx="372">
                  <c:v>0.38973999999999998</c:v>
                </c:pt>
                <c:pt idx="373">
                  <c:v>0.39357999999999999</c:v>
                </c:pt>
                <c:pt idx="374">
                  <c:v>0.39743000000000001</c:v>
                </c:pt>
                <c:pt idx="375">
                  <c:v>0.40128999999999998</c:v>
                </c:pt>
                <c:pt idx="376">
                  <c:v>0.40516999999999997</c:v>
                </c:pt>
                <c:pt idx="377">
                  <c:v>0.40905000000000002</c:v>
                </c:pt>
                <c:pt idx="378">
                  <c:v>0.41293999999999997</c:v>
                </c:pt>
                <c:pt idx="379">
                  <c:v>0.41682999999999998</c:v>
                </c:pt>
                <c:pt idx="380">
                  <c:v>0.42074</c:v>
                </c:pt>
                <c:pt idx="381">
                  <c:v>0.42465000000000003</c:v>
                </c:pt>
                <c:pt idx="382">
                  <c:v>0.42858000000000002</c:v>
                </c:pt>
                <c:pt idx="383">
                  <c:v>0.43251000000000001</c:v>
                </c:pt>
                <c:pt idx="384">
                  <c:v>0.43643999999999999</c:v>
                </c:pt>
                <c:pt idx="385">
                  <c:v>0.44037999999999999</c:v>
                </c:pt>
                <c:pt idx="386">
                  <c:v>0.44433</c:v>
                </c:pt>
                <c:pt idx="387">
                  <c:v>0.44828000000000001</c:v>
                </c:pt>
                <c:pt idx="388">
                  <c:v>0.45223999999999998</c:v>
                </c:pt>
                <c:pt idx="389">
                  <c:v>0.45619999999999999</c:v>
                </c:pt>
                <c:pt idx="390">
                  <c:v>0.46017000000000002</c:v>
                </c:pt>
                <c:pt idx="391">
                  <c:v>0.46414</c:v>
                </c:pt>
                <c:pt idx="392">
                  <c:v>0.46811999999999998</c:v>
                </c:pt>
                <c:pt idx="393">
                  <c:v>0.47210000000000002</c:v>
                </c:pt>
                <c:pt idx="394">
                  <c:v>0.47608</c:v>
                </c:pt>
                <c:pt idx="395">
                  <c:v>0.48005999999999999</c:v>
                </c:pt>
                <c:pt idx="396">
                  <c:v>0.48404999999999998</c:v>
                </c:pt>
                <c:pt idx="397">
                  <c:v>0.48803000000000002</c:v>
                </c:pt>
                <c:pt idx="398">
                  <c:v>0.49202000000000001</c:v>
                </c:pt>
                <c:pt idx="399">
                  <c:v>0.49601000000000001</c:v>
                </c:pt>
                <c:pt idx="400">
                  <c:v>0.5</c:v>
                </c:pt>
                <c:pt idx="401">
                  <c:v>0.50399000000000005</c:v>
                </c:pt>
                <c:pt idx="402">
                  <c:v>0.50797999999999999</c:v>
                </c:pt>
                <c:pt idx="403">
                  <c:v>0.51197000000000004</c:v>
                </c:pt>
                <c:pt idx="404">
                  <c:v>0.51595000000000002</c:v>
                </c:pt>
                <c:pt idx="405">
                  <c:v>0.51993999999999996</c:v>
                </c:pt>
                <c:pt idx="406">
                  <c:v>0.52392000000000005</c:v>
                </c:pt>
                <c:pt idx="407">
                  <c:v>0.52790000000000004</c:v>
                </c:pt>
                <c:pt idx="408">
                  <c:v>0.53188000000000002</c:v>
                </c:pt>
                <c:pt idx="409">
                  <c:v>0.53586</c:v>
                </c:pt>
                <c:pt idx="410">
                  <c:v>0.53983000000000003</c:v>
                </c:pt>
                <c:pt idx="411">
                  <c:v>0.54379999999999995</c:v>
                </c:pt>
                <c:pt idx="412">
                  <c:v>0.54776000000000002</c:v>
                </c:pt>
                <c:pt idx="413">
                  <c:v>0.55171999999999999</c:v>
                </c:pt>
                <c:pt idx="414">
                  <c:v>0.55567</c:v>
                </c:pt>
                <c:pt idx="415">
                  <c:v>0.55962000000000001</c:v>
                </c:pt>
                <c:pt idx="416">
                  <c:v>0.56355999999999995</c:v>
                </c:pt>
                <c:pt idx="417">
                  <c:v>0.56749000000000005</c:v>
                </c:pt>
                <c:pt idx="418">
                  <c:v>0.57142000000000004</c:v>
                </c:pt>
                <c:pt idx="419">
                  <c:v>0.57535000000000003</c:v>
                </c:pt>
                <c:pt idx="420">
                  <c:v>0.57926</c:v>
                </c:pt>
                <c:pt idx="421">
                  <c:v>0.58316999999999997</c:v>
                </c:pt>
                <c:pt idx="422">
                  <c:v>0.58706000000000003</c:v>
                </c:pt>
                <c:pt idx="423">
                  <c:v>0.59094999999999998</c:v>
                </c:pt>
                <c:pt idx="424">
                  <c:v>0.59482999999999997</c:v>
                </c:pt>
                <c:pt idx="425">
                  <c:v>0.59870999999999996</c:v>
                </c:pt>
                <c:pt idx="426">
                  <c:v>0.60257000000000005</c:v>
                </c:pt>
                <c:pt idx="427">
                  <c:v>0.60641999999999996</c:v>
                </c:pt>
                <c:pt idx="428">
                  <c:v>0.61026000000000002</c:v>
                </c:pt>
                <c:pt idx="429">
                  <c:v>0.61409000000000002</c:v>
                </c:pt>
                <c:pt idx="430">
                  <c:v>0.61790999999999996</c:v>
                </c:pt>
                <c:pt idx="431">
                  <c:v>0.62172000000000005</c:v>
                </c:pt>
                <c:pt idx="432">
                  <c:v>0.62551999999999996</c:v>
                </c:pt>
                <c:pt idx="433">
                  <c:v>0.62929999999999997</c:v>
                </c:pt>
                <c:pt idx="434">
                  <c:v>0.63307000000000002</c:v>
                </c:pt>
                <c:pt idx="435">
                  <c:v>0.63683000000000001</c:v>
                </c:pt>
                <c:pt idx="436">
                  <c:v>0.64058000000000004</c:v>
                </c:pt>
                <c:pt idx="437">
                  <c:v>0.64431000000000005</c:v>
                </c:pt>
                <c:pt idx="438">
                  <c:v>0.64802999999999999</c:v>
                </c:pt>
                <c:pt idx="439">
                  <c:v>0.65173000000000003</c:v>
                </c:pt>
                <c:pt idx="440">
                  <c:v>0.65542</c:v>
                </c:pt>
                <c:pt idx="441">
                  <c:v>0.65910000000000002</c:v>
                </c:pt>
                <c:pt idx="442">
                  <c:v>0.66276000000000002</c:v>
                </c:pt>
                <c:pt idx="443">
                  <c:v>0.66639999999999999</c:v>
                </c:pt>
                <c:pt idx="444">
                  <c:v>0.67003000000000001</c:v>
                </c:pt>
                <c:pt idx="445">
                  <c:v>0.67364000000000002</c:v>
                </c:pt>
                <c:pt idx="446">
                  <c:v>0.67723999999999995</c:v>
                </c:pt>
                <c:pt idx="447">
                  <c:v>0.68081999999999998</c:v>
                </c:pt>
                <c:pt idx="448">
                  <c:v>0.68439000000000005</c:v>
                </c:pt>
                <c:pt idx="449">
                  <c:v>0.68793000000000004</c:v>
                </c:pt>
                <c:pt idx="450">
                  <c:v>0.69145999999999996</c:v>
                </c:pt>
                <c:pt idx="451">
                  <c:v>0.69496999999999998</c:v>
                </c:pt>
                <c:pt idx="452">
                  <c:v>0.69847000000000004</c:v>
                </c:pt>
                <c:pt idx="453">
                  <c:v>0.70194000000000001</c:v>
                </c:pt>
                <c:pt idx="454">
                  <c:v>0.70540000000000003</c:v>
                </c:pt>
                <c:pt idx="455">
                  <c:v>0.70884000000000003</c:v>
                </c:pt>
                <c:pt idx="456">
                  <c:v>0.71226</c:v>
                </c:pt>
                <c:pt idx="457">
                  <c:v>0.71565999999999996</c:v>
                </c:pt>
                <c:pt idx="458">
                  <c:v>0.71904000000000001</c:v>
                </c:pt>
                <c:pt idx="459">
                  <c:v>0.72240000000000004</c:v>
                </c:pt>
                <c:pt idx="460">
                  <c:v>0.72575000000000001</c:v>
                </c:pt>
                <c:pt idx="461">
                  <c:v>0.72907</c:v>
                </c:pt>
                <c:pt idx="462">
                  <c:v>0.73236999999999997</c:v>
                </c:pt>
                <c:pt idx="463">
                  <c:v>0.73565000000000003</c:v>
                </c:pt>
                <c:pt idx="464">
                  <c:v>0.73890999999999996</c:v>
                </c:pt>
                <c:pt idx="465">
                  <c:v>0.74214999999999998</c:v>
                </c:pt>
                <c:pt idx="466">
                  <c:v>0.74536999999999998</c:v>
                </c:pt>
                <c:pt idx="467">
                  <c:v>0.74856999999999996</c:v>
                </c:pt>
                <c:pt idx="468">
                  <c:v>0.75175000000000003</c:v>
                </c:pt>
                <c:pt idx="469">
                  <c:v>0.75490000000000002</c:v>
                </c:pt>
                <c:pt idx="470">
                  <c:v>0.75804000000000005</c:v>
                </c:pt>
                <c:pt idx="471">
                  <c:v>0.76114999999999999</c:v>
                </c:pt>
                <c:pt idx="472">
                  <c:v>0.76424000000000003</c:v>
                </c:pt>
                <c:pt idx="473">
                  <c:v>0.76729999999999998</c:v>
                </c:pt>
                <c:pt idx="474">
                  <c:v>0.77034999999999998</c:v>
                </c:pt>
                <c:pt idx="475">
                  <c:v>0.77337</c:v>
                </c:pt>
                <c:pt idx="476">
                  <c:v>0.77637</c:v>
                </c:pt>
                <c:pt idx="477">
                  <c:v>0.77934999999999999</c:v>
                </c:pt>
                <c:pt idx="478">
                  <c:v>0.7823</c:v>
                </c:pt>
                <c:pt idx="479">
                  <c:v>0.78524000000000005</c:v>
                </c:pt>
                <c:pt idx="480">
                  <c:v>0.78813999999999995</c:v>
                </c:pt>
                <c:pt idx="481">
                  <c:v>0.79103000000000001</c:v>
                </c:pt>
                <c:pt idx="482">
                  <c:v>0.79388999999999998</c:v>
                </c:pt>
                <c:pt idx="483">
                  <c:v>0.79673000000000005</c:v>
                </c:pt>
                <c:pt idx="484">
                  <c:v>0.79954999999999998</c:v>
                </c:pt>
                <c:pt idx="485">
                  <c:v>0.80234000000000005</c:v>
                </c:pt>
                <c:pt idx="486">
                  <c:v>0.80510999999999999</c:v>
                </c:pt>
                <c:pt idx="487">
                  <c:v>0.80784999999999996</c:v>
                </c:pt>
                <c:pt idx="488">
                  <c:v>0.81057000000000001</c:v>
                </c:pt>
                <c:pt idx="489">
                  <c:v>0.81327000000000005</c:v>
                </c:pt>
                <c:pt idx="490">
                  <c:v>0.81594</c:v>
                </c:pt>
                <c:pt idx="491">
                  <c:v>0.81859000000000004</c:v>
                </c:pt>
                <c:pt idx="492">
                  <c:v>0.82121</c:v>
                </c:pt>
                <c:pt idx="493">
                  <c:v>0.82381000000000004</c:v>
                </c:pt>
                <c:pt idx="494">
                  <c:v>0.82638999999999996</c:v>
                </c:pt>
                <c:pt idx="495">
                  <c:v>0.82894000000000001</c:v>
                </c:pt>
                <c:pt idx="496">
                  <c:v>0.83147000000000004</c:v>
                </c:pt>
                <c:pt idx="497">
                  <c:v>0.83398000000000005</c:v>
                </c:pt>
                <c:pt idx="498">
                  <c:v>0.83645999999999998</c:v>
                </c:pt>
                <c:pt idx="499">
                  <c:v>0.83891000000000004</c:v>
                </c:pt>
                <c:pt idx="500">
                  <c:v>0.84133999999999998</c:v>
                </c:pt>
                <c:pt idx="501">
                  <c:v>0.84375</c:v>
                </c:pt>
                <c:pt idx="502">
                  <c:v>0.84614</c:v>
                </c:pt>
                <c:pt idx="503">
                  <c:v>0.84848999999999997</c:v>
                </c:pt>
                <c:pt idx="504">
                  <c:v>0.85082999999999998</c:v>
                </c:pt>
                <c:pt idx="505">
                  <c:v>0.85314000000000001</c:v>
                </c:pt>
                <c:pt idx="506">
                  <c:v>0.85543000000000002</c:v>
                </c:pt>
                <c:pt idx="507">
                  <c:v>0.85768999999999995</c:v>
                </c:pt>
                <c:pt idx="508">
                  <c:v>0.85992999999999997</c:v>
                </c:pt>
                <c:pt idx="509">
                  <c:v>0.86214000000000002</c:v>
                </c:pt>
                <c:pt idx="510">
                  <c:v>0.86433000000000004</c:v>
                </c:pt>
                <c:pt idx="511">
                  <c:v>0.86650000000000005</c:v>
                </c:pt>
                <c:pt idx="512">
                  <c:v>0.86863999999999997</c:v>
                </c:pt>
                <c:pt idx="513">
                  <c:v>0.87075999999999998</c:v>
                </c:pt>
                <c:pt idx="514">
                  <c:v>0.87285999999999997</c:v>
                </c:pt>
                <c:pt idx="515">
                  <c:v>0.87492999999999999</c:v>
                </c:pt>
                <c:pt idx="516">
                  <c:v>0.87697999999999998</c:v>
                </c:pt>
                <c:pt idx="517">
                  <c:v>0.879</c:v>
                </c:pt>
                <c:pt idx="518">
                  <c:v>0.88100000000000001</c:v>
                </c:pt>
                <c:pt idx="519">
                  <c:v>0.88297999999999999</c:v>
                </c:pt>
                <c:pt idx="520">
                  <c:v>0.88492999999999999</c:v>
                </c:pt>
                <c:pt idx="521">
                  <c:v>0.88685999999999998</c:v>
                </c:pt>
                <c:pt idx="522">
                  <c:v>0.88876999999999995</c:v>
                </c:pt>
                <c:pt idx="523">
                  <c:v>0.89065000000000005</c:v>
                </c:pt>
                <c:pt idx="524">
                  <c:v>0.89251000000000003</c:v>
                </c:pt>
                <c:pt idx="525">
                  <c:v>0.89434999999999998</c:v>
                </c:pt>
                <c:pt idx="526">
                  <c:v>0.89617000000000002</c:v>
                </c:pt>
                <c:pt idx="527">
                  <c:v>0.89795999999999998</c:v>
                </c:pt>
                <c:pt idx="528">
                  <c:v>0.89973000000000003</c:v>
                </c:pt>
                <c:pt idx="529">
                  <c:v>0.90146999999999999</c:v>
                </c:pt>
                <c:pt idx="530">
                  <c:v>0.9032</c:v>
                </c:pt>
                <c:pt idx="531">
                  <c:v>0.90490000000000004</c:v>
                </c:pt>
                <c:pt idx="532">
                  <c:v>0.90658000000000005</c:v>
                </c:pt>
                <c:pt idx="533">
                  <c:v>0.90824000000000005</c:v>
                </c:pt>
                <c:pt idx="534">
                  <c:v>0.90988000000000002</c:v>
                </c:pt>
                <c:pt idx="535">
                  <c:v>0.91149000000000002</c:v>
                </c:pt>
                <c:pt idx="536">
                  <c:v>0.91308999999999996</c:v>
                </c:pt>
                <c:pt idx="537">
                  <c:v>0.91466000000000003</c:v>
                </c:pt>
                <c:pt idx="538">
                  <c:v>0.91620999999999997</c:v>
                </c:pt>
                <c:pt idx="539">
                  <c:v>0.91774</c:v>
                </c:pt>
                <c:pt idx="540">
                  <c:v>0.91923999999999995</c:v>
                </c:pt>
                <c:pt idx="541">
                  <c:v>0.92073000000000005</c:v>
                </c:pt>
                <c:pt idx="542">
                  <c:v>0.92220000000000002</c:v>
                </c:pt>
                <c:pt idx="543">
                  <c:v>0.92364000000000002</c:v>
                </c:pt>
                <c:pt idx="544">
                  <c:v>0.92506999999999995</c:v>
                </c:pt>
                <c:pt idx="545">
                  <c:v>0.92647000000000002</c:v>
                </c:pt>
                <c:pt idx="546">
                  <c:v>0.92784999999999995</c:v>
                </c:pt>
                <c:pt idx="547">
                  <c:v>0.92922000000000005</c:v>
                </c:pt>
                <c:pt idx="548">
                  <c:v>0.93056000000000005</c:v>
                </c:pt>
                <c:pt idx="549">
                  <c:v>0.93189</c:v>
                </c:pt>
                <c:pt idx="550">
                  <c:v>0.93318999999999996</c:v>
                </c:pt>
                <c:pt idx="551">
                  <c:v>0.93447999999999998</c:v>
                </c:pt>
                <c:pt idx="552">
                  <c:v>0.93574000000000002</c:v>
                </c:pt>
                <c:pt idx="553">
                  <c:v>0.93698999999999999</c:v>
                </c:pt>
                <c:pt idx="554">
                  <c:v>0.93822000000000005</c:v>
                </c:pt>
                <c:pt idx="555">
                  <c:v>0.93942999999999999</c:v>
                </c:pt>
                <c:pt idx="556">
                  <c:v>0.94062000000000001</c:v>
                </c:pt>
                <c:pt idx="557">
                  <c:v>0.94179000000000002</c:v>
                </c:pt>
                <c:pt idx="558">
                  <c:v>0.94294999999999995</c:v>
                </c:pt>
                <c:pt idx="559">
                  <c:v>0.94408000000000003</c:v>
                </c:pt>
                <c:pt idx="560">
                  <c:v>0.94520000000000004</c:v>
                </c:pt>
                <c:pt idx="561">
                  <c:v>0.94630000000000003</c:v>
                </c:pt>
                <c:pt idx="562">
                  <c:v>0.94738</c:v>
                </c:pt>
                <c:pt idx="563">
                  <c:v>0.94845000000000002</c:v>
                </c:pt>
                <c:pt idx="564">
                  <c:v>0.94950000000000001</c:v>
                </c:pt>
                <c:pt idx="565">
                  <c:v>0.95052999999999999</c:v>
                </c:pt>
                <c:pt idx="566">
                  <c:v>0.95154000000000005</c:v>
                </c:pt>
                <c:pt idx="567">
                  <c:v>0.95254000000000005</c:v>
                </c:pt>
                <c:pt idx="568">
                  <c:v>0.95352000000000003</c:v>
                </c:pt>
                <c:pt idx="569">
                  <c:v>0.95448999999999995</c:v>
                </c:pt>
                <c:pt idx="570">
                  <c:v>0.95543</c:v>
                </c:pt>
                <c:pt idx="571">
                  <c:v>0.95637000000000005</c:v>
                </c:pt>
                <c:pt idx="572">
                  <c:v>0.95728000000000002</c:v>
                </c:pt>
                <c:pt idx="573">
                  <c:v>0.95818000000000003</c:v>
                </c:pt>
                <c:pt idx="574">
                  <c:v>0.95906999999999998</c:v>
                </c:pt>
                <c:pt idx="575">
                  <c:v>0.95994000000000002</c:v>
                </c:pt>
                <c:pt idx="576">
                  <c:v>0.96079999999999999</c:v>
                </c:pt>
                <c:pt idx="577">
                  <c:v>0.96164000000000005</c:v>
                </c:pt>
                <c:pt idx="578">
                  <c:v>0.96245999999999998</c:v>
                </c:pt>
                <c:pt idx="579">
                  <c:v>0.96326999999999996</c:v>
                </c:pt>
                <c:pt idx="580">
                  <c:v>0.96406999999999998</c:v>
                </c:pt>
                <c:pt idx="581">
                  <c:v>0.96484999999999999</c:v>
                </c:pt>
                <c:pt idx="582">
                  <c:v>0.96562000000000003</c:v>
                </c:pt>
                <c:pt idx="583">
                  <c:v>0.96638000000000002</c:v>
                </c:pt>
                <c:pt idx="584">
                  <c:v>0.96711999999999998</c:v>
                </c:pt>
                <c:pt idx="585">
                  <c:v>0.96784000000000003</c:v>
                </c:pt>
                <c:pt idx="586">
                  <c:v>0.96855999999999998</c:v>
                </c:pt>
                <c:pt idx="587">
                  <c:v>0.96926000000000001</c:v>
                </c:pt>
                <c:pt idx="588">
                  <c:v>0.96994999999999998</c:v>
                </c:pt>
                <c:pt idx="589">
                  <c:v>0.97062000000000004</c:v>
                </c:pt>
                <c:pt idx="590">
                  <c:v>0.97128000000000003</c:v>
                </c:pt>
                <c:pt idx="591">
                  <c:v>0.97192999999999996</c:v>
                </c:pt>
                <c:pt idx="592">
                  <c:v>0.97257000000000005</c:v>
                </c:pt>
                <c:pt idx="593">
                  <c:v>0.97319999999999995</c:v>
                </c:pt>
                <c:pt idx="594">
                  <c:v>0.97380999999999995</c:v>
                </c:pt>
                <c:pt idx="595">
                  <c:v>0.97441</c:v>
                </c:pt>
                <c:pt idx="596">
                  <c:v>0.97499999999999998</c:v>
                </c:pt>
                <c:pt idx="597">
                  <c:v>0.97558</c:v>
                </c:pt>
                <c:pt idx="598">
                  <c:v>0.97614999999999996</c:v>
                </c:pt>
                <c:pt idx="599">
                  <c:v>0.97670000000000001</c:v>
                </c:pt>
                <c:pt idx="600">
                  <c:v>0.97724999999999995</c:v>
                </c:pt>
                <c:pt idx="601">
                  <c:v>0.97777999999999998</c:v>
                </c:pt>
                <c:pt idx="602">
                  <c:v>0.97831000000000001</c:v>
                </c:pt>
                <c:pt idx="603">
                  <c:v>0.97882000000000002</c:v>
                </c:pt>
                <c:pt idx="604">
                  <c:v>0.97931999999999997</c:v>
                </c:pt>
                <c:pt idx="605">
                  <c:v>0.97982000000000002</c:v>
                </c:pt>
                <c:pt idx="606">
                  <c:v>0.98029999999999995</c:v>
                </c:pt>
                <c:pt idx="607">
                  <c:v>0.98077000000000003</c:v>
                </c:pt>
                <c:pt idx="608">
                  <c:v>0.98124</c:v>
                </c:pt>
                <c:pt idx="609">
                  <c:v>0.98168999999999995</c:v>
                </c:pt>
                <c:pt idx="610">
                  <c:v>0.98214000000000001</c:v>
                </c:pt>
                <c:pt idx="611">
                  <c:v>0.98257000000000005</c:v>
                </c:pt>
                <c:pt idx="612">
                  <c:v>0.98299999999999998</c:v>
                </c:pt>
                <c:pt idx="613">
                  <c:v>0.98341000000000001</c:v>
                </c:pt>
                <c:pt idx="614">
                  <c:v>0.98382000000000003</c:v>
                </c:pt>
                <c:pt idx="615">
                  <c:v>0.98421999999999998</c:v>
                </c:pt>
                <c:pt idx="616">
                  <c:v>0.98460999999999999</c:v>
                </c:pt>
                <c:pt idx="617">
                  <c:v>0.98499999999999999</c:v>
                </c:pt>
                <c:pt idx="618">
                  <c:v>0.98536999999999997</c:v>
                </c:pt>
                <c:pt idx="619">
                  <c:v>0.98573999999999995</c:v>
                </c:pt>
                <c:pt idx="620">
                  <c:v>0.98609999999999998</c:v>
                </c:pt>
                <c:pt idx="621">
                  <c:v>0.98645000000000005</c:v>
                </c:pt>
                <c:pt idx="622">
                  <c:v>0.98678999999999994</c:v>
                </c:pt>
                <c:pt idx="623">
                  <c:v>0.98712999999999995</c:v>
                </c:pt>
                <c:pt idx="624">
                  <c:v>0.98745000000000005</c:v>
                </c:pt>
                <c:pt idx="625">
                  <c:v>0.98777999999999999</c:v>
                </c:pt>
                <c:pt idx="626">
                  <c:v>0.98809000000000002</c:v>
                </c:pt>
                <c:pt idx="627">
                  <c:v>0.98839999999999995</c:v>
                </c:pt>
                <c:pt idx="628">
                  <c:v>0.98870000000000002</c:v>
                </c:pt>
                <c:pt idx="629">
                  <c:v>0.98899000000000004</c:v>
                </c:pt>
                <c:pt idx="630">
                  <c:v>0.98928000000000005</c:v>
                </c:pt>
                <c:pt idx="631">
                  <c:v>0.98956</c:v>
                </c:pt>
                <c:pt idx="632">
                  <c:v>0.98982999999999999</c:v>
                </c:pt>
                <c:pt idx="633">
                  <c:v>0.99009999999999998</c:v>
                </c:pt>
                <c:pt idx="634">
                  <c:v>0.99036000000000002</c:v>
                </c:pt>
                <c:pt idx="635">
                  <c:v>0.99060999999999999</c:v>
                </c:pt>
                <c:pt idx="636">
                  <c:v>0.99085999999999996</c:v>
                </c:pt>
                <c:pt idx="637">
                  <c:v>0.99111000000000005</c:v>
                </c:pt>
                <c:pt idx="638">
                  <c:v>0.99134</c:v>
                </c:pt>
                <c:pt idx="639">
                  <c:v>0.99158000000000002</c:v>
                </c:pt>
                <c:pt idx="640">
                  <c:v>0.99180000000000001</c:v>
                </c:pt>
                <c:pt idx="641">
                  <c:v>0.99202000000000001</c:v>
                </c:pt>
                <c:pt idx="642">
                  <c:v>0.99224000000000001</c:v>
                </c:pt>
                <c:pt idx="643">
                  <c:v>0.99245000000000005</c:v>
                </c:pt>
                <c:pt idx="644">
                  <c:v>0.99265999999999999</c:v>
                </c:pt>
                <c:pt idx="645">
                  <c:v>0.99285999999999996</c:v>
                </c:pt>
                <c:pt idx="646">
                  <c:v>0.99304999999999999</c:v>
                </c:pt>
                <c:pt idx="647">
                  <c:v>0.99324000000000001</c:v>
                </c:pt>
                <c:pt idx="648">
                  <c:v>0.99343000000000004</c:v>
                </c:pt>
                <c:pt idx="649">
                  <c:v>0.99360999999999999</c:v>
                </c:pt>
                <c:pt idx="650">
                  <c:v>0.99378999999999995</c:v>
                </c:pt>
                <c:pt idx="651">
                  <c:v>0.99395999999999995</c:v>
                </c:pt>
                <c:pt idx="652">
                  <c:v>0.99412999999999996</c:v>
                </c:pt>
                <c:pt idx="653">
                  <c:v>0.99429999999999996</c:v>
                </c:pt>
                <c:pt idx="654">
                  <c:v>0.99446000000000001</c:v>
                </c:pt>
                <c:pt idx="655">
                  <c:v>0.99460999999999999</c:v>
                </c:pt>
                <c:pt idx="656">
                  <c:v>0.99477000000000004</c:v>
                </c:pt>
                <c:pt idx="657">
                  <c:v>0.99492000000000003</c:v>
                </c:pt>
                <c:pt idx="658">
                  <c:v>0.99505999999999994</c:v>
                </c:pt>
                <c:pt idx="659">
                  <c:v>0.99519999999999997</c:v>
                </c:pt>
                <c:pt idx="660">
                  <c:v>0.99534</c:v>
                </c:pt>
                <c:pt idx="661">
                  <c:v>0.99546999999999997</c:v>
                </c:pt>
                <c:pt idx="662">
                  <c:v>0.99560000000000004</c:v>
                </c:pt>
                <c:pt idx="663">
                  <c:v>0.99573</c:v>
                </c:pt>
                <c:pt idx="664">
                  <c:v>0.99585000000000001</c:v>
                </c:pt>
                <c:pt idx="665">
                  <c:v>0.99597999999999998</c:v>
                </c:pt>
                <c:pt idx="666">
                  <c:v>0.99609000000000003</c:v>
                </c:pt>
                <c:pt idx="667">
                  <c:v>0.99621000000000004</c:v>
                </c:pt>
                <c:pt idx="668">
                  <c:v>0.99631999999999998</c:v>
                </c:pt>
                <c:pt idx="669">
                  <c:v>0.99643000000000004</c:v>
                </c:pt>
                <c:pt idx="670">
                  <c:v>0.99653000000000003</c:v>
                </c:pt>
                <c:pt idx="671">
                  <c:v>0.99663999999999997</c:v>
                </c:pt>
                <c:pt idx="672">
                  <c:v>0.99673999999999996</c:v>
                </c:pt>
                <c:pt idx="673">
                  <c:v>0.99682999999999999</c:v>
                </c:pt>
                <c:pt idx="674">
                  <c:v>0.99692999999999998</c:v>
                </c:pt>
                <c:pt idx="675">
                  <c:v>0.99702000000000002</c:v>
                </c:pt>
                <c:pt idx="676">
                  <c:v>0.99711000000000005</c:v>
                </c:pt>
                <c:pt idx="677">
                  <c:v>0.99719999999999998</c:v>
                </c:pt>
                <c:pt idx="678">
                  <c:v>0.99728000000000006</c:v>
                </c:pt>
                <c:pt idx="679">
                  <c:v>0.99736000000000002</c:v>
                </c:pt>
                <c:pt idx="680">
                  <c:v>0.99743999999999999</c:v>
                </c:pt>
                <c:pt idx="681">
                  <c:v>0.99751999999999996</c:v>
                </c:pt>
                <c:pt idx="682">
                  <c:v>0.99760000000000004</c:v>
                </c:pt>
                <c:pt idx="683">
                  <c:v>0.99766999999999995</c:v>
                </c:pt>
                <c:pt idx="684">
                  <c:v>0.99773999999999996</c:v>
                </c:pt>
                <c:pt idx="685">
                  <c:v>0.99780999999999997</c:v>
                </c:pt>
                <c:pt idx="686">
                  <c:v>0.99787999999999999</c:v>
                </c:pt>
                <c:pt idx="687">
                  <c:v>0.99795</c:v>
                </c:pt>
                <c:pt idx="688">
                  <c:v>0.99800999999999995</c:v>
                </c:pt>
                <c:pt idx="689">
                  <c:v>0.99807000000000001</c:v>
                </c:pt>
                <c:pt idx="690">
                  <c:v>0.99812999999999996</c:v>
                </c:pt>
                <c:pt idx="691">
                  <c:v>0.99819000000000002</c:v>
                </c:pt>
                <c:pt idx="692">
                  <c:v>0.99824999999999997</c:v>
                </c:pt>
                <c:pt idx="693">
                  <c:v>0.99831000000000003</c:v>
                </c:pt>
                <c:pt idx="694">
                  <c:v>0.99836000000000003</c:v>
                </c:pt>
                <c:pt idx="695">
                  <c:v>0.99841000000000002</c:v>
                </c:pt>
                <c:pt idx="696">
                  <c:v>0.99846000000000001</c:v>
                </c:pt>
                <c:pt idx="697">
                  <c:v>0.99851000000000001</c:v>
                </c:pt>
                <c:pt idx="698">
                  <c:v>0.99856</c:v>
                </c:pt>
                <c:pt idx="699">
                  <c:v>0.99861</c:v>
                </c:pt>
                <c:pt idx="700">
                  <c:v>0.99865000000000004</c:v>
                </c:pt>
                <c:pt idx="701">
                  <c:v>0.99868999999999997</c:v>
                </c:pt>
                <c:pt idx="702">
                  <c:v>0.99873999999999996</c:v>
                </c:pt>
                <c:pt idx="703">
                  <c:v>0.99878</c:v>
                </c:pt>
                <c:pt idx="704">
                  <c:v>0.99882000000000004</c:v>
                </c:pt>
                <c:pt idx="705">
                  <c:v>0.99885999999999997</c:v>
                </c:pt>
                <c:pt idx="706">
                  <c:v>0.99888999999999994</c:v>
                </c:pt>
                <c:pt idx="707">
                  <c:v>0.99892999999999998</c:v>
                </c:pt>
                <c:pt idx="708">
                  <c:v>0.99895999999999996</c:v>
                </c:pt>
                <c:pt idx="709">
                  <c:v>0.999</c:v>
                </c:pt>
                <c:pt idx="710">
                  <c:v>0.99902999999999997</c:v>
                </c:pt>
                <c:pt idx="711">
                  <c:v>0.99905999999999995</c:v>
                </c:pt>
                <c:pt idx="712">
                  <c:v>0.99909999999999999</c:v>
                </c:pt>
                <c:pt idx="713">
                  <c:v>0.99912999999999996</c:v>
                </c:pt>
                <c:pt idx="714">
                  <c:v>0.99916000000000005</c:v>
                </c:pt>
                <c:pt idx="715">
                  <c:v>0.99917999999999996</c:v>
                </c:pt>
                <c:pt idx="716">
                  <c:v>0.99921000000000004</c:v>
                </c:pt>
                <c:pt idx="717">
                  <c:v>0.99924000000000002</c:v>
                </c:pt>
                <c:pt idx="718">
                  <c:v>0.99926000000000004</c:v>
                </c:pt>
                <c:pt idx="719">
                  <c:v>0.99929000000000001</c:v>
                </c:pt>
                <c:pt idx="720">
                  <c:v>0.99931000000000003</c:v>
                </c:pt>
                <c:pt idx="721">
                  <c:v>0.99934000000000001</c:v>
                </c:pt>
                <c:pt idx="722">
                  <c:v>0.99936000000000003</c:v>
                </c:pt>
                <c:pt idx="723">
                  <c:v>0.99938000000000005</c:v>
                </c:pt>
                <c:pt idx="724">
                  <c:v>0.99939999999999996</c:v>
                </c:pt>
                <c:pt idx="725">
                  <c:v>0.99941999999999998</c:v>
                </c:pt>
                <c:pt idx="726">
                  <c:v>0.99944</c:v>
                </c:pt>
                <c:pt idx="727">
                  <c:v>0.99946000000000002</c:v>
                </c:pt>
                <c:pt idx="728">
                  <c:v>0.99948000000000004</c:v>
                </c:pt>
                <c:pt idx="729">
                  <c:v>0.99950000000000006</c:v>
                </c:pt>
                <c:pt idx="730">
                  <c:v>0.99951999999999996</c:v>
                </c:pt>
                <c:pt idx="731">
                  <c:v>0.99953000000000003</c:v>
                </c:pt>
                <c:pt idx="732">
                  <c:v>0.99955000000000005</c:v>
                </c:pt>
                <c:pt idx="733">
                  <c:v>0.99956999999999996</c:v>
                </c:pt>
                <c:pt idx="734">
                  <c:v>0.99958000000000002</c:v>
                </c:pt>
                <c:pt idx="735">
                  <c:v>0.99960000000000004</c:v>
                </c:pt>
                <c:pt idx="736">
                  <c:v>0.99961</c:v>
                </c:pt>
                <c:pt idx="737">
                  <c:v>0.99961999999999995</c:v>
                </c:pt>
                <c:pt idx="738">
                  <c:v>0.99963999999999997</c:v>
                </c:pt>
                <c:pt idx="739">
                  <c:v>0.99965000000000004</c:v>
                </c:pt>
                <c:pt idx="740">
                  <c:v>0.99965999999999999</c:v>
                </c:pt>
                <c:pt idx="741">
                  <c:v>0.99968000000000001</c:v>
                </c:pt>
                <c:pt idx="742">
                  <c:v>0.99968999999999997</c:v>
                </c:pt>
                <c:pt idx="743">
                  <c:v>0.99970000000000003</c:v>
                </c:pt>
                <c:pt idx="744">
                  <c:v>0.99970999999999999</c:v>
                </c:pt>
                <c:pt idx="745">
                  <c:v>0.99972000000000005</c:v>
                </c:pt>
                <c:pt idx="746">
                  <c:v>0.99973000000000001</c:v>
                </c:pt>
                <c:pt idx="747">
                  <c:v>0.99973999999999996</c:v>
                </c:pt>
                <c:pt idx="748">
                  <c:v>0.99975000000000003</c:v>
                </c:pt>
                <c:pt idx="749">
                  <c:v>0.99975999999999998</c:v>
                </c:pt>
                <c:pt idx="750">
                  <c:v>0.99977000000000005</c:v>
                </c:pt>
                <c:pt idx="751">
                  <c:v>0.99978</c:v>
                </c:pt>
                <c:pt idx="752">
                  <c:v>0.99978</c:v>
                </c:pt>
                <c:pt idx="753">
                  <c:v>0.99978999999999996</c:v>
                </c:pt>
                <c:pt idx="754">
                  <c:v>0.99980000000000002</c:v>
                </c:pt>
                <c:pt idx="755">
                  <c:v>0.99980999999999998</c:v>
                </c:pt>
                <c:pt idx="756">
                  <c:v>0.99980999999999998</c:v>
                </c:pt>
                <c:pt idx="757">
                  <c:v>0.99982000000000004</c:v>
                </c:pt>
                <c:pt idx="758">
                  <c:v>0.99983</c:v>
                </c:pt>
                <c:pt idx="759">
                  <c:v>0.99983</c:v>
                </c:pt>
                <c:pt idx="760">
                  <c:v>0.99983999999999995</c:v>
                </c:pt>
                <c:pt idx="761">
                  <c:v>0.99985000000000002</c:v>
                </c:pt>
                <c:pt idx="762">
                  <c:v>0.99985000000000002</c:v>
                </c:pt>
                <c:pt idx="763">
                  <c:v>0.99985999999999997</c:v>
                </c:pt>
                <c:pt idx="764">
                  <c:v>0.99985999999999997</c:v>
                </c:pt>
                <c:pt idx="765">
                  <c:v>0.99987000000000004</c:v>
                </c:pt>
                <c:pt idx="766">
                  <c:v>0.99987000000000004</c:v>
                </c:pt>
                <c:pt idx="767">
                  <c:v>0.99987999999999999</c:v>
                </c:pt>
                <c:pt idx="768">
                  <c:v>0.99987999999999999</c:v>
                </c:pt>
                <c:pt idx="769">
                  <c:v>0.99988999999999995</c:v>
                </c:pt>
                <c:pt idx="770">
                  <c:v>0.99988999999999995</c:v>
                </c:pt>
                <c:pt idx="771">
                  <c:v>0.99990000000000001</c:v>
                </c:pt>
                <c:pt idx="772">
                  <c:v>0.99990000000000001</c:v>
                </c:pt>
                <c:pt idx="773">
                  <c:v>0.99990000000000001</c:v>
                </c:pt>
                <c:pt idx="774">
                  <c:v>0.99990999999999997</c:v>
                </c:pt>
                <c:pt idx="775">
                  <c:v>0.99990999999999997</c:v>
                </c:pt>
                <c:pt idx="776">
                  <c:v>0.99992000000000003</c:v>
                </c:pt>
                <c:pt idx="777">
                  <c:v>0.99992000000000003</c:v>
                </c:pt>
                <c:pt idx="778">
                  <c:v>0.99992000000000003</c:v>
                </c:pt>
                <c:pt idx="779">
                  <c:v>0.99992000000000003</c:v>
                </c:pt>
                <c:pt idx="780">
                  <c:v>0.99992999999999999</c:v>
                </c:pt>
                <c:pt idx="781">
                  <c:v>0.99992999999999999</c:v>
                </c:pt>
                <c:pt idx="782">
                  <c:v>0.99992999999999999</c:v>
                </c:pt>
                <c:pt idx="783">
                  <c:v>0.99994000000000005</c:v>
                </c:pt>
                <c:pt idx="784">
                  <c:v>0.99994000000000005</c:v>
                </c:pt>
                <c:pt idx="785">
                  <c:v>0.99994000000000005</c:v>
                </c:pt>
                <c:pt idx="786">
                  <c:v>0.99994000000000005</c:v>
                </c:pt>
                <c:pt idx="787">
                  <c:v>0.99995000000000001</c:v>
                </c:pt>
                <c:pt idx="788">
                  <c:v>0.99995000000000001</c:v>
                </c:pt>
                <c:pt idx="789">
                  <c:v>0.99995000000000001</c:v>
                </c:pt>
                <c:pt idx="790">
                  <c:v>0.99995000000000001</c:v>
                </c:pt>
                <c:pt idx="791">
                  <c:v>0.99995000000000001</c:v>
                </c:pt>
                <c:pt idx="792">
                  <c:v>0.99995999999999996</c:v>
                </c:pt>
                <c:pt idx="793">
                  <c:v>0.99995999999999996</c:v>
                </c:pt>
                <c:pt idx="794">
                  <c:v>0.99995999999999996</c:v>
                </c:pt>
                <c:pt idx="795">
                  <c:v>0.99995999999999996</c:v>
                </c:pt>
                <c:pt idx="796">
                  <c:v>0.99995999999999996</c:v>
                </c:pt>
                <c:pt idx="797">
                  <c:v>0.99995999999999996</c:v>
                </c:pt>
                <c:pt idx="798">
                  <c:v>0.99997000000000003</c:v>
                </c:pt>
                <c:pt idx="799">
                  <c:v>0.99997000000000003</c:v>
                </c:pt>
                <c:pt idx="800">
                  <c:v>0.99997000000000003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A5-4AA9-8AF7-CCAB79746E6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errBars>
            <c:errDir val="x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(3)'!$P$3:$P$803</c:f>
                <c:numCache>
                  <c:formatCode>General</c:formatCode>
                  <c:ptCount val="801"/>
                  <c:pt idx="0">
                    <c:v>0</c:v>
                  </c:pt>
                  <c:pt idx="1">
                    <c:v>9.9999999999997868E-3</c:v>
                  </c:pt>
                  <c:pt idx="2">
                    <c:v>2.0000000000000018E-2</c:v>
                  </c:pt>
                  <c:pt idx="3">
                    <c:v>2.9999999999999805E-2</c:v>
                  </c:pt>
                  <c:pt idx="4">
                    <c:v>4.0000000000000036E-2</c:v>
                  </c:pt>
                  <c:pt idx="5">
                    <c:v>4.9999999999999822E-2</c:v>
                  </c:pt>
                  <c:pt idx="6">
                    <c:v>6.0000000000000053E-2</c:v>
                  </c:pt>
                  <c:pt idx="7">
                    <c:v>6.999999999999984E-2</c:v>
                  </c:pt>
                  <c:pt idx="8">
                    <c:v>8.0000000000000071E-2</c:v>
                  </c:pt>
                  <c:pt idx="9">
                    <c:v>8.9999999999999858E-2</c:v>
                  </c:pt>
                  <c:pt idx="10">
                    <c:v>0.10000000000000009</c:v>
                  </c:pt>
                  <c:pt idx="11">
                    <c:v>0.10999999999999988</c:v>
                  </c:pt>
                  <c:pt idx="12">
                    <c:v>0.12000000000000011</c:v>
                  </c:pt>
                  <c:pt idx="13">
                    <c:v>0.12999999999999989</c:v>
                  </c:pt>
                  <c:pt idx="14">
                    <c:v>0.14000000000000012</c:v>
                  </c:pt>
                  <c:pt idx="15">
                    <c:v>0.14999999999999991</c:v>
                  </c:pt>
                  <c:pt idx="16">
                    <c:v>0.16000000000000014</c:v>
                  </c:pt>
                  <c:pt idx="17">
                    <c:v>0.16999999999999993</c:v>
                  </c:pt>
                  <c:pt idx="18">
                    <c:v>0.18000000000000016</c:v>
                  </c:pt>
                  <c:pt idx="19">
                    <c:v>0.18999999999999995</c:v>
                  </c:pt>
                  <c:pt idx="20">
                    <c:v>0.20000000000000018</c:v>
                  </c:pt>
                  <c:pt idx="21">
                    <c:v>0.20999999999999996</c:v>
                  </c:pt>
                  <c:pt idx="22">
                    <c:v>0.2200000000000002</c:v>
                  </c:pt>
                  <c:pt idx="23">
                    <c:v>0.22999999999999998</c:v>
                  </c:pt>
                  <c:pt idx="24">
                    <c:v>0.24000000000000021</c:v>
                  </c:pt>
                  <c:pt idx="25">
                    <c:v>0.25</c:v>
                  </c:pt>
                  <c:pt idx="26">
                    <c:v>0.25999999999999979</c:v>
                  </c:pt>
                  <c:pt idx="27">
                    <c:v>0.27</c:v>
                  </c:pt>
                  <c:pt idx="28">
                    <c:v>0.2799999999999998</c:v>
                  </c:pt>
                  <c:pt idx="29">
                    <c:v>0.29000000000000004</c:v>
                  </c:pt>
                  <c:pt idx="30">
                    <c:v>0.29999999999999982</c:v>
                  </c:pt>
                  <c:pt idx="31">
                    <c:v>0.31000000000000005</c:v>
                  </c:pt>
                  <c:pt idx="32">
                    <c:v>0.31999999999999984</c:v>
                  </c:pt>
                  <c:pt idx="33">
                    <c:v>0.33000000000000007</c:v>
                  </c:pt>
                  <c:pt idx="34">
                    <c:v>0.33999999999999986</c:v>
                  </c:pt>
                  <c:pt idx="35">
                    <c:v>0.35000000000000009</c:v>
                  </c:pt>
                  <c:pt idx="36">
                    <c:v>0.35999999999999988</c:v>
                  </c:pt>
                  <c:pt idx="37">
                    <c:v>0.37000000000000011</c:v>
                  </c:pt>
                  <c:pt idx="38">
                    <c:v>0.37999999999999989</c:v>
                  </c:pt>
                  <c:pt idx="39">
                    <c:v>0.39000000000000012</c:v>
                  </c:pt>
                  <c:pt idx="40">
                    <c:v>0.39999999999999991</c:v>
                  </c:pt>
                  <c:pt idx="41">
                    <c:v>0.41000000000000014</c:v>
                  </c:pt>
                  <c:pt idx="42">
                    <c:v>0.41999999999999993</c:v>
                  </c:pt>
                  <c:pt idx="43">
                    <c:v>0.43000000000000016</c:v>
                  </c:pt>
                  <c:pt idx="44">
                    <c:v>0.43999999999999995</c:v>
                  </c:pt>
                  <c:pt idx="45">
                    <c:v>0.45000000000000018</c:v>
                  </c:pt>
                  <c:pt idx="46">
                    <c:v>0.45999999999999996</c:v>
                  </c:pt>
                  <c:pt idx="47">
                    <c:v>0.4700000000000002</c:v>
                  </c:pt>
                  <c:pt idx="48">
                    <c:v>0.48</c:v>
                  </c:pt>
                  <c:pt idx="49">
                    <c:v>0.49000000000000021</c:v>
                  </c:pt>
                  <c:pt idx="50">
                    <c:v>0.5</c:v>
                  </c:pt>
                  <c:pt idx="51">
                    <c:v>0.50999999999999979</c:v>
                  </c:pt>
                  <c:pt idx="52">
                    <c:v>0.52</c:v>
                  </c:pt>
                  <c:pt idx="53">
                    <c:v>0.5299999999999998</c:v>
                  </c:pt>
                  <c:pt idx="54">
                    <c:v>0.54</c:v>
                  </c:pt>
                  <c:pt idx="55">
                    <c:v>0.54999999999999982</c:v>
                  </c:pt>
                  <c:pt idx="56">
                    <c:v>0.56000000000000005</c:v>
                  </c:pt>
                  <c:pt idx="57">
                    <c:v>0.56999999999999984</c:v>
                  </c:pt>
                  <c:pt idx="58">
                    <c:v>0.58000000000000007</c:v>
                  </c:pt>
                  <c:pt idx="59">
                    <c:v>0.58999999999999986</c:v>
                  </c:pt>
                  <c:pt idx="60">
                    <c:v>0.60000000000000009</c:v>
                  </c:pt>
                  <c:pt idx="61">
                    <c:v>0.60999999999999988</c:v>
                  </c:pt>
                  <c:pt idx="62">
                    <c:v>0.62000000000000011</c:v>
                  </c:pt>
                  <c:pt idx="63">
                    <c:v>0.62999999999999989</c:v>
                  </c:pt>
                  <c:pt idx="64">
                    <c:v>0.64000000000000012</c:v>
                  </c:pt>
                  <c:pt idx="65">
                    <c:v>0.64999999999999991</c:v>
                  </c:pt>
                  <c:pt idx="66">
                    <c:v>0.66000000000000014</c:v>
                  </c:pt>
                  <c:pt idx="67">
                    <c:v>0.66999999999999993</c:v>
                  </c:pt>
                  <c:pt idx="68">
                    <c:v>0.68000000000000016</c:v>
                  </c:pt>
                  <c:pt idx="69">
                    <c:v>0.69</c:v>
                  </c:pt>
                  <c:pt idx="70">
                    <c:v>0.70000000000000018</c:v>
                  </c:pt>
                  <c:pt idx="71">
                    <c:v>0.71</c:v>
                  </c:pt>
                  <c:pt idx="72">
                    <c:v>0.7200000000000002</c:v>
                  </c:pt>
                  <c:pt idx="73">
                    <c:v>0.73</c:v>
                  </c:pt>
                  <c:pt idx="74">
                    <c:v>0.74000000000000021</c:v>
                  </c:pt>
                  <c:pt idx="75">
                    <c:v>0.75</c:v>
                  </c:pt>
                  <c:pt idx="76">
                    <c:v>0.75999999999999979</c:v>
                  </c:pt>
                  <c:pt idx="77">
                    <c:v>0.77</c:v>
                  </c:pt>
                  <c:pt idx="78">
                    <c:v>0.7799999999999998</c:v>
                  </c:pt>
                  <c:pt idx="79">
                    <c:v>0.79</c:v>
                  </c:pt>
                  <c:pt idx="80">
                    <c:v>0.79999999999999982</c:v>
                  </c:pt>
                  <c:pt idx="81">
                    <c:v>0.81</c:v>
                  </c:pt>
                  <c:pt idx="82">
                    <c:v>0.81999999999999984</c:v>
                  </c:pt>
                  <c:pt idx="83">
                    <c:v>0.83000000000000007</c:v>
                  </c:pt>
                  <c:pt idx="84">
                    <c:v>0.83999999999999986</c:v>
                  </c:pt>
                  <c:pt idx="85">
                    <c:v>0.85000000000000009</c:v>
                  </c:pt>
                  <c:pt idx="86">
                    <c:v>0.85999999999999988</c:v>
                  </c:pt>
                  <c:pt idx="87">
                    <c:v>0.87000000000000011</c:v>
                  </c:pt>
                  <c:pt idx="88">
                    <c:v>0.87999999999999989</c:v>
                  </c:pt>
                  <c:pt idx="89">
                    <c:v>0.89000000000000012</c:v>
                  </c:pt>
                  <c:pt idx="90">
                    <c:v>0.89999999999999991</c:v>
                  </c:pt>
                  <c:pt idx="91">
                    <c:v>0.91000000000000014</c:v>
                  </c:pt>
                  <c:pt idx="92">
                    <c:v>0.91999999999999993</c:v>
                  </c:pt>
                  <c:pt idx="93">
                    <c:v>0.93000000000000016</c:v>
                  </c:pt>
                  <c:pt idx="94">
                    <c:v>0.94</c:v>
                  </c:pt>
                  <c:pt idx="95">
                    <c:v>0.95000000000000018</c:v>
                  </c:pt>
                  <c:pt idx="96">
                    <c:v>0.96</c:v>
                  </c:pt>
                  <c:pt idx="97">
                    <c:v>0.9700000000000002</c:v>
                  </c:pt>
                  <c:pt idx="98">
                    <c:v>0.98</c:v>
                  </c:pt>
                  <c:pt idx="99">
                    <c:v>0.99000000000000021</c:v>
                  </c:pt>
                  <c:pt idx="100">
                    <c:v>1</c:v>
                  </c:pt>
                  <c:pt idx="101">
                    <c:v>1.0099999999999998</c:v>
                  </c:pt>
                  <c:pt idx="102">
                    <c:v>1.02</c:v>
                  </c:pt>
                  <c:pt idx="103">
                    <c:v>1.0299999999999998</c:v>
                  </c:pt>
                  <c:pt idx="104">
                    <c:v>1.04</c:v>
                  </c:pt>
                  <c:pt idx="105">
                    <c:v>1.0499999999999998</c:v>
                  </c:pt>
                  <c:pt idx="106">
                    <c:v>1.06</c:v>
                  </c:pt>
                  <c:pt idx="107">
                    <c:v>1.0699999999999998</c:v>
                  </c:pt>
                  <c:pt idx="108">
                    <c:v>1.08</c:v>
                  </c:pt>
                  <c:pt idx="109">
                    <c:v>1.0899999999999999</c:v>
                  </c:pt>
                  <c:pt idx="110">
                    <c:v>1.1000000000000001</c:v>
                  </c:pt>
                  <c:pt idx="111">
                    <c:v>1.1099999999999999</c:v>
                  </c:pt>
                  <c:pt idx="112">
                    <c:v>1.1200000000000001</c:v>
                  </c:pt>
                  <c:pt idx="113">
                    <c:v>1.1299999999999999</c:v>
                  </c:pt>
                  <c:pt idx="114">
                    <c:v>1.1400000000000001</c:v>
                  </c:pt>
                  <c:pt idx="115">
                    <c:v>1.1499999999999999</c:v>
                  </c:pt>
                  <c:pt idx="116">
                    <c:v>1.1600000000000001</c:v>
                  </c:pt>
                  <c:pt idx="117">
                    <c:v>1.17</c:v>
                  </c:pt>
                  <c:pt idx="118">
                    <c:v>1.1800000000000002</c:v>
                  </c:pt>
                  <c:pt idx="119">
                    <c:v>1.19</c:v>
                  </c:pt>
                  <c:pt idx="120">
                    <c:v>1.2000000000000002</c:v>
                  </c:pt>
                  <c:pt idx="121">
                    <c:v>1.21</c:v>
                  </c:pt>
                  <c:pt idx="122">
                    <c:v>1.2200000000000002</c:v>
                  </c:pt>
                  <c:pt idx="123">
                    <c:v>1.23</c:v>
                  </c:pt>
                  <c:pt idx="124">
                    <c:v>1.2400000000000002</c:v>
                  </c:pt>
                  <c:pt idx="125">
                    <c:v>1.25</c:v>
                  </c:pt>
                  <c:pt idx="126">
                    <c:v>1.2599999999999998</c:v>
                  </c:pt>
                  <c:pt idx="127">
                    <c:v>1.27</c:v>
                  </c:pt>
                  <c:pt idx="128">
                    <c:v>1.2799999999999998</c:v>
                  </c:pt>
                  <c:pt idx="129">
                    <c:v>1.29</c:v>
                  </c:pt>
                  <c:pt idx="130">
                    <c:v>1.2999999999999998</c:v>
                  </c:pt>
                  <c:pt idx="131">
                    <c:v>1.31</c:v>
                  </c:pt>
                  <c:pt idx="132">
                    <c:v>1.3199999999999998</c:v>
                  </c:pt>
                  <c:pt idx="133">
                    <c:v>1.33</c:v>
                  </c:pt>
                  <c:pt idx="134">
                    <c:v>1.3399999999999999</c:v>
                  </c:pt>
                  <c:pt idx="135">
                    <c:v>1.35</c:v>
                  </c:pt>
                  <c:pt idx="136">
                    <c:v>1.3599999999999999</c:v>
                  </c:pt>
                  <c:pt idx="137">
                    <c:v>1.37</c:v>
                  </c:pt>
                  <c:pt idx="138">
                    <c:v>1.38</c:v>
                  </c:pt>
                  <c:pt idx="139">
                    <c:v>1.3900000000000001</c:v>
                  </c:pt>
                  <c:pt idx="140">
                    <c:v>1.4</c:v>
                  </c:pt>
                  <c:pt idx="141">
                    <c:v>1.4100000000000001</c:v>
                  </c:pt>
                  <c:pt idx="142">
                    <c:v>1.42</c:v>
                  </c:pt>
                  <c:pt idx="143">
                    <c:v>1.4300000000000002</c:v>
                  </c:pt>
                  <c:pt idx="144">
                    <c:v>1.44</c:v>
                  </c:pt>
                  <c:pt idx="145">
                    <c:v>1.4500000000000002</c:v>
                  </c:pt>
                  <c:pt idx="146">
                    <c:v>1.46</c:v>
                  </c:pt>
                  <c:pt idx="147">
                    <c:v>1.4700000000000002</c:v>
                  </c:pt>
                  <c:pt idx="148">
                    <c:v>1.48</c:v>
                  </c:pt>
                  <c:pt idx="149">
                    <c:v>1.4900000000000002</c:v>
                  </c:pt>
                  <c:pt idx="150">
                    <c:v>1.5</c:v>
                  </c:pt>
                  <c:pt idx="151">
                    <c:v>1.5099999999999998</c:v>
                  </c:pt>
                  <c:pt idx="152">
                    <c:v>1.52</c:v>
                  </c:pt>
                  <c:pt idx="153">
                    <c:v>1.5299999999999998</c:v>
                  </c:pt>
                  <c:pt idx="154">
                    <c:v>1.54</c:v>
                  </c:pt>
                  <c:pt idx="155">
                    <c:v>1.5499999999999998</c:v>
                  </c:pt>
                  <c:pt idx="156">
                    <c:v>1.56</c:v>
                  </c:pt>
                  <c:pt idx="157">
                    <c:v>1.5699999999999998</c:v>
                  </c:pt>
                  <c:pt idx="158">
                    <c:v>1.58</c:v>
                  </c:pt>
                  <c:pt idx="159">
                    <c:v>1.5899999999999999</c:v>
                  </c:pt>
                  <c:pt idx="160">
                    <c:v>1.6</c:v>
                  </c:pt>
                  <c:pt idx="161">
                    <c:v>1.6099999999999999</c:v>
                  </c:pt>
                  <c:pt idx="162">
                    <c:v>1.62</c:v>
                  </c:pt>
                  <c:pt idx="163">
                    <c:v>1.63</c:v>
                  </c:pt>
                  <c:pt idx="164">
                    <c:v>1.6400000000000001</c:v>
                  </c:pt>
                  <c:pt idx="165">
                    <c:v>1.65</c:v>
                  </c:pt>
                  <c:pt idx="166">
                    <c:v>1.6600000000000001</c:v>
                  </c:pt>
                  <c:pt idx="167">
                    <c:v>1.67</c:v>
                  </c:pt>
                  <c:pt idx="168">
                    <c:v>1.6800000000000002</c:v>
                  </c:pt>
                  <c:pt idx="169">
                    <c:v>1.69</c:v>
                  </c:pt>
                  <c:pt idx="170">
                    <c:v>1.7000000000000002</c:v>
                  </c:pt>
                  <c:pt idx="171">
                    <c:v>1.71</c:v>
                  </c:pt>
                  <c:pt idx="172">
                    <c:v>1.7200000000000002</c:v>
                  </c:pt>
                  <c:pt idx="173">
                    <c:v>1.73</c:v>
                  </c:pt>
                  <c:pt idx="174">
                    <c:v>1.7400000000000002</c:v>
                  </c:pt>
                  <c:pt idx="175">
                    <c:v>1.75</c:v>
                  </c:pt>
                  <c:pt idx="176">
                    <c:v>1.7599999999999998</c:v>
                  </c:pt>
                  <c:pt idx="177">
                    <c:v>1.77</c:v>
                  </c:pt>
                  <c:pt idx="178">
                    <c:v>1.7799999999999998</c:v>
                  </c:pt>
                  <c:pt idx="179">
                    <c:v>1.79</c:v>
                  </c:pt>
                  <c:pt idx="180">
                    <c:v>1.7999999999999998</c:v>
                  </c:pt>
                  <c:pt idx="181">
                    <c:v>1.81</c:v>
                  </c:pt>
                  <c:pt idx="182">
                    <c:v>1.8199999999999998</c:v>
                  </c:pt>
                  <c:pt idx="183">
                    <c:v>1.83</c:v>
                  </c:pt>
                  <c:pt idx="184">
                    <c:v>1.8399999999999999</c:v>
                  </c:pt>
                  <c:pt idx="185">
                    <c:v>1.85</c:v>
                  </c:pt>
                  <c:pt idx="186">
                    <c:v>1.8599999999999999</c:v>
                  </c:pt>
                  <c:pt idx="187">
                    <c:v>1.87</c:v>
                  </c:pt>
                  <c:pt idx="188">
                    <c:v>1.88</c:v>
                  </c:pt>
                  <c:pt idx="189">
                    <c:v>1.8900000000000001</c:v>
                  </c:pt>
                  <c:pt idx="190">
                    <c:v>1.9</c:v>
                  </c:pt>
                  <c:pt idx="191">
                    <c:v>1.9100000000000001</c:v>
                  </c:pt>
                  <c:pt idx="192">
                    <c:v>1.92</c:v>
                  </c:pt>
                  <c:pt idx="193">
                    <c:v>1.9300000000000002</c:v>
                  </c:pt>
                  <c:pt idx="194">
                    <c:v>1.94</c:v>
                  </c:pt>
                  <c:pt idx="195">
                    <c:v>1.9500000000000002</c:v>
                  </c:pt>
                  <c:pt idx="196">
                    <c:v>1.96</c:v>
                  </c:pt>
                  <c:pt idx="197">
                    <c:v>1.9700000000000002</c:v>
                  </c:pt>
                  <c:pt idx="198">
                    <c:v>1.98</c:v>
                  </c:pt>
                  <c:pt idx="199">
                    <c:v>1.9900000000000002</c:v>
                  </c:pt>
                  <c:pt idx="200">
                    <c:v>2</c:v>
                  </c:pt>
                  <c:pt idx="201">
                    <c:v>2.0099999999999998</c:v>
                  </c:pt>
                  <c:pt idx="202">
                    <c:v>2.02</c:v>
                  </c:pt>
                  <c:pt idx="203">
                    <c:v>2.0300000000000002</c:v>
                  </c:pt>
                  <c:pt idx="204">
                    <c:v>2.04</c:v>
                  </c:pt>
                  <c:pt idx="205">
                    <c:v>2.0499999999999998</c:v>
                  </c:pt>
                  <c:pt idx="206">
                    <c:v>2.06</c:v>
                  </c:pt>
                  <c:pt idx="207">
                    <c:v>2.0700000000000003</c:v>
                  </c:pt>
                  <c:pt idx="208">
                    <c:v>2.08</c:v>
                  </c:pt>
                  <c:pt idx="209">
                    <c:v>2.09</c:v>
                  </c:pt>
                  <c:pt idx="210">
                    <c:v>2.1</c:v>
                  </c:pt>
                  <c:pt idx="211">
                    <c:v>2.1100000000000003</c:v>
                  </c:pt>
                  <c:pt idx="212">
                    <c:v>2.12</c:v>
                  </c:pt>
                  <c:pt idx="213">
                    <c:v>2.13</c:v>
                  </c:pt>
                  <c:pt idx="214">
                    <c:v>2.1399999999999997</c:v>
                  </c:pt>
                  <c:pt idx="215">
                    <c:v>2.15</c:v>
                  </c:pt>
                  <c:pt idx="216">
                    <c:v>2.16</c:v>
                  </c:pt>
                  <c:pt idx="217">
                    <c:v>2.17</c:v>
                  </c:pt>
                  <c:pt idx="218">
                    <c:v>2.1799999999999997</c:v>
                  </c:pt>
                  <c:pt idx="219">
                    <c:v>2.19</c:v>
                  </c:pt>
                  <c:pt idx="220">
                    <c:v>2.2000000000000002</c:v>
                  </c:pt>
                  <c:pt idx="221">
                    <c:v>2.21</c:v>
                  </c:pt>
                  <c:pt idx="222">
                    <c:v>2.2199999999999998</c:v>
                  </c:pt>
                  <c:pt idx="223">
                    <c:v>2.23</c:v>
                  </c:pt>
                  <c:pt idx="224">
                    <c:v>2.2400000000000002</c:v>
                  </c:pt>
                  <c:pt idx="225">
                    <c:v>2.25</c:v>
                  </c:pt>
                  <c:pt idx="226">
                    <c:v>2.2599999999999998</c:v>
                  </c:pt>
                  <c:pt idx="227">
                    <c:v>2.27</c:v>
                  </c:pt>
                  <c:pt idx="228">
                    <c:v>2.2800000000000002</c:v>
                  </c:pt>
                  <c:pt idx="229">
                    <c:v>2.29</c:v>
                  </c:pt>
                  <c:pt idx="230">
                    <c:v>2.2999999999999998</c:v>
                  </c:pt>
                  <c:pt idx="231">
                    <c:v>2.31</c:v>
                  </c:pt>
                  <c:pt idx="232">
                    <c:v>2.3200000000000003</c:v>
                  </c:pt>
                  <c:pt idx="233">
                    <c:v>2.33</c:v>
                  </c:pt>
                  <c:pt idx="234">
                    <c:v>2.34</c:v>
                  </c:pt>
                  <c:pt idx="235">
                    <c:v>2.35</c:v>
                  </c:pt>
                  <c:pt idx="236">
                    <c:v>2.3600000000000003</c:v>
                  </c:pt>
                  <c:pt idx="237">
                    <c:v>2.37</c:v>
                  </c:pt>
                  <c:pt idx="238">
                    <c:v>2.38</c:v>
                  </c:pt>
                  <c:pt idx="239">
                    <c:v>2.3899999999999997</c:v>
                  </c:pt>
                  <c:pt idx="240">
                    <c:v>2.4</c:v>
                  </c:pt>
                  <c:pt idx="241">
                    <c:v>2.41</c:v>
                  </c:pt>
                  <c:pt idx="242">
                    <c:v>2.42</c:v>
                  </c:pt>
                  <c:pt idx="243">
                    <c:v>2.4299999999999997</c:v>
                  </c:pt>
                  <c:pt idx="244">
                    <c:v>2.44</c:v>
                  </c:pt>
                  <c:pt idx="245">
                    <c:v>2.4500000000000002</c:v>
                  </c:pt>
                  <c:pt idx="246">
                    <c:v>2.46</c:v>
                  </c:pt>
                  <c:pt idx="247">
                    <c:v>2.4699999999999998</c:v>
                  </c:pt>
                  <c:pt idx="248">
                    <c:v>2.48</c:v>
                  </c:pt>
                  <c:pt idx="249">
                    <c:v>2.4900000000000002</c:v>
                  </c:pt>
                  <c:pt idx="250">
                    <c:v>2.5</c:v>
                  </c:pt>
                  <c:pt idx="251">
                    <c:v>2.5099999999999998</c:v>
                  </c:pt>
                  <c:pt idx="252">
                    <c:v>2.52</c:v>
                  </c:pt>
                  <c:pt idx="253">
                    <c:v>2.5300000000000002</c:v>
                  </c:pt>
                  <c:pt idx="254">
                    <c:v>2.54</c:v>
                  </c:pt>
                  <c:pt idx="255">
                    <c:v>2.5499999999999998</c:v>
                  </c:pt>
                  <c:pt idx="256">
                    <c:v>2.56</c:v>
                  </c:pt>
                  <c:pt idx="257">
                    <c:v>2.5700000000000003</c:v>
                  </c:pt>
                  <c:pt idx="258">
                    <c:v>2.58</c:v>
                  </c:pt>
                  <c:pt idx="259">
                    <c:v>2.59</c:v>
                  </c:pt>
                  <c:pt idx="260">
                    <c:v>2.6</c:v>
                  </c:pt>
                  <c:pt idx="261">
                    <c:v>2.6100000000000003</c:v>
                  </c:pt>
                  <c:pt idx="262">
                    <c:v>2.62</c:v>
                  </c:pt>
                  <c:pt idx="263">
                    <c:v>2.63</c:v>
                  </c:pt>
                  <c:pt idx="264">
                    <c:v>2.6399999999999997</c:v>
                  </c:pt>
                  <c:pt idx="265">
                    <c:v>2.65</c:v>
                  </c:pt>
                  <c:pt idx="266">
                    <c:v>2.66</c:v>
                  </c:pt>
                  <c:pt idx="267">
                    <c:v>2.67</c:v>
                  </c:pt>
                  <c:pt idx="268">
                    <c:v>2.6799999999999997</c:v>
                  </c:pt>
                  <c:pt idx="269">
                    <c:v>2.69</c:v>
                  </c:pt>
                  <c:pt idx="270">
                    <c:v>2.7</c:v>
                  </c:pt>
                  <c:pt idx="271">
                    <c:v>2.71</c:v>
                  </c:pt>
                  <c:pt idx="272">
                    <c:v>2.7199999999999998</c:v>
                  </c:pt>
                  <c:pt idx="273">
                    <c:v>2.73</c:v>
                  </c:pt>
                  <c:pt idx="274">
                    <c:v>2.74</c:v>
                  </c:pt>
                  <c:pt idx="275">
                    <c:v>2.75</c:v>
                  </c:pt>
                  <c:pt idx="276">
                    <c:v>2.76</c:v>
                  </c:pt>
                  <c:pt idx="277">
                    <c:v>2.77</c:v>
                  </c:pt>
                  <c:pt idx="278">
                    <c:v>2.7800000000000002</c:v>
                  </c:pt>
                  <c:pt idx="279">
                    <c:v>2.79</c:v>
                  </c:pt>
                  <c:pt idx="280">
                    <c:v>2.8</c:v>
                  </c:pt>
                  <c:pt idx="281">
                    <c:v>2.81</c:v>
                  </c:pt>
                  <c:pt idx="282">
                    <c:v>2.8200000000000003</c:v>
                  </c:pt>
                  <c:pt idx="283">
                    <c:v>2.83</c:v>
                  </c:pt>
                  <c:pt idx="284">
                    <c:v>2.84</c:v>
                  </c:pt>
                  <c:pt idx="285">
                    <c:v>2.85</c:v>
                  </c:pt>
                  <c:pt idx="286">
                    <c:v>2.8600000000000003</c:v>
                  </c:pt>
                  <c:pt idx="287">
                    <c:v>2.87</c:v>
                  </c:pt>
                  <c:pt idx="288">
                    <c:v>2.88</c:v>
                  </c:pt>
                  <c:pt idx="289">
                    <c:v>2.8899999999999997</c:v>
                  </c:pt>
                  <c:pt idx="290">
                    <c:v>2.9</c:v>
                  </c:pt>
                  <c:pt idx="291">
                    <c:v>2.91</c:v>
                  </c:pt>
                  <c:pt idx="292">
                    <c:v>2.92</c:v>
                  </c:pt>
                  <c:pt idx="293">
                    <c:v>2.9299999999999997</c:v>
                  </c:pt>
                  <c:pt idx="294">
                    <c:v>2.94</c:v>
                  </c:pt>
                  <c:pt idx="295">
                    <c:v>2.95</c:v>
                  </c:pt>
                  <c:pt idx="296">
                    <c:v>2.96</c:v>
                  </c:pt>
                  <c:pt idx="297">
                    <c:v>2.9699999999999998</c:v>
                  </c:pt>
                  <c:pt idx="298">
                    <c:v>2.98</c:v>
                  </c:pt>
                  <c:pt idx="299">
                    <c:v>2.99</c:v>
                  </c:pt>
                  <c:pt idx="300">
                    <c:v>3</c:v>
                  </c:pt>
                  <c:pt idx="301">
                    <c:v>3.01</c:v>
                  </c:pt>
                  <c:pt idx="302">
                    <c:v>3.02</c:v>
                  </c:pt>
                  <c:pt idx="303">
                    <c:v>3.0300000000000002</c:v>
                  </c:pt>
                  <c:pt idx="304">
                    <c:v>3.04</c:v>
                  </c:pt>
                  <c:pt idx="305">
                    <c:v>3.05</c:v>
                  </c:pt>
                  <c:pt idx="306">
                    <c:v>3.06</c:v>
                  </c:pt>
                  <c:pt idx="307">
                    <c:v>3.07</c:v>
                  </c:pt>
                  <c:pt idx="308">
                    <c:v>3.08</c:v>
                  </c:pt>
                  <c:pt idx="309">
                    <c:v>3.09</c:v>
                  </c:pt>
                  <c:pt idx="310">
                    <c:v>3.1</c:v>
                  </c:pt>
                  <c:pt idx="311">
                    <c:v>3.11</c:v>
                  </c:pt>
                  <c:pt idx="312">
                    <c:v>3.12</c:v>
                  </c:pt>
                  <c:pt idx="313">
                    <c:v>3.13</c:v>
                  </c:pt>
                  <c:pt idx="314">
                    <c:v>3.14</c:v>
                  </c:pt>
                  <c:pt idx="315">
                    <c:v>3.15</c:v>
                  </c:pt>
                  <c:pt idx="316">
                    <c:v>3.16</c:v>
                  </c:pt>
                  <c:pt idx="317">
                    <c:v>3.17</c:v>
                  </c:pt>
                  <c:pt idx="318">
                    <c:v>3.18</c:v>
                  </c:pt>
                  <c:pt idx="319">
                    <c:v>3.19</c:v>
                  </c:pt>
                  <c:pt idx="320">
                    <c:v>3.2</c:v>
                  </c:pt>
                  <c:pt idx="321">
                    <c:v>3.21</c:v>
                  </c:pt>
                  <c:pt idx="322">
                    <c:v>3.2199999999999998</c:v>
                  </c:pt>
                  <c:pt idx="323">
                    <c:v>3.23</c:v>
                  </c:pt>
                  <c:pt idx="324">
                    <c:v>3.24</c:v>
                  </c:pt>
                  <c:pt idx="325">
                    <c:v>3.25</c:v>
                  </c:pt>
                  <c:pt idx="326">
                    <c:v>3.26</c:v>
                  </c:pt>
                  <c:pt idx="327">
                    <c:v>3.27</c:v>
                  </c:pt>
                  <c:pt idx="328">
                    <c:v>3.2800000000000002</c:v>
                  </c:pt>
                  <c:pt idx="329">
                    <c:v>3.29</c:v>
                  </c:pt>
                  <c:pt idx="330">
                    <c:v>3.3</c:v>
                  </c:pt>
                  <c:pt idx="331">
                    <c:v>3.31</c:v>
                  </c:pt>
                  <c:pt idx="332">
                    <c:v>3.32</c:v>
                  </c:pt>
                  <c:pt idx="333">
                    <c:v>3.33</c:v>
                  </c:pt>
                  <c:pt idx="334">
                    <c:v>3.34</c:v>
                  </c:pt>
                  <c:pt idx="335">
                    <c:v>3.35</c:v>
                  </c:pt>
                  <c:pt idx="336">
                    <c:v>3.36</c:v>
                  </c:pt>
                  <c:pt idx="337">
                    <c:v>3.37</c:v>
                  </c:pt>
                  <c:pt idx="338">
                    <c:v>3.38</c:v>
                  </c:pt>
                  <c:pt idx="339">
                    <c:v>3.39</c:v>
                  </c:pt>
                  <c:pt idx="340">
                    <c:v>3.4</c:v>
                  </c:pt>
                  <c:pt idx="341">
                    <c:v>3.41</c:v>
                  </c:pt>
                  <c:pt idx="342">
                    <c:v>3.42</c:v>
                  </c:pt>
                  <c:pt idx="343">
                    <c:v>3.43</c:v>
                  </c:pt>
                  <c:pt idx="344">
                    <c:v>3.44</c:v>
                  </c:pt>
                  <c:pt idx="345">
                    <c:v>3.45</c:v>
                  </c:pt>
                  <c:pt idx="346">
                    <c:v>3.46</c:v>
                  </c:pt>
                  <c:pt idx="347">
                    <c:v>3.4699999999999998</c:v>
                  </c:pt>
                  <c:pt idx="348">
                    <c:v>3.48</c:v>
                  </c:pt>
                  <c:pt idx="349">
                    <c:v>3.49</c:v>
                  </c:pt>
                  <c:pt idx="350">
                    <c:v>3.5</c:v>
                  </c:pt>
                  <c:pt idx="351">
                    <c:v>3.51</c:v>
                  </c:pt>
                  <c:pt idx="352">
                    <c:v>3.52</c:v>
                  </c:pt>
                  <c:pt idx="353">
                    <c:v>3.5300000000000002</c:v>
                  </c:pt>
                  <c:pt idx="354">
                    <c:v>3.54</c:v>
                  </c:pt>
                  <c:pt idx="355">
                    <c:v>3.55</c:v>
                  </c:pt>
                  <c:pt idx="356">
                    <c:v>3.56</c:v>
                  </c:pt>
                  <c:pt idx="357">
                    <c:v>3.57</c:v>
                  </c:pt>
                  <c:pt idx="358">
                    <c:v>3.58</c:v>
                  </c:pt>
                  <c:pt idx="359">
                    <c:v>3.59</c:v>
                  </c:pt>
                  <c:pt idx="360">
                    <c:v>3.6</c:v>
                  </c:pt>
                  <c:pt idx="361">
                    <c:v>3.61</c:v>
                  </c:pt>
                  <c:pt idx="362">
                    <c:v>3.62</c:v>
                  </c:pt>
                  <c:pt idx="363">
                    <c:v>3.63</c:v>
                  </c:pt>
                  <c:pt idx="364">
                    <c:v>3.64</c:v>
                  </c:pt>
                  <c:pt idx="365">
                    <c:v>3.65</c:v>
                  </c:pt>
                  <c:pt idx="366">
                    <c:v>3.66</c:v>
                  </c:pt>
                  <c:pt idx="367">
                    <c:v>3.67</c:v>
                  </c:pt>
                  <c:pt idx="368">
                    <c:v>3.68</c:v>
                  </c:pt>
                  <c:pt idx="369">
                    <c:v>3.69</c:v>
                  </c:pt>
                  <c:pt idx="370">
                    <c:v>3.7</c:v>
                  </c:pt>
                  <c:pt idx="371">
                    <c:v>3.71</c:v>
                  </c:pt>
                  <c:pt idx="372">
                    <c:v>3.7199999999999998</c:v>
                  </c:pt>
                  <c:pt idx="373">
                    <c:v>3.73</c:v>
                  </c:pt>
                  <c:pt idx="374">
                    <c:v>3.74</c:v>
                  </c:pt>
                  <c:pt idx="375">
                    <c:v>3.75</c:v>
                  </c:pt>
                  <c:pt idx="376">
                    <c:v>3.76</c:v>
                  </c:pt>
                  <c:pt idx="377">
                    <c:v>3.77</c:v>
                  </c:pt>
                  <c:pt idx="378">
                    <c:v>3.78</c:v>
                  </c:pt>
                  <c:pt idx="379">
                    <c:v>3.79</c:v>
                  </c:pt>
                  <c:pt idx="380">
                    <c:v>3.8</c:v>
                  </c:pt>
                  <c:pt idx="381">
                    <c:v>3.81</c:v>
                  </c:pt>
                  <c:pt idx="382">
                    <c:v>3.82</c:v>
                  </c:pt>
                  <c:pt idx="383">
                    <c:v>3.83</c:v>
                  </c:pt>
                  <c:pt idx="384">
                    <c:v>3.84</c:v>
                  </c:pt>
                  <c:pt idx="385">
                    <c:v>3.85</c:v>
                  </c:pt>
                  <c:pt idx="386">
                    <c:v>3.86</c:v>
                  </c:pt>
                  <c:pt idx="387">
                    <c:v>3.87</c:v>
                  </c:pt>
                  <c:pt idx="388">
                    <c:v>3.88</c:v>
                  </c:pt>
                  <c:pt idx="389">
                    <c:v>3.89</c:v>
                  </c:pt>
                  <c:pt idx="390">
                    <c:v>3.9</c:v>
                  </c:pt>
                  <c:pt idx="391">
                    <c:v>3.91</c:v>
                  </c:pt>
                  <c:pt idx="392">
                    <c:v>3.92</c:v>
                  </c:pt>
                  <c:pt idx="393">
                    <c:v>3.93</c:v>
                  </c:pt>
                  <c:pt idx="394">
                    <c:v>3.94</c:v>
                  </c:pt>
                  <c:pt idx="395">
                    <c:v>3.95</c:v>
                  </c:pt>
                  <c:pt idx="396">
                    <c:v>3.96</c:v>
                  </c:pt>
                  <c:pt idx="397">
                    <c:v>3.97</c:v>
                  </c:pt>
                  <c:pt idx="398">
                    <c:v>3.98</c:v>
                  </c:pt>
                  <c:pt idx="399">
                    <c:v>3.99</c:v>
                  </c:pt>
                  <c:pt idx="400">
                    <c:v>4</c:v>
                  </c:pt>
                  <c:pt idx="401">
                    <c:v>4.01</c:v>
                  </c:pt>
                  <c:pt idx="402">
                    <c:v>4.0199999999999996</c:v>
                  </c:pt>
                  <c:pt idx="403">
                    <c:v>4.03</c:v>
                  </c:pt>
                  <c:pt idx="404">
                    <c:v>4.04</c:v>
                  </c:pt>
                  <c:pt idx="405">
                    <c:v>4.05</c:v>
                  </c:pt>
                  <c:pt idx="406">
                    <c:v>4.0599999999999996</c:v>
                  </c:pt>
                  <c:pt idx="407">
                    <c:v>4.07</c:v>
                  </c:pt>
                  <c:pt idx="408">
                    <c:v>4.08</c:v>
                  </c:pt>
                  <c:pt idx="409">
                    <c:v>4.09</c:v>
                  </c:pt>
                  <c:pt idx="410">
                    <c:v>4.0999999999999996</c:v>
                  </c:pt>
                  <c:pt idx="411">
                    <c:v>4.1100000000000003</c:v>
                  </c:pt>
                  <c:pt idx="412">
                    <c:v>4.12</c:v>
                  </c:pt>
                  <c:pt idx="413">
                    <c:v>4.13</c:v>
                  </c:pt>
                  <c:pt idx="414">
                    <c:v>4.1399999999999997</c:v>
                  </c:pt>
                  <c:pt idx="415">
                    <c:v>4.1500000000000004</c:v>
                  </c:pt>
                  <c:pt idx="416">
                    <c:v>4.16</c:v>
                  </c:pt>
                  <c:pt idx="417">
                    <c:v>4.17</c:v>
                  </c:pt>
                  <c:pt idx="418">
                    <c:v>4.18</c:v>
                  </c:pt>
                  <c:pt idx="419">
                    <c:v>4.1900000000000004</c:v>
                  </c:pt>
                  <c:pt idx="420">
                    <c:v>4.2</c:v>
                  </c:pt>
                  <c:pt idx="421">
                    <c:v>4.21</c:v>
                  </c:pt>
                  <c:pt idx="422">
                    <c:v>4.22</c:v>
                  </c:pt>
                  <c:pt idx="423">
                    <c:v>4.2300000000000004</c:v>
                  </c:pt>
                  <c:pt idx="424">
                    <c:v>4.24</c:v>
                  </c:pt>
                  <c:pt idx="425">
                    <c:v>4.25</c:v>
                  </c:pt>
                  <c:pt idx="426">
                    <c:v>4.26</c:v>
                  </c:pt>
                  <c:pt idx="427">
                    <c:v>4.2699999999999996</c:v>
                  </c:pt>
                  <c:pt idx="428">
                    <c:v>4.28</c:v>
                  </c:pt>
                  <c:pt idx="429">
                    <c:v>4.29</c:v>
                  </c:pt>
                  <c:pt idx="430">
                    <c:v>4.3</c:v>
                  </c:pt>
                  <c:pt idx="431">
                    <c:v>4.3099999999999996</c:v>
                  </c:pt>
                  <c:pt idx="432">
                    <c:v>4.32</c:v>
                  </c:pt>
                  <c:pt idx="433">
                    <c:v>4.33</c:v>
                  </c:pt>
                  <c:pt idx="434">
                    <c:v>4.34</c:v>
                  </c:pt>
                  <c:pt idx="435">
                    <c:v>4.3499999999999996</c:v>
                  </c:pt>
                  <c:pt idx="436">
                    <c:v>4.3600000000000003</c:v>
                  </c:pt>
                  <c:pt idx="437">
                    <c:v>4.37</c:v>
                  </c:pt>
                  <c:pt idx="438">
                    <c:v>4.38</c:v>
                  </c:pt>
                  <c:pt idx="439">
                    <c:v>4.3899999999999997</c:v>
                  </c:pt>
                  <c:pt idx="440">
                    <c:v>4.4000000000000004</c:v>
                  </c:pt>
                  <c:pt idx="441">
                    <c:v>4.41</c:v>
                  </c:pt>
                  <c:pt idx="442">
                    <c:v>4.42</c:v>
                  </c:pt>
                  <c:pt idx="443">
                    <c:v>4.43</c:v>
                  </c:pt>
                  <c:pt idx="444">
                    <c:v>4.4400000000000004</c:v>
                  </c:pt>
                  <c:pt idx="445">
                    <c:v>4.45</c:v>
                  </c:pt>
                  <c:pt idx="446">
                    <c:v>4.46</c:v>
                  </c:pt>
                  <c:pt idx="447">
                    <c:v>4.47</c:v>
                  </c:pt>
                  <c:pt idx="448">
                    <c:v>4.4800000000000004</c:v>
                  </c:pt>
                  <c:pt idx="449">
                    <c:v>4.49</c:v>
                  </c:pt>
                  <c:pt idx="450">
                    <c:v>4.5</c:v>
                  </c:pt>
                  <c:pt idx="451">
                    <c:v>4.51</c:v>
                  </c:pt>
                  <c:pt idx="452">
                    <c:v>4.5199999999999996</c:v>
                  </c:pt>
                  <c:pt idx="453">
                    <c:v>4.53</c:v>
                  </c:pt>
                  <c:pt idx="454">
                    <c:v>4.54</c:v>
                  </c:pt>
                  <c:pt idx="455">
                    <c:v>4.55</c:v>
                  </c:pt>
                  <c:pt idx="456">
                    <c:v>4.5600000000000005</c:v>
                  </c:pt>
                  <c:pt idx="457">
                    <c:v>4.57</c:v>
                  </c:pt>
                  <c:pt idx="458">
                    <c:v>4.58</c:v>
                  </c:pt>
                  <c:pt idx="459">
                    <c:v>4.59</c:v>
                  </c:pt>
                  <c:pt idx="460">
                    <c:v>4.5999999999999996</c:v>
                  </c:pt>
                  <c:pt idx="461">
                    <c:v>4.6100000000000003</c:v>
                  </c:pt>
                  <c:pt idx="462">
                    <c:v>4.62</c:v>
                  </c:pt>
                  <c:pt idx="463">
                    <c:v>4.63</c:v>
                  </c:pt>
                  <c:pt idx="464">
                    <c:v>4.6399999999999997</c:v>
                  </c:pt>
                  <c:pt idx="465">
                    <c:v>4.6500000000000004</c:v>
                  </c:pt>
                  <c:pt idx="466">
                    <c:v>4.66</c:v>
                  </c:pt>
                  <c:pt idx="467">
                    <c:v>4.67</c:v>
                  </c:pt>
                  <c:pt idx="468">
                    <c:v>4.68</c:v>
                  </c:pt>
                  <c:pt idx="469">
                    <c:v>4.6899999999999995</c:v>
                  </c:pt>
                  <c:pt idx="470">
                    <c:v>4.7</c:v>
                  </c:pt>
                  <c:pt idx="471">
                    <c:v>4.71</c:v>
                  </c:pt>
                  <c:pt idx="472">
                    <c:v>4.72</c:v>
                  </c:pt>
                  <c:pt idx="473">
                    <c:v>4.7300000000000004</c:v>
                  </c:pt>
                  <c:pt idx="474">
                    <c:v>4.74</c:v>
                  </c:pt>
                  <c:pt idx="475">
                    <c:v>4.75</c:v>
                  </c:pt>
                  <c:pt idx="476">
                    <c:v>4.76</c:v>
                  </c:pt>
                  <c:pt idx="477">
                    <c:v>4.7699999999999996</c:v>
                  </c:pt>
                  <c:pt idx="478">
                    <c:v>4.78</c:v>
                  </c:pt>
                  <c:pt idx="479">
                    <c:v>4.79</c:v>
                  </c:pt>
                  <c:pt idx="480">
                    <c:v>4.8</c:v>
                  </c:pt>
                  <c:pt idx="481">
                    <c:v>4.8100000000000005</c:v>
                  </c:pt>
                  <c:pt idx="482">
                    <c:v>4.82</c:v>
                  </c:pt>
                  <c:pt idx="483">
                    <c:v>4.83</c:v>
                  </c:pt>
                  <c:pt idx="484">
                    <c:v>4.84</c:v>
                  </c:pt>
                  <c:pt idx="485">
                    <c:v>4.8499999999999996</c:v>
                  </c:pt>
                  <c:pt idx="486">
                    <c:v>4.8600000000000003</c:v>
                  </c:pt>
                  <c:pt idx="487">
                    <c:v>4.87</c:v>
                  </c:pt>
                  <c:pt idx="488">
                    <c:v>4.88</c:v>
                  </c:pt>
                  <c:pt idx="489">
                    <c:v>4.8899999999999997</c:v>
                  </c:pt>
                  <c:pt idx="490">
                    <c:v>4.9000000000000004</c:v>
                  </c:pt>
                  <c:pt idx="491">
                    <c:v>4.91</c:v>
                  </c:pt>
                  <c:pt idx="492">
                    <c:v>4.92</c:v>
                  </c:pt>
                  <c:pt idx="493">
                    <c:v>4.93</c:v>
                  </c:pt>
                  <c:pt idx="494">
                    <c:v>4.9399999999999995</c:v>
                  </c:pt>
                  <c:pt idx="495">
                    <c:v>4.95</c:v>
                  </c:pt>
                  <c:pt idx="496">
                    <c:v>4.96</c:v>
                  </c:pt>
                  <c:pt idx="497">
                    <c:v>4.97</c:v>
                  </c:pt>
                  <c:pt idx="498">
                    <c:v>4.9800000000000004</c:v>
                  </c:pt>
                  <c:pt idx="499">
                    <c:v>4.99</c:v>
                  </c:pt>
                  <c:pt idx="500">
                    <c:v>5</c:v>
                  </c:pt>
                  <c:pt idx="501">
                    <c:v>5.01</c:v>
                  </c:pt>
                  <c:pt idx="502">
                    <c:v>5.0199999999999996</c:v>
                  </c:pt>
                  <c:pt idx="503">
                    <c:v>5.03</c:v>
                  </c:pt>
                  <c:pt idx="504">
                    <c:v>5.04</c:v>
                  </c:pt>
                  <c:pt idx="505">
                    <c:v>5.05</c:v>
                  </c:pt>
                  <c:pt idx="506">
                    <c:v>5.0600000000000005</c:v>
                  </c:pt>
                  <c:pt idx="507">
                    <c:v>5.07</c:v>
                  </c:pt>
                  <c:pt idx="508">
                    <c:v>5.08</c:v>
                  </c:pt>
                  <c:pt idx="509">
                    <c:v>5.09</c:v>
                  </c:pt>
                  <c:pt idx="510">
                    <c:v>5.0999999999999996</c:v>
                  </c:pt>
                  <c:pt idx="511">
                    <c:v>5.1100000000000003</c:v>
                  </c:pt>
                  <c:pt idx="512">
                    <c:v>5.12</c:v>
                  </c:pt>
                  <c:pt idx="513">
                    <c:v>5.13</c:v>
                  </c:pt>
                  <c:pt idx="514">
                    <c:v>5.14</c:v>
                  </c:pt>
                  <c:pt idx="515">
                    <c:v>5.15</c:v>
                  </c:pt>
                  <c:pt idx="516">
                    <c:v>5.16</c:v>
                  </c:pt>
                  <c:pt idx="517">
                    <c:v>5.17</c:v>
                  </c:pt>
                  <c:pt idx="518">
                    <c:v>5.18</c:v>
                  </c:pt>
                  <c:pt idx="519">
                    <c:v>5.1899999999999995</c:v>
                  </c:pt>
                  <c:pt idx="520">
                    <c:v>5.2</c:v>
                  </c:pt>
                  <c:pt idx="521">
                    <c:v>5.21</c:v>
                  </c:pt>
                  <c:pt idx="522">
                    <c:v>5.22</c:v>
                  </c:pt>
                  <c:pt idx="523">
                    <c:v>5.23</c:v>
                  </c:pt>
                  <c:pt idx="524">
                    <c:v>5.24</c:v>
                  </c:pt>
                  <c:pt idx="525">
                    <c:v>5.25</c:v>
                  </c:pt>
                  <c:pt idx="526">
                    <c:v>5.26</c:v>
                  </c:pt>
                  <c:pt idx="527">
                    <c:v>5.27</c:v>
                  </c:pt>
                  <c:pt idx="528">
                    <c:v>5.28</c:v>
                  </c:pt>
                  <c:pt idx="529">
                    <c:v>5.29</c:v>
                  </c:pt>
                  <c:pt idx="530">
                    <c:v>5.3</c:v>
                  </c:pt>
                  <c:pt idx="531">
                    <c:v>5.3100000000000005</c:v>
                  </c:pt>
                  <c:pt idx="532">
                    <c:v>5.32</c:v>
                  </c:pt>
                  <c:pt idx="533">
                    <c:v>5.33</c:v>
                  </c:pt>
                  <c:pt idx="534">
                    <c:v>5.34</c:v>
                  </c:pt>
                  <c:pt idx="535">
                    <c:v>5.35</c:v>
                  </c:pt>
                  <c:pt idx="536">
                    <c:v>5.36</c:v>
                  </c:pt>
                  <c:pt idx="537">
                    <c:v>5.37</c:v>
                  </c:pt>
                  <c:pt idx="538">
                    <c:v>5.38</c:v>
                  </c:pt>
                  <c:pt idx="539">
                    <c:v>5.39</c:v>
                  </c:pt>
                  <c:pt idx="540">
                    <c:v>5.4</c:v>
                  </c:pt>
                  <c:pt idx="541">
                    <c:v>5.41</c:v>
                  </c:pt>
                  <c:pt idx="542">
                    <c:v>5.42</c:v>
                  </c:pt>
                  <c:pt idx="543">
                    <c:v>5.43</c:v>
                  </c:pt>
                  <c:pt idx="544">
                    <c:v>5.4399999999999995</c:v>
                  </c:pt>
                  <c:pt idx="545">
                    <c:v>5.45</c:v>
                  </c:pt>
                  <c:pt idx="546">
                    <c:v>5.46</c:v>
                  </c:pt>
                  <c:pt idx="547">
                    <c:v>5.47</c:v>
                  </c:pt>
                  <c:pt idx="548">
                    <c:v>5.48</c:v>
                  </c:pt>
                  <c:pt idx="549">
                    <c:v>5.49</c:v>
                  </c:pt>
                  <c:pt idx="550">
                    <c:v>5.5</c:v>
                  </c:pt>
                  <c:pt idx="551">
                    <c:v>5.51</c:v>
                  </c:pt>
                  <c:pt idx="552">
                    <c:v>5.52</c:v>
                  </c:pt>
                  <c:pt idx="553">
                    <c:v>5.53</c:v>
                  </c:pt>
                  <c:pt idx="554">
                    <c:v>5.54</c:v>
                  </c:pt>
                  <c:pt idx="555">
                    <c:v>5.55</c:v>
                  </c:pt>
                  <c:pt idx="556">
                    <c:v>5.5600000000000005</c:v>
                  </c:pt>
                  <c:pt idx="557">
                    <c:v>5.57</c:v>
                  </c:pt>
                  <c:pt idx="558">
                    <c:v>5.58</c:v>
                  </c:pt>
                  <c:pt idx="559">
                    <c:v>5.59</c:v>
                  </c:pt>
                  <c:pt idx="560">
                    <c:v>5.6</c:v>
                  </c:pt>
                  <c:pt idx="561">
                    <c:v>5.61</c:v>
                  </c:pt>
                  <c:pt idx="562">
                    <c:v>5.62</c:v>
                  </c:pt>
                  <c:pt idx="563">
                    <c:v>5.63</c:v>
                  </c:pt>
                  <c:pt idx="564">
                    <c:v>5.64</c:v>
                  </c:pt>
                  <c:pt idx="565">
                    <c:v>5.65</c:v>
                  </c:pt>
                  <c:pt idx="566">
                    <c:v>5.66</c:v>
                  </c:pt>
                  <c:pt idx="567">
                    <c:v>5.67</c:v>
                  </c:pt>
                  <c:pt idx="568">
                    <c:v>5.68</c:v>
                  </c:pt>
                  <c:pt idx="569">
                    <c:v>5.6899999999999995</c:v>
                  </c:pt>
                  <c:pt idx="570">
                    <c:v>5.7</c:v>
                  </c:pt>
                  <c:pt idx="571">
                    <c:v>5.71</c:v>
                  </c:pt>
                  <c:pt idx="572">
                    <c:v>5.72</c:v>
                  </c:pt>
                  <c:pt idx="573">
                    <c:v>5.73</c:v>
                  </c:pt>
                  <c:pt idx="574">
                    <c:v>5.74</c:v>
                  </c:pt>
                  <c:pt idx="575">
                    <c:v>5.75</c:v>
                  </c:pt>
                  <c:pt idx="576">
                    <c:v>5.76</c:v>
                  </c:pt>
                  <c:pt idx="577">
                    <c:v>5.77</c:v>
                  </c:pt>
                  <c:pt idx="578">
                    <c:v>5.78</c:v>
                  </c:pt>
                  <c:pt idx="579">
                    <c:v>5.79</c:v>
                  </c:pt>
                  <c:pt idx="580">
                    <c:v>5.8</c:v>
                  </c:pt>
                  <c:pt idx="581">
                    <c:v>5.8100000000000005</c:v>
                  </c:pt>
                  <c:pt idx="582">
                    <c:v>5.82</c:v>
                  </c:pt>
                  <c:pt idx="583">
                    <c:v>5.83</c:v>
                  </c:pt>
                  <c:pt idx="584">
                    <c:v>5.84</c:v>
                  </c:pt>
                  <c:pt idx="585">
                    <c:v>5.85</c:v>
                  </c:pt>
                  <c:pt idx="586">
                    <c:v>5.86</c:v>
                  </c:pt>
                  <c:pt idx="587">
                    <c:v>5.87</c:v>
                  </c:pt>
                  <c:pt idx="588">
                    <c:v>5.88</c:v>
                  </c:pt>
                  <c:pt idx="589">
                    <c:v>5.89</c:v>
                  </c:pt>
                  <c:pt idx="590">
                    <c:v>5.9</c:v>
                  </c:pt>
                  <c:pt idx="591">
                    <c:v>5.91</c:v>
                  </c:pt>
                  <c:pt idx="592">
                    <c:v>5.92</c:v>
                  </c:pt>
                  <c:pt idx="593">
                    <c:v>5.93</c:v>
                  </c:pt>
                  <c:pt idx="594">
                    <c:v>5.9399999999999995</c:v>
                  </c:pt>
                  <c:pt idx="595">
                    <c:v>5.95</c:v>
                  </c:pt>
                  <c:pt idx="596">
                    <c:v>5.96</c:v>
                  </c:pt>
                  <c:pt idx="597">
                    <c:v>5.97</c:v>
                  </c:pt>
                  <c:pt idx="598">
                    <c:v>5.98</c:v>
                  </c:pt>
                  <c:pt idx="599">
                    <c:v>5.99</c:v>
                  </c:pt>
                  <c:pt idx="600">
                    <c:v>6</c:v>
                  </c:pt>
                  <c:pt idx="601">
                    <c:v>6.01</c:v>
                  </c:pt>
                  <c:pt idx="602">
                    <c:v>6.02</c:v>
                  </c:pt>
                  <c:pt idx="603">
                    <c:v>6.0299999999999994</c:v>
                  </c:pt>
                  <c:pt idx="604">
                    <c:v>6.04</c:v>
                  </c:pt>
                  <c:pt idx="605">
                    <c:v>6.05</c:v>
                  </c:pt>
                  <c:pt idx="606">
                    <c:v>6.0600000000000005</c:v>
                  </c:pt>
                  <c:pt idx="607">
                    <c:v>6.07</c:v>
                  </c:pt>
                  <c:pt idx="608">
                    <c:v>6.08</c:v>
                  </c:pt>
                  <c:pt idx="609">
                    <c:v>6.09</c:v>
                  </c:pt>
                  <c:pt idx="610">
                    <c:v>6.1</c:v>
                  </c:pt>
                  <c:pt idx="611">
                    <c:v>6.1099999999999994</c:v>
                  </c:pt>
                  <c:pt idx="612">
                    <c:v>6.12</c:v>
                  </c:pt>
                  <c:pt idx="613">
                    <c:v>6.13</c:v>
                  </c:pt>
                  <c:pt idx="614">
                    <c:v>6.1400000000000006</c:v>
                  </c:pt>
                  <c:pt idx="615">
                    <c:v>6.15</c:v>
                  </c:pt>
                  <c:pt idx="616">
                    <c:v>6.16</c:v>
                  </c:pt>
                  <c:pt idx="617">
                    <c:v>6.17</c:v>
                  </c:pt>
                  <c:pt idx="618">
                    <c:v>6.18</c:v>
                  </c:pt>
                  <c:pt idx="619">
                    <c:v>6.1899999999999995</c:v>
                  </c:pt>
                  <c:pt idx="620">
                    <c:v>6.2</c:v>
                  </c:pt>
                  <c:pt idx="621">
                    <c:v>6.21</c:v>
                  </c:pt>
                  <c:pt idx="622">
                    <c:v>6.2200000000000006</c:v>
                  </c:pt>
                  <c:pt idx="623">
                    <c:v>6.23</c:v>
                  </c:pt>
                  <c:pt idx="624">
                    <c:v>6.24</c:v>
                  </c:pt>
                  <c:pt idx="625">
                    <c:v>6.25</c:v>
                  </c:pt>
                  <c:pt idx="626">
                    <c:v>6.26</c:v>
                  </c:pt>
                  <c:pt idx="627">
                    <c:v>6.27</c:v>
                  </c:pt>
                  <c:pt idx="628">
                    <c:v>6.2799999999999994</c:v>
                  </c:pt>
                  <c:pt idx="629">
                    <c:v>6.29</c:v>
                  </c:pt>
                  <c:pt idx="630">
                    <c:v>6.3</c:v>
                  </c:pt>
                  <c:pt idx="631">
                    <c:v>6.3100000000000005</c:v>
                  </c:pt>
                  <c:pt idx="632">
                    <c:v>6.32</c:v>
                  </c:pt>
                  <c:pt idx="633">
                    <c:v>6.33</c:v>
                  </c:pt>
                  <c:pt idx="634">
                    <c:v>6.34</c:v>
                  </c:pt>
                  <c:pt idx="635">
                    <c:v>6.35</c:v>
                  </c:pt>
                  <c:pt idx="636">
                    <c:v>6.3599999999999994</c:v>
                  </c:pt>
                  <c:pt idx="637">
                    <c:v>6.37</c:v>
                  </c:pt>
                  <c:pt idx="638">
                    <c:v>6.38</c:v>
                  </c:pt>
                  <c:pt idx="639">
                    <c:v>6.3900000000000006</c:v>
                  </c:pt>
                  <c:pt idx="640">
                    <c:v>6.4</c:v>
                  </c:pt>
                  <c:pt idx="641">
                    <c:v>6.41</c:v>
                  </c:pt>
                  <c:pt idx="642">
                    <c:v>6.42</c:v>
                  </c:pt>
                  <c:pt idx="643">
                    <c:v>6.43</c:v>
                  </c:pt>
                  <c:pt idx="644">
                    <c:v>6.4399999999999995</c:v>
                  </c:pt>
                  <c:pt idx="645">
                    <c:v>6.45</c:v>
                  </c:pt>
                  <c:pt idx="646">
                    <c:v>6.46</c:v>
                  </c:pt>
                  <c:pt idx="647">
                    <c:v>6.4700000000000006</c:v>
                  </c:pt>
                  <c:pt idx="648">
                    <c:v>6.48</c:v>
                  </c:pt>
                  <c:pt idx="649">
                    <c:v>6.49</c:v>
                  </c:pt>
                  <c:pt idx="650">
                    <c:v>6.5</c:v>
                  </c:pt>
                  <c:pt idx="651">
                    <c:v>6.51</c:v>
                  </c:pt>
                  <c:pt idx="652">
                    <c:v>6.52</c:v>
                  </c:pt>
                  <c:pt idx="653">
                    <c:v>6.5299999999999994</c:v>
                  </c:pt>
                  <c:pt idx="654">
                    <c:v>6.54</c:v>
                  </c:pt>
                  <c:pt idx="655">
                    <c:v>6.55</c:v>
                  </c:pt>
                  <c:pt idx="656">
                    <c:v>6.5600000000000005</c:v>
                  </c:pt>
                  <c:pt idx="657">
                    <c:v>6.57</c:v>
                  </c:pt>
                  <c:pt idx="658">
                    <c:v>6.58</c:v>
                  </c:pt>
                  <c:pt idx="659">
                    <c:v>6.59</c:v>
                  </c:pt>
                  <c:pt idx="660">
                    <c:v>6.6</c:v>
                  </c:pt>
                  <c:pt idx="661">
                    <c:v>6.6099999999999994</c:v>
                  </c:pt>
                  <c:pt idx="662">
                    <c:v>6.62</c:v>
                  </c:pt>
                  <c:pt idx="663">
                    <c:v>6.63</c:v>
                  </c:pt>
                  <c:pt idx="664">
                    <c:v>6.6400000000000006</c:v>
                  </c:pt>
                  <c:pt idx="665">
                    <c:v>6.65</c:v>
                  </c:pt>
                  <c:pt idx="666">
                    <c:v>6.66</c:v>
                  </c:pt>
                  <c:pt idx="667">
                    <c:v>6.67</c:v>
                  </c:pt>
                  <c:pt idx="668">
                    <c:v>6.68</c:v>
                  </c:pt>
                  <c:pt idx="669">
                    <c:v>6.6899999999999995</c:v>
                  </c:pt>
                  <c:pt idx="670">
                    <c:v>6.7</c:v>
                  </c:pt>
                  <c:pt idx="671">
                    <c:v>6.71</c:v>
                  </c:pt>
                  <c:pt idx="672">
                    <c:v>6.7200000000000006</c:v>
                  </c:pt>
                  <c:pt idx="673">
                    <c:v>6.73</c:v>
                  </c:pt>
                  <c:pt idx="674">
                    <c:v>6.74</c:v>
                  </c:pt>
                  <c:pt idx="675">
                    <c:v>6.75</c:v>
                  </c:pt>
                  <c:pt idx="676">
                    <c:v>6.76</c:v>
                  </c:pt>
                  <c:pt idx="677">
                    <c:v>6.77</c:v>
                  </c:pt>
                  <c:pt idx="678">
                    <c:v>6.7799999999999994</c:v>
                  </c:pt>
                  <c:pt idx="679">
                    <c:v>6.79</c:v>
                  </c:pt>
                  <c:pt idx="680">
                    <c:v>6.8</c:v>
                  </c:pt>
                  <c:pt idx="681">
                    <c:v>6.8100000000000005</c:v>
                  </c:pt>
                  <c:pt idx="682">
                    <c:v>6.82</c:v>
                  </c:pt>
                  <c:pt idx="683">
                    <c:v>6.83</c:v>
                  </c:pt>
                  <c:pt idx="684">
                    <c:v>6.84</c:v>
                  </c:pt>
                  <c:pt idx="685">
                    <c:v>6.85</c:v>
                  </c:pt>
                  <c:pt idx="686">
                    <c:v>6.8599999999999994</c:v>
                  </c:pt>
                  <c:pt idx="687">
                    <c:v>6.87</c:v>
                  </c:pt>
                  <c:pt idx="688">
                    <c:v>6.88</c:v>
                  </c:pt>
                  <c:pt idx="689">
                    <c:v>6.8900000000000006</c:v>
                  </c:pt>
                  <c:pt idx="690">
                    <c:v>6.9</c:v>
                  </c:pt>
                  <c:pt idx="691">
                    <c:v>6.91</c:v>
                  </c:pt>
                  <c:pt idx="692">
                    <c:v>6.92</c:v>
                  </c:pt>
                  <c:pt idx="693">
                    <c:v>6.93</c:v>
                  </c:pt>
                  <c:pt idx="694">
                    <c:v>6.9399999999999995</c:v>
                  </c:pt>
                  <c:pt idx="695">
                    <c:v>6.95</c:v>
                  </c:pt>
                  <c:pt idx="696">
                    <c:v>6.96</c:v>
                  </c:pt>
                  <c:pt idx="697">
                    <c:v>6.9700000000000006</c:v>
                  </c:pt>
                  <c:pt idx="698">
                    <c:v>6.98</c:v>
                  </c:pt>
                  <c:pt idx="699">
                    <c:v>6.99</c:v>
                  </c:pt>
                  <c:pt idx="700">
                    <c:v>7</c:v>
                  </c:pt>
                  <c:pt idx="701">
                    <c:v>7.01</c:v>
                  </c:pt>
                  <c:pt idx="702">
                    <c:v>7.02</c:v>
                  </c:pt>
                  <c:pt idx="703">
                    <c:v>7.0299999999999994</c:v>
                  </c:pt>
                  <c:pt idx="704">
                    <c:v>7.04</c:v>
                  </c:pt>
                  <c:pt idx="705">
                    <c:v>7.05</c:v>
                  </c:pt>
                  <c:pt idx="706">
                    <c:v>7.0600000000000005</c:v>
                  </c:pt>
                  <c:pt idx="707">
                    <c:v>7.07</c:v>
                  </c:pt>
                  <c:pt idx="708">
                    <c:v>7.08</c:v>
                  </c:pt>
                  <c:pt idx="709">
                    <c:v>7.09</c:v>
                  </c:pt>
                  <c:pt idx="710">
                    <c:v>7.1</c:v>
                  </c:pt>
                  <c:pt idx="711">
                    <c:v>7.1099999999999994</c:v>
                  </c:pt>
                  <c:pt idx="712">
                    <c:v>7.12</c:v>
                  </c:pt>
                  <c:pt idx="713">
                    <c:v>7.13</c:v>
                  </c:pt>
                  <c:pt idx="714">
                    <c:v>7.1400000000000006</c:v>
                  </c:pt>
                  <c:pt idx="715">
                    <c:v>7.15</c:v>
                  </c:pt>
                  <c:pt idx="716">
                    <c:v>7.16</c:v>
                  </c:pt>
                  <c:pt idx="717">
                    <c:v>7.17</c:v>
                  </c:pt>
                  <c:pt idx="718">
                    <c:v>7.18</c:v>
                  </c:pt>
                  <c:pt idx="719">
                    <c:v>7.1899999999999995</c:v>
                  </c:pt>
                  <c:pt idx="720">
                    <c:v>7.2</c:v>
                  </c:pt>
                  <c:pt idx="721">
                    <c:v>7.21</c:v>
                  </c:pt>
                  <c:pt idx="722">
                    <c:v>7.2200000000000006</c:v>
                  </c:pt>
                  <c:pt idx="723">
                    <c:v>7.23</c:v>
                  </c:pt>
                  <c:pt idx="724">
                    <c:v>7.24</c:v>
                  </c:pt>
                  <c:pt idx="725">
                    <c:v>7.25</c:v>
                  </c:pt>
                  <c:pt idx="726">
                    <c:v>7.26</c:v>
                  </c:pt>
                  <c:pt idx="727">
                    <c:v>7.27</c:v>
                  </c:pt>
                  <c:pt idx="728">
                    <c:v>7.2799999999999994</c:v>
                  </c:pt>
                  <c:pt idx="729">
                    <c:v>7.29</c:v>
                  </c:pt>
                  <c:pt idx="730">
                    <c:v>7.3</c:v>
                  </c:pt>
                  <c:pt idx="731">
                    <c:v>7.3100000000000005</c:v>
                  </c:pt>
                  <c:pt idx="732">
                    <c:v>7.32</c:v>
                  </c:pt>
                  <c:pt idx="733">
                    <c:v>7.33</c:v>
                  </c:pt>
                  <c:pt idx="734">
                    <c:v>7.34</c:v>
                  </c:pt>
                  <c:pt idx="735">
                    <c:v>7.35</c:v>
                  </c:pt>
                  <c:pt idx="736">
                    <c:v>7.3599999999999994</c:v>
                  </c:pt>
                  <c:pt idx="737">
                    <c:v>7.37</c:v>
                  </c:pt>
                  <c:pt idx="738">
                    <c:v>7.38</c:v>
                  </c:pt>
                  <c:pt idx="739">
                    <c:v>7.3900000000000006</c:v>
                  </c:pt>
                  <c:pt idx="740">
                    <c:v>7.4</c:v>
                  </c:pt>
                  <c:pt idx="741">
                    <c:v>7.41</c:v>
                  </c:pt>
                  <c:pt idx="742">
                    <c:v>7.42</c:v>
                  </c:pt>
                  <c:pt idx="743">
                    <c:v>7.43</c:v>
                  </c:pt>
                  <c:pt idx="744">
                    <c:v>7.4399999999999995</c:v>
                  </c:pt>
                  <c:pt idx="745">
                    <c:v>7.45</c:v>
                  </c:pt>
                  <c:pt idx="746">
                    <c:v>7.46</c:v>
                  </c:pt>
                  <c:pt idx="747">
                    <c:v>7.4700000000000006</c:v>
                  </c:pt>
                  <c:pt idx="748">
                    <c:v>7.48</c:v>
                  </c:pt>
                  <c:pt idx="749">
                    <c:v>7.49</c:v>
                  </c:pt>
                  <c:pt idx="750">
                    <c:v>7.5</c:v>
                  </c:pt>
                  <c:pt idx="751">
                    <c:v>7.51</c:v>
                  </c:pt>
                  <c:pt idx="752">
                    <c:v>7.52</c:v>
                  </c:pt>
                  <c:pt idx="753">
                    <c:v>7.5299999999999994</c:v>
                  </c:pt>
                  <c:pt idx="754">
                    <c:v>7.54</c:v>
                  </c:pt>
                  <c:pt idx="755">
                    <c:v>7.55</c:v>
                  </c:pt>
                  <c:pt idx="756">
                    <c:v>7.5600000000000005</c:v>
                  </c:pt>
                  <c:pt idx="757">
                    <c:v>7.57</c:v>
                  </c:pt>
                  <c:pt idx="758">
                    <c:v>7.58</c:v>
                  </c:pt>
                  <c:pt idx="759">
                    <c:v>7.59</c:v>
                  </c:pt>
                  <c:pt idx="760">
                    <c:v>7.6</c:v>
                  </c:pt>
                  <c:pt idx="761">
                    <c:v>7.6099999999999994</c:v>
                  </c:pt>
                  <c:pt idx="762">
                    <c:v>7.62</c:v>
                  </c:pt>
                  <c:pt idx="763">
                    <c:v>7.63</c:v>
                  </c:pt>
                  <c:pt idx="764">
                    <c:v>7.6400000000000006</c:v>
                  </c:pt>
                  <c:pt idx="765">
                    <c:v>7.65</c:v>
                  </c:pt>
                  <c:pt idx="766">
                    <c:v>7.66</c:v>
                  </c:pt>
                  <c:pt idx="767">
                    <c:v>7.67</c:v>
                  </c:pt>
                  <c:pt idx="768">
                    <c:v>7.68</c:v>
                  </c:pt>
                  <c:pt idx="769">
                    <c:v>7.6899999999999995</c:v>
                  </c:pt>
                  <c:pt idx="770">
                    <c:v>7.7</c:v>
                  </c:pt>
                  <c:pt idx="771">
                    <c:v>7.71</c:v>
                  </c:pt>
                  <c:pt idx="772">
                    <c:v>7.7200000000000006</c:v>
                  </c:pt>
                  <c:pt idx="773">
                    <c:v>7.73</c:v>
                  </c:pt>
                  <c:pt idx="774">
                    <c:v>7.74</c:v>
                  </c:pt>
                  <c:pt idx="775">
                    <c:v>7.75</c:v>
                  </c:pt>
                  <c:pt idx="776">
                    <c:v>7.76</c:v>
                  </c:pt>
                  <c:pt idx="777">
                    <c:v>7.77</c:v>
                  </c:pt>
                  <c:pt idx="778">
                    <c:v>7.7799999999999994</c:v>
                  </c:pt>
                  <c:pt idx="779">
                    <c:v>7.79</c:v>
                  </c:pt>
                  <c:pt idx="780">
                    <c:v>7.8</c:v>
                  </c:pt>
                  <c:pt idx="781">
                    <c:v>7.8100000000000005</c:v>
                  </c:pt>
                  <c:pt idx="782">
                    <c:v>7.82</c:v>
                  </c:pt>
                  <c:pt idx="783">
                    <c:v>7.83</c:v>
                  </c:pt>
                  <c:pt idx="784">
                    <c:v>7.84</c:v>
                  </c:pt>
                  <c:pt idx="785">
                    <c:v>7.85</c:v>
                  </c:pt>
                  <c:pt idx="786">
                    <c:v>7.8599999999999994</c:v>
                  </c:pt>
                  <c:pt idx="787">
                    <c:v>7.87</c:v>
                  </c:pt>
                  <c:pt idx="788">
                    <c:v>7.88</c:v>
                  </c:pt>
                  <c:pt idx="789">
                    <c:v>7.8900000000000006</c:v>
                  </c:pt>
                  <c:pt idx="790">
                    <c:v>7.9</c:v>
                  </c:pt>
                  <c:pt idx="791">
                    <c:v>7.91</c:v>
                  </c:pt>
                  <c:pt idx="792">
                    <c:v>7.92</c:v>
                  </c:pt>
                  <c:pt idx="793">
                    <c:v>7.93</c:v>
                  </c:pt>
                  <c:pt idx="794">
                    <c:v>7.9399999999999995</c:v>
                  </c:pt>
                  <c:pt idx="795">
                    <c:v>7.95</c:v>
                  </c:pt>
                  <c:pt idx="796">
                    <c:v>7.96</c:v>
                  </c:pt>
                  <c:pt idx="797">
                    <c:v>7.9700000000000006</c:v>
                  </c:pt>
                  <c:pt idx="798">
                    <c:v>7.98</c:v>
                  </c:pt>
                  <c:pt idx="799">
                    <c:v>7.99</c:v>
                  </c:pt>
                  <c:pt idx="800">
                    <c:v>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C00000"/>
                </a:solidFill>
                <a:prstDash val="sysDot"/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'Лист1 (3)'!$S$3:$S$800</c:f>
                <c:numCache>
                  <c:formatCode>General</c:formatCode>
                  <c:ptCount val="798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#N/A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#N/A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#N/A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#N/A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#N/A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  <c:pt idx="180">
                    <c:v>#N/A</c:v>
                  </c:pt>
                  <c:pt idx="181">
                    <c:v>#N/A</c:v>
                  </c:pt>
                  <c:pt idx="182">
                    <c:v>#N/A</c:v>
                  </c:pt>
                  <c:pt idx="183">
                    <c:v>#N/A</c:v>
                  </c:pt>
                  <c:pt idx="184">
                    <c:v>#N/A</c:v>
                  </c:pt>
                  <c:pt idx="185">
                    <c:v>#N/A</c:v>
                  </c:pt>
                  <c:pt idx="186">
                    <c:v>#N/A</c:v>
                  </c:pt>
                  <c:pt idx="187">
                    <c:v>#N/A</c:v>
                  </c:pt>
                  <c:pt idx="188">
                    <c:v>#N/A</c:v>
                  </c:pt>
                  <c:pt idx="189">
                    <c:v>#N/A</c:v>
                  </c:pt>
                  <c:pt idx="190">
                    <c:v>#N/A</c:v>
                  </c:pt>
                  <c:pt idx="191">
                    <c:v>#N/A</c:v>
                  </c:pt>
                  <c:pt idx="192">
                    <c:v>#N/A</c:v>
                  </c:pt>
                  <c:pt idx="193">
                    <c:v>#N/A</c:v>
                  </c:pt>
                  <c:pt idx="194">
                    <c:v>#N/A</c:v>
                  </c:pt>
                  <c:pt idx="195">
                    <c:v>#N/A</c:v>
                  </c:pt>
                  <c:pt idx="196">
                    <c:v>#N/A</c:v>
                  </c:pt>
                  <c:pt idx="197">
                    <c:v>#N/A</c:v>
                  </c:pt>
                  <c:pt idx="198">
                    <c:v>#N/A</c:v>
                  </c:pt>
                  <c:pt idx="199">
                    <c:v>#N/A</c:v>
                  </c:pt>
                  <c:pt idx="200">
                    <c:v>#N/A</c:v>
                  </c:pt>
                  <c:pt idx="201">
                    <c:v>#N/A</c:v>
                  </c:pt>
                  <c:pt idx="202">
                    <c:v>#N/A</c:v>
                  </c:pt>
                  <c:pt idx="203">
                    <c:v>#N/A</c:v>
                  </c:pt>
                  <c:pt idx="204">
                    <c:v>2.5000000000000001E-2</c:v>
                  </c:pt>
                  <c:pt idx="205">
                    <c:v>#N/A</c:v>
                  </c:pt>
                  <c:pt idx="206">
                    <c:v>#N/A</c:v>
                  </c:pt>
                  <c:pt idx="207">
                    <c:v>#N/A</c:v>
                  </c:pt>
                  <c:pt idx="208">
                    <c:v>#N/A</c:v>
                  </c:pt>
                  <c:pt idx="209">
                    <c:v>#N/A</c:v>
                  </c:pt>
                  <c:pt idx="210">
                    <c:v>#N/A</c:v>
                  </c:pt>
                  <c:pt idx="211">
                    <c:v>#N/A</c:v>
                  </c:pt>
                  <c:pt idx="212">
                    <c:v>#N/A</c:v>
                  </c:pt>
                  <c:pt idx="213">
                    <c:v>#N/A</c:v>
                  </c:pt>
                  <c:pt idx="214">
                    <c:v>#N/A</c:v>
                  </c:pt>
                  <c:pt idx="215">
                    <c:v>#N/A</c:v>
                  </c:pt>
                  <c:pt idx="216">
                    <c:v>#N/A</c:v>
                  </c:pt>
                  <c:pt idx="217">
                    <c:v>#N/A</c:v>
                  </c:pt>
                  <c:pt idx="218">
                    <c:v>#N/A</c:v>
                  </c:pt>
                  <c:pt idx="219">
                    <c:v>#N/A</c:v>
                  </c:pt>
                  <c:pt idx="220">
                    <c:v>#N/A</c:v>
                  </c:pt>
                  <c:pt idx="221">
                    <c:v>#N/A</c:v>
                  </c:pt>
                  <c:pt idx="222">
                    <c:v>#N/A</c:v>
                  </c:pt>
                  <c:pt idx="223">
                    <c:v>#N/A</c:v>
                  </c:pt>
                  <c:pt idx="224">
                    <c:v>#N/A</c:v>
                  </c:pt>
                  <c:pt idx="225">
                    <c:v>#N/A</c:v>
                  </c:pt>
                  <c:pt idx="226">
                    <c:v>#N/A</c:v>
                  </c:pt>
                  <c:pt idx="227">
                    <c:v>#N/A</c:v>
                  </c:pt>
                  <c:pt idx="228">
                    <c:v>#N/A</c:v>
                  </c:pt>
                  <c:pt idx="229">
                    <c:v>#N/A</c:v>
                  </c:pt>
                  <c:pt idx="230">
                    <c:v>#N/A</c:v>
                  </c:pt>
                  <c:pt idx="231">
                    <c:v>#N/A</c:v>
                  </c:pt>
                  <c:pt idx="232">
                    <c:v>#N/A</c:v>
                  </c:pt>
                  <c:pt idx="233">
                    <c:v>#N/A</c:v>
                  </c:pt>
                  <c:pt idx="234">
                    <c:v>#N/A</c:v>
                  </c:pt>
                  <c:pt idx="235">
                    <c:v>4.947E-2</c:v>
                  </c:pt>
                  <c:pt idx="236">
                    <c:v>#N/A</c:v>
                  </c:pt>
                  <c:pt idx="237">
                    <c:v>#N/A</c:v>
                  </c:pt>
                  <c:pt idx="238">
                    <c:v>#N/A</c:v>
                  </c:pt>
                  <c:pt idx="239">
                    <c:v>#N/A</c:v>
                  </c:pt>
                  <c:pt idx="240">
                    <c:v>#N/A</c:v>
                  </c:pt>
                  <c:pt idx="241">
                    <c:v>#N/A</c:v>
                  </c:pt>
                  <c:pt idx="242">
                    <c:v>#N/A</c:v>
                  </c:pt>
                  <c:pt idx="243">
                    <c:v>#N/A</c:v>
                  </c:pt>
                  <c:pt idx="244">
                    <c:v>#N/A</c:v>
                  </c:pt>
                  <c:pt idx="245">
                    <c:v>#N/A</c:v>
                  </c:pt>
                  <c:pt idx="246">
                    <c:v>#N/A</c:v>
                  </c:pt>
                  <c:pt idx="247">
                    <c:v>#N/A</c:v>
                  </c:pt>
                  <c:pt idx="248">
                    <c:v>#N/A</c:v>
                  </c:pt>
                  <c:pt idx="249">
                    <c:v>#N/A</c:v>
                  </c:pt>
                  <c:pt idx="250">
                    <c:v>#N/A</c:v>
                  </c:pt>
                  <c:pt idx="251">
                    <c:v>#N/A</c:v>
                  </c:pt>
                  <c:pt idx="252">
                    <c:v>#N/A</c:v>
                  </c:pt>
                  <c:pt idx="253">
                    <c:v>#N/A</c:v>
                  </c:pt>
                  <c:pt idx="254">
                    <c:v>#N/A</c:v>
                  </c:pt>
                  <c:pt idx="255">
                    <c:v>#N/A</c:v>
                  </c:pt>
                  <c:pt idx="256">
                    <c:v>7.4929999999999997E-2</c:v>
                  </c:pt>
                  <c:pt idx="257">
                    <c:v>#N/A</c:v>
                  </c:pt>
                  <c:pt idx="258">
                    <c:v>#N/A</c:v>
                  </c:pt>
                  <c:pt idx="259">
                    <c:v>#N/A</c:v>
                  </c:pt>
                  <c:pt idx="260">
                    <c:v>#N/A</c:v>
                  </c:pt>
                  <c:pt idx="261">
                    <c:v>#N/A</c:v>
                  </c:pt>
                  <c:pt idx="262">
                    <c:v>#N/A</c:v>
                  </c:pt>
                  <c:pt idx="263">
                    <c:v>#N/A</c:v>
                  </c:pt>
                  <c:pt idx="264">
                    <c:v>#N/A</c:v>
                  </c:pt>
                  <c:pt idx="265">
                    <c:v>#N/A</c:v>
                  </c:pt>
                  <c:pt idx="266">
                    <c:v>#N/A</c:v>
                  </c:pt>
                  <c:pt idx="267">
                    <c:v>#N/A</c:v>
                  </c:pt>
                  <c:pt idx="268">
                    <c:v>#N/A</c:v>
                  </c:pt>
                  <c:pt idx="269">
                    <c:v>#N/A</c:v>
                  </c:pt>
                  <c:pt idx="270">
                    <c:v>#N/A</c:v>
                  </c:pt>
                  <c:pt idx="271">
                    <c:v>9.8530000000000006E-2</c:v>
                  </c:pt>
                  <c:pt idx="272">
                    <c:v>#N/A</c:v>
                  </c:pt>
                  <c:pt idx="273">
                    <c:v>#N/A</c:v>
                  </c:pt>
                  <c:pt idx="274">
                    <c:v>#N/A</c:v>
                  </c:pt>
                  <c:pt idx="275">
                    <c:v>#N/A</c:v>
                  </c:pt>
                  <c:pt idx="276">
                    <c:v>#N/A</c:v>
                  </c:pt>
                  <c:pt idx="277">
                    <c:v>#N/A</c:v>
                  </c:pt>
                  <c:pt idx="278">
                    <c:v>#N/A</c:v>
                  </c:pt>
                  <c:pt idx="279">
                    <c:v>#N/A</c:v>
                  </c:pt>
                  <c:pt idx="280">
                    <c:v>#N/A</c:v>
                  </c:pt>
                  <c:pt idx="281">
                    <c:v>#N/A</c:v>
                  </c:pt>
                  <c:pt idx="282">
                    <c:v>#N/A</c:v>
                  </c:pt>
                  <c:pt idx="283">
                    <c:v>#N/A</c:v>
                  </c:pt>
                  <c:pt idx="284">
                    <c:v>0.12302</c:v>
                  </c:pt>
                  <c:pt idx="285">
                    <c:v>#N/A</c:v>
                  </c:pt>
                  <c:pt idx="286">
                    <c:v>#N/A</c:v>
                  </c:pt>
                  <c:pt idx="287">
                    <c:v>#N/A</c:v>
                  </c:pt>
                  <c:pt idx="288">
                    <c:v>#N/A</c:v>
                  </c:pt>
                  <c:pt idx="289">
                    <c:v>#N/A</c:v>
                  </c:pt>
                  <c:pt idx="290">
                    <c:v>#N/A</c:v>
                  </c:pt>
                  <c:pt idx="291">
                    <c:v>#N/A</c:v>
                  </c:pt>
                  <c:pt idx="292">
                    <c:v>#N/A</c:v>
                  </c:pt>
                  <c:pt idx="293">
                    <c:v>#N/A</c:v>
                  </c:pt>
                  <c:pt idx="294">
                    <c:v>#N/A</c:v>
                  </c:pt>
                  <c:pt idx="295">
                    <c:v>#N/A</c:v>
                  </c:pt>
                  <c:pt idx="296">
                    <c:v>0.14917</c:v>
                  </c:pt>
                  <c:pt idx="297">
                    <c:v>#N/A</c:v>
                  </c:pt>
                  <c:pt idx="298">
                    <c:v>#N/A</c:v>
                  </c:pt>
                  <c:pt idx="299">
                    <c:v>#N/A</c:v>
                  </c:pt>
                  <c:pt idx="300">
                    <c:v>#N/A</c:v>
                  </c:pt>
                  <c:pt idx="301">
                    <c:v>#N/A</c:v>
                  </c:pt>
                  <c:pt idx="302">
                    <c:v>#N/A</c:v>
                  </c:pt>
                  <c:pt idx="303">
                    <c:v>#N/A</c:v>
                  </c:pt>
                  <c:pt idx="304">
                    <c:v>#N/A</c:v>
                  </c:pt>
                  <c:pt idx="305">
                    <c:v>#N/A</c:v>
                  </c:pt>
                  <c:pt idx="306">
                    <c:v>0.17360999999999999</c:v>
                  </c:pt>
                  <c:pt idx="307">
                    <c:v>#N/A</c:v>
                  </c:pt>
                  <c:pt idx="308">
                    <c:v>#N/A</c:v>
                  </c:pt>
                  <c:pt idx="309">
                    <c:v>#N/A</c:v>
                  </c:pt>
                  <c:pt idx="310">
                    <c:v>#N/A</c:v>
                  </c:pt>
                  <c:pt idx="311">
                    <c:v>#N/A</c:v>
                  </c:pt>
                  <c:pt idx="312">
                    <c:v>#N/A</c:v>
                  </c:pt>
                  <c:pt idx="313">
                    <c:v>#N/A</c:v>
                  </c:pt>
                  <c:pt idx="314">
                    <c:v>#N/A</c:v>
                  </c:pt>
                  <c:pt idx="315">
                    <c:v>0.19766</c:v>
                  </c:pt>
                  <c:pt idx="316">
                    <c:v>#N/A</c:v>
                  </c:pt>
                  <c:pt idx="317">
                    <c:v>#N/A</c:v>
                  </c:pt>
                  <c:pt idx="318">
                    <c:v>#N/A</c:v>
                  </c:pt>
                  <c:pt idx="319">
                    <c:v>#N/A</c:v>
                  </c:pt>
                  <c:pt idx="320">
                    <c:v>#N/A</c:v>
                  </c:pt>
                  <c:pt idx="321">
                    <c:v>#N/A</c:v>
                  </c:pt>
                  <c:pt idx="322">
                    <c:v>#N/A</c:v>
                  </c:pt>
                  <c:pt idx="323">
                    <c:v>#N/A</c:v>
                  </c:pt>
                  <c:pt idx="324">
                    <c:v>0.22363</c:v>
                  </c:pt>
                  <c:pt idx="325">
                    <c:v>#N/A</c:v>
                  </c:pt>
                  <c:pt idx="326">
                    <c:v>#N/A</c:v>
                  </c:pt>
                  <c:pt idx="327">
                    <c:v>#N/A</c:v>
                  </c:pt>
                  <c:pt idx="328">
                    <c:v>#N/A</c:v>
                  </c:pt>
                  <c:pt idx="329">
                    <c:v>#N/A</c:v>
                  </c:pt>
                  <c:pt idx="330">
                    <c:v>#N/A</c:v>
                  </c:pt>
                  <c:pt idx="331">
                    <c:v>#N/A</c:v>
                  </c:pt>
                  <c:pt idx="332">
                    <c:v>0.24825</c:v>
                  </c:pt>
                  <c:pt idx="333">
                    <c:v>#N/A</c:v>
                  </c:pt>
                  <c:pt idx="334">
                    <c:v>#N/A</c:v>
                  </c:pt>
                  <c:pt idx="335">
                    <c:v>#N/A</c:v>
                  </c:pt>
                  <c:pt idx="336">
                    <c:v>#N/A</c:v>
                  </c:pt>
                  <c:pt idx="337">
                    <c:v>#N/A</c:v>
                  </c:pt>
                  <c:pt idx="338">
                    <c:v>#N/A</c:v>
                  </c:pt>
                  <c:pt idx="339">
                    <c:v>#N/A</c:v>
                  </c:pt>
                  <c:pt idx="340">
                    <c:v>0.27424999999999999</c:v>
                  </c:pt>
                  <c:pt idx="341">
                    <c:v>#N/A</c:v>
                  </c:pt>
                  <c:pt idx="342">
                    <c:v>#N/A</c:v>
                  </c:pt>
                  <c:pt idx="343">
                    <c:v>#N/A</c:v>
                  </c:pt>
                  <c:pt idx="344">
                    <c:v>#N/A</c:v>
                  </c:pt>
                  <c:pt idx="345">
                    <c:v>#N/A</c:v>
                  </c:pt>
                  <c:pt idx="346">
                    <c:v>#N/A</c:v>
                  </c:pt>
                  <c:pt idx="347">
                    <c:v>0.29805999999999999</c:v>
                  </c:pt>
                  <c:pt idx="348">
                    <c:v>#N/A</c:v>
                  </c:pt>
                  <c:pt idx="349">
                    <c:v>#N/A</c:v>
                  </c:pt>
                  <c:pt idx="350">
                    <c:v>#N/A</c:v>
                  </c:pt>
                  <c:pt idx="351">
                    <c:v>#N/A</c:v>
                  </c:pt>
                  <c:pt idx="352">
                    <c:v>#N/A</c:v>
                  </c:pt>
                  <c:pt idx="353">
                    <c:v>#N/A</c:v>
                  </c:pt>
                  <c:pt idx="354">
                    <c:v>0.32275999999999999</c:v>
                  </c:pt>
                  <c:pt idx="355">
                    <c:v>#N/A</c:v>
                  </c:pt>
                  <c:pt idx="356">
                    <c:v>#N/A</c:v>
                  </c:pt>
                  <c:pt idx="357">
                    <c:v>#N/A</c:v>
                  </c:pt>
                  <c:pt idx="358">
                    <c:v>#N/A</c:v>
                  </c:pt>
                  <c:pt idx="359">
                    <c:v>#N/A</c:v>
                  </c:pt>
                  <c:pt idx="360">
                    <c:v>#N/A</c:v>
                  </c:pt>
                  <c:pt idx="361">
                    <c:v>0.34827000000000002</c:v>
                  </c:pt>
                  <c:pt idx="362">
                    <c:v>#N/A</c:v>
                  </c:pt>
                  <c:pt idx="363">
                    <c:v>#N/A</c:v>
                  </c:pt>
                  <c:pt idx="364">
                    <c:v>#N/A</c:v>
                  </c:pt>
                  <c:pt idx="365">
                    <c:v>#N/A</c:v>
                  </c:pt>
                  <c:pt idx="366">
                    <c:v>#N/A</c:v>
                  </c:pt>
                  <c:pt idx="367">
                    <c:v>#N/A</c:v>
                  </c:pt>
                  <c:pt idx="368">
                    <c:v>0.37447999999999998</c:v>
                  </c:pt>
                  <c:pt idx="369">
                    <c:v>#N/A</c:v>
                  </c:pt>
                  <c:pt idx="370">
                    <c:v>#N/A</c:v>
                  </c:pt>
                  <c:pt idx="371">
                    <c:v>#N/A</c:v>
                  </c:pt>
                  <c:pt idx="372">
                    <c:v>#N/A</c:v>
                  </c:pt>
                  <c:pt idx="373">
                    <c:v>#N/A</c:v>
                  </c:pt>
                  <c:pt idx="374">
                    <c:v>0.39743000000000001</c:v>
                  </c:pt>
                  <c:pt idx="375">
                    <c:v>#N/A</c:v>
                  </c:pt>
                  <c:pt idx="376">
                    <c:v>#N/A</c:v>
                  </c:pt>
                  <c:pt idx="377">
                    <c:v>#N/A</c:v>
                  </c:pt>
                  <c:pt idx="378">
                    <c:v>#N/A</c:v>
                  </c:pt>
                  <c:pt idx="379">
                    <c:v>#N/A</c:v>
                  </c:pt>
                  <c:pt idx="380">
                    <c:v>#N/A</c:v>
                  </c:pt>
                  <c:pt idx="381">
                    <c:v>0.42465000000000003</c:v>
                  </c:pt>
                  <c:pt idx="382">
                    <c:v>#N/A</c:v>
                  </c:pt>
                  <c:pt idx="383">
                    <c:v>#N/A</c:v>
                  </c:pt>
                  <c:pt idx="384">
                    <c:v>#N/A</c:v>
                  </c:pt>
                  <c:pt idx="385">
                    <c:v>#N/A</c:v>
                  </c:pt>
                  <c:pt idx="386">
                    <c:v>#N/A</c:v>
                  </c:pt>
                  <c:pt idx="387">
                    <c:v>0.44828000000000001</c:v>
                  </c:pt>
                  <c:pt idx="388">
                    <c:v>#N/A</c:v>
                  </c:pt>
                  <c:pt idx="389">
                    <c:v>#N/A</c:v>
                  </c:pt>
                  <c:pt idx="390">
                    <c:v>#N/A</c:v>
                  </c:pt>
                  <c:pt idx="391">
                    <c:v>#N/A</c:v>
                  </c:pt>
                  <c:pt idx="392">
                    <c:v>#N/A</c:v>
                  </c:pt>
                  <c:pt idx="393">
                    <c:v>0.47210000000000002</c:v>
                  </c:pt>
                  <c:pt idx="394">
                    <c:v>#N/A</c:v>
                  </c:pt>
                  <c:pt idx="395">
                    <c:v>#N/A</c:v>
                  </c:pt>
                  <c:pt idx="396">
                    <c:v>#N/A</c:v>
                  </c:pt>
                  <c:pt idx="397">
                    <c:v>#N/A</c:v>
                  </c:pt>
                  <c:pt idx="398">
                    <c:v>#N/A</c:v>
                  </c:pt>
                  <c:pt idx="399">
                    <c:v>#N/A</c:v>
                  </c:pt>
                  <c:pt idx="400">
                    <c:v>0.5</c:v>
                  </c:pt>
                  <c:pt idx="401">
                    <c:v>#N/A</c:v>
                  </c:pt>
                  <c:pt idx="402">
                    <c:v>#N/A</c:v>
                  </c:pt>
                  <c:pt idx="403">
                    <c:v>#N/A</c:v>
                  </c:pt>
                  <c:pt idx="404">
                    <c:v>#N/A</c:v>
                  </c:pt>
                  <c:pt idx="405">
                    <c:v>#N/A</c:v>
                  </c:pt>
                  <c:pt idx="406">
                    <c:v>0.52392000000000005</c:v>
                  </c:pt>
                  <c:pt idx="407">
                    <c:v>#N/A</c:v>
                  </c:pt>
                  <c:pt idx="408">
                    <c:v>#N/A</c:v>
                  </c:pt>
                  <c:pt idx="409">
                    <c:v>#N/A</c:v>
                  </c:pt>
                  <c:pt idx="410">
                    <c:v>#N/A</c:v>
                  </c:pt>
                  <c:pt idx="411">
                    <c:v>#N/A</c:v>
                  </c:pt>
                  <c:pt idx="412">
                    <c:v>0.54776000000000002</c:v>
                  </c:pt>
                  <c:pt idx="413">
                    <c:v>#N/A</c:v>
                  </c:pt>
                  <c:pt idx="414">
                    <c:v>#N/A</c:v>
                  </c:pt>
                  <c:pt idx="415">
                    <c:v>#N/A</c:v>
                  </c:pt>
                  <c:pt idx="416">
                    <c:v>#N/A</c:v>
                  </c:pt>
                  <c:pt idx="417">
                    <c:v>#N/A</c:v>
                  </c:pt>
                  <c:pt idx="418">
                    <c:v>0.57142000000000004</c:v>
                  </c:pt>
                  <c:pt idx="419">
                    <c:v>#N/A</c:v>
                  </c:pt>
                  <c:pt idx="420">
                    <c:v>#N/A</c:v>
                  </c:pt>
                  <c:pt idx="421">
                    <c:v>#N/A</c:v>
                  </c:pt>
                  <c:pt idx="422">
                    <c:v>#N/A</c:v>
                  </c:pt>
                  <c:pt idx="423">
                    <c:v>#N/A</c:v>
                  </c:pt>
                  <c:pt idx="424">
                    <c:v>#N/A</c:v>
                  </c:pt>
                  <c:pt idx="425">
                    <c:v>0.59870999999999996</c:v>
                  </c:pt>
                  <c:pt idx="426">
                    <c:v>#N/A</c:v>
                  </c:pt>
                  <c:pt idx="427">
                    <c:v>#N/A</c:v>
                  </c:pt>
                  <c:pt idx="428">
                    <c:v>#N/A</c:v>
                  </c:pt>
                  <c:pt idx="429">
                    <c:v>#N/A</c:v>
                  </c:pt>
                  <c:pt idx="430">
                    <c:v>#N/A</c:v>
                  </c:pt>
                  <c:pt idx="431">
                    <c:v>0.62172000000000005</c:v>
                  </c:pt>
                  <c:pt idx="432">
                    <c:v>#N/A</c:v>
                  </c:pt>
                  <c:pt idx="433">
                    <c:v>#N/A</c:v>
                  </c:pt>
                  <c:pt idx="434">
                    <c:v>#N/A</c:v>
                  </c:pt>
                  <c:pt idx="435">
                    <c:v>#N/A</c:v>
                  </c:pt>
                  <c:pt idx="436">
                    <c:v>#N/A</c:v>
                  </c:pt>
                  <c:pt idx="437">
                    <c:v>#N/A</c:v>
                  </c:pt>
                  <c:pt idx="438">
                    <c:v>0.64802999999999999</c:v>
                  </c:pt>
                  <c:pt idx="439">
                    <c:v>#N/A</c:v>
                  </c:pt>
                  <c:pt idx="440">
                    <c:v>#N/A</c:v>
                  </c:pt>
                  <c:pt idx="441">
                    <c:v>#N/A</c:v>
                  </c:pt>
                  <c:pt idx="442">
                    <c:v>#N/A</c:v>
                  </c:pt>
                  <c:pt idx="443">
                    <c:v>#N/A</c:v>
                  </c:pt>
                  <c:pt idx="444">
                    <c:v>#N/A</c:v>
                  </c:pt>
                  <c:pt idx="445">
                    <c:v>0.67364000000000002</c:v>
                  </c:pt>
                  <c:pt idx="446">
                    <c:v>#N/A</c:v>
                  </c:pt>
                  <c:pt idx="447">
                    <c:v>#N/A</c:v>
                  </c:pt>
                  <c:pt idx="448">
                    <c:v>#N/A</c:v>
                  </c:pt>
                  <c:pt idx="449">
                    <c:v>#N/A</c:v>
                  </c:pt>
                  <c:pt idx="450">
                    <c:v>#N/A</c:v>
                  </c:pt>
                  <c:pt idx="451">
                    <c:v>#N/A</c:v>
                  </c:pt>
                  <c:pt idx="452">
                    <c:v>0.69847000000000004</c:v>
                  </c:pt>
                  <c:pt idx="453">
                    <c:v>#N/A</c:v>
                  </c:pt>
                  <c:pt idx="454">
                    <c:v>#N/A</c:v>
                  </c:pt>
                  <c:pt idx="455">
                    <c:v>#N/A</c:v>
                  </c:pt>
                  <c:pt idx="456">
                    <c:v>#N/A</c:v>
                  </c:pt>
                  <c:pt idx="457">
                    <c:v>#N/A</c:v>
                  </c:pt>
                  <c:pt idx="458">
                    <c:v>#N/A</c:v>
                  </c:pt>
                  <c:pt idx="459">
                    <c:v>0.72240000000000004</c:v>
                  </c:pt>
                  <c:pt idx="460">
                    <c:v>#N/A</c:v>
                  </c:pt>
                  <c:pt idx="461">
                    <c:v>#N/A</c:v>
                  </c:pt>
                  <c:pt idx="462">
                    <c:v>#N/A</c:v>
                  </c:pt>
                  <c:pt idx="463">
                    <c:v>#N/A</c:v>
                  </c:pt>
                  <c:pt idx="464">
                    <c:v>#N/A</c:v>
                  </c:pt>
                  <c:pt idx="465">
                    <c:v>#N/A</c:v>
                  </c:pt>
                  <c:pt idx="466">
                    <c:v>#N/A</c:v>
                  </c:pt>
                  <c:pt idx="467">
                    <c:v>0.74856999999999996</c:v>
                  </c:pt>
                  <c:pt idx="468">
                    <c:v>#N/A</c:v>
                  </c:pt>
                  <c:pt idx="469">
                    <c:v>#N/A</c:v>
                  </c:pt>
                  <c:pt idx="470">
                    <c:v>#N/A</c:v>
                  </c:pt>
                  <c:pt idx="471">
                    <c:v>#N/A</c:v>
                  </c:pt>
                  <c:pt idx="472">
                    <c:v>#N/A</c:v>
                  </c:pt>
                  <c:pt idx="473">
                    <c:v>#N/A</c:v>
                  </c:pt>
                  <c:pt idx="474">
                    <c:v>#N/A</c:v>
                  </c:pt>
                  <c:pt idx="475">
                    <c:v>0.77337</c:v>
                  </c:pt>
                  <c:pt idx="476">
                    <c:v>#N/A</c:v>
                  </c:pt>
                  <c:pt idx="477">
                    <c:v>#N/A</c:v>
                  </c:pt>
                  <c:pt idx="478">
                    <c:v>#N/A</c:v>
                  </c:pt>
                  <c:pt idx="479">
                    <c:v>#N/A</c:v>
                  </c:pt>
                  <c:pt idx="480">
                    <c:v>#N/A</c:v>
                  </c:pt>
                  <c:pt idx="481">
                    <c:v>#N/A</c:v>
                  </c:pt>
                  <c:pt idx="482">
                    <c:v>#N/A</c:v>
                  </c:pt>
                  <c:pt idx="483">
                    <c:v>#N/A</c:v>
                  </c:pt>
                  <c:pt idx="484">
                    <c:v>0.79954999999999998</c:v>
                  </c:pt>
                  <c:pt idx="485">
                    <c:v>#N/A</c:v>
                  </c:pt>
                  <c:pt idx="486">
                    <c:v>#N/A</c:v>
                  </c:pt>
                  <c:pt idx="487">
                    <c:v>#N/A</c:v>
                  </c:pt>
                  <c:pt idx="488">
                    <c:v>#N/A</c:v>
                  </c:pt>
                  <c:pt idx="489">
                    <c:v>#N/A</c:v>
                  </c:pt>
                  <c:pt idx="490">
                    <c:v>#N/A</c:v>
                  </c:pt>
                  <c:pt idx="491">
                    <c:v>#N/A</c:v>
                  </c:pt>
                  <c:pt idx="492">
                    <c:v>#N/A</c:v>
                  </c:pt>
                  <c:pt idx="493">
                    <c:v>0.82381000000000004</c:v>
                  </c:pt>
                  <c:pt idx="494">
                    <c:v>#N/A</c:v>
                  </c:pt>
                  <c:pt idx="495">
                    <c:v>#N/A</c:v>
                  </c:pt>
                  <c:pt idx="496">
                    <c:v>#N/A</c:v>
                  </c:pt>
                  <c:pt idx="497">
                    <c:v>#N/A</c:v>
                  </c:pt>
                  <c:pt idx="498">
                    <c:v>#N/A</c:v>
                  </c:pt>
                  <c:pt idx="499">
                    <c:v>#N/A</c:v>
                  </c:pt>
                  <c:pt idx="500">
                    <c:v>#N/A</c:v>
                  </c:pt>
                  <c:pt idx="501">
                    <c:v>#N/A</c:v>
                  </c:pt>
                  <c:pt idx="502">
                    <c:v>#N/A</c:v>
                  </c:pt>
                  <c:pt idx="503">
                    <c:v>0.84848999999999997</c:v>
                  </c:pt>
                  <c:pt idx="504">
                    <c:v>#N/A</c:v>
                  </c:pt>
                  <c:pt idx="505">
                    <c:v>#N/A</c:v>
                  </c:pt>
                  <c:pt idx="506">
                    <c:v>#N/A</c:v>
                  </c:pt>
                  <c:pt idx="507">
                    <c:v>#N/A</c:v>
                  </c:pt>
                  <c:pt idx="508">
                    <c:v>#N/A</c:v>
                  </c:pt>
                  <c:pt idx="509">
                    <c:v>#N/A</c:v>
                  </c:pt>
                  <c:pt idx="510">
                    <c:v>#N/A</c:v>
                  </c:pt>
                  <c:pt idx="511">
                    <c:v>#N/A</c:v>
                  </c:pt>
                  <c:pt idx="512">
                    <c:v>#N/A</c:v>
                  </c:pt>
                  <c:pt idx="513">
                    <c:v>#N/A</c:v>
                  </c:pt>
                  <c:pt idx="514">
                    <c:v>#N/A</c:v>
                  </c:pt>
                  <c:pt idx="515">
                    <c:v>0.87492999999999999</c:v>
                  </c:pt>
                  <c:pt idx="516">
                    <c:v>#N/A</c:v>
                  </c:pt>
                  <c:pt idx="517">
                    <c:v>#N/A</c:v>
                  </c:pt>
                  <c:pt idx="518">
                    <c:v>#N/A</c:v>
                  </c:pt>
                  <c:pt idx="519">
                    <c:v>#N/A</c:v>
                  </c:pt>
                  <c:pt idx="520">
                    <c:v>#N/A</c:v>
                  </c:pt>
                  <c:pt idx="521">
                    <c:v>#N/A</c:v>
                  </c:pt>
                  <c:pt idx="522">
                    <c:v>#N/A</c:v>
                  </c:pt>
                  <c:pt idx="523">
                    <c:v>#N/A</c:v>
                  </c:pt>
                  <c:pt idx="524">
                    <c:v>#N/A</c:v>
                  </c:pt>
                  <c:pt idx="525">
                    <c:v>#N/A</c:v>
                  </c:pt>
                  <c:pt idx="526">
                    <c:v>#N/A</c:v>
                  </c:pt>
                  <c:pt idx="527">
                    <c:v>#N/A</c:v>
                  </c:pt>
                  <c:pt idx="528">
                    <c:v>0.89973000000000003</c:v>
                  </c:pt>
                  <c:pt idx="529">
                    <c:v>#N/A</c:v>
                  </c:pt>
                  <c:pt idx="530">
                    <c:v>#N/A</c:v>
                  </c:pt>
                  <c:pt idx="531">
                    <c:v>#N/A</c:v>
                  </c:pt>
                  <c:pt idx="532">
                    <c:v>#N/A</c:v>
                  </c:pt>
                  <c:pt idx="533">
                    <c:v>#N/A</c:v>
                  </c:pt>
                  <c:pt idx="534">
                    <c:v>#N/A</c:v>
                  </c:pt>
                  <c:pt idx="535">
                    <c:v>#N/A</c:v>
                  </c:pt>
                  <c:pt idx="536">
                    <c:v>#N/A</c:v>
                  </c:pt>
                  <c:pt idx="537">
                    <c:v>#N/A</c:v>
                  </c:pt>
                  <c:pt idx="538">
                    <c:v>#N/A</c:v>
                  </c:pt>
                  <c:pt idx="539">
                    <c:v>#N/A</c:v>
                  </c:pt>
                  <c:pt idx="540">
                    <c:v>#N/A</c:v>
                  </c:pt>
                  <c:pt idx="541">
                    <c:v>#N/A</c:v>
                  </c:pt>
                  <c:pt idx="542">
                    <c:v>#N/A</c:v>
                  </c:pt>
                  <c:pt idx="543">
                    <c:v>0.92364000000000002</c:v>
                  </c:pt>
                  <c:pt idx="544">
                    <c:v>#N/A</c:v>
                  </c:pt>
                  <c:pt idx="545">
                    <c:v>#N/A</c:v>
                  </c:pt>
                  <c:pt idx="546">
                    <c:v>#N/A</c:v>
                  </c:pt>
                  <c:pt idx="547">
                    <c:v>#N/A</c:v>
                  </c:pt>
                  <c:pt idx="548">
                    <c:v>#N/A</c:v>
                  </c:pt>
                  <c:pt idx="549">
                    <c:v>#N/A</c:v>
                  </c:pt>
                  <c:pt idx="550">
                    <c:v>#N/A</c:v>
                  </c:pt>
                  <c:pt idx="551">
                    <c:v>#N/A</c:v>
                  </c:pt>
                  <c:pt idx="552">
                    <c:v>#N/A</c:v>
                  </c:pt>
                  <c:pt idx="553">
                    <c:v>#N/A</c:v>
                  </c:pt>
                  <c:pt idx="554">
                    <c:v>#N/A</c:v>
                  </c:pt>
                  <c:pt idx="555">
                    <c:v>#N/A</c:v>
                  </c:pt>
                  <c:pt idx="556">
                    <c:v>#N/A</c:v>
                  </c:pt>
                  <c:pt idx="557">
                    <c:v>#N/A</c:v>
                  </c:pt>
                  <c:pt idx="558">
                    <c:v>#N/A</c:v>
                  </c:pt>
                  <c:pt idx="559">
                    <c:v>#N/A</c:v>
                  </c:pt>
                  <c:pt idx="560">
                    <c:v>#N/A</c:v>
                  </c:pt>
                  <c:pt idx="561">
                    <c:v>#N/A</c:v>
                  </c:pt>
                  <c:pt idx="562">
                    <c:v>#N/A</c:v>
                  </c:pt>
                  <c:pt idx="563">
                    <c:v>#N/A</c:v>
                  </c:pt>
                  <c:pt idx="564">
                    <c:v>0.94950000000000001</c:v>
                  </c:pt>
                  <c:pt idx="565">
                    <c:v>#N/A</c:v>
                  </c:pt>
                  <c:pt idx="566">
                    <c:v>#N/A</c:v>
                  </c:pt>
                  <c:pt idx="567">
                    <c:v>#N/A</c:v>
                  </c:pt>
                  <c:pt idx="568">
                    <c:v>#N/A</c:v>
                  </c:pt>
                  <c:pt idx="569">
                    <c:v>#N/A</c:v>
                  </c:pt>
                  <c:pt idx="570">
                    <c:v>#N/A</c:v>
                  </c:pt>
                  <c:pt idx="571">
                    <c:v>#N/A</c:v>
                  </c:pt>
                  <c:pt idx="572">
                    <c:v>#N/A</c:v>
                  </c:pt>
                  <c:pt idx="573">
                    <c:v>#N/A</c:v>
                  </c:pt>
                  <c:pt idx="574">
                    <c:v>#N/A</c:v>
                  </c:pt>
                  <c:pt idx="575">
                    <c:v>#N/A</c:v>
                  </c:pt>
                  <c:pt idx="576">
                    <c:v>#N/A</c:v>
                  </c:pt>
                  <c:pt idx="577">
                    <c:v>#N/A</c:v>
                  </c:pt>
                  <c:pt idx="578">
                    <c:v>#N/A</c:v>
                  </c:pt>
                  <c:pt idx="579">
                    <c:v>#N/A</c:v>
                  </c:pt>
                  <c:pt idx="580">
                    <c:v>#N/A</c:v>
                  </c:pt>
                  <c:pt idx="581">
                    <c:v>#N/A</c:v>
                  </c:pt>
                  <c:pt idx="582">
                    <c:v>#N/A</c:v>
                  </c:pt>
                  <c:pt idx="583">
                    <c:v>#N/A</c:v>
                  </c:pt>
                  <c:pt idx="584">
                    <c:v>#N/A</c:v>
                  </c:pt>
                  <c:pt idx="585">
                    <c:v>#N/A</c:v>
                  </c:pt>
                  <c:pt idx="586">
                    <c:v>#N/A</c:v>
                  </c:pt>
                  <c:pt idx="587">
                    <c:v>#N/A</c:v>
                  </c:pt>
                  <c:pt idx="588">
                    <c:v>#N/A</c:v>
                  </c:pt>
                  <c:pt idx="589">
                    <c:v>#N/A</c:v>
                  </c:pt>
                  <c:pt idx="590">
                    <c:v>#N/A</c:v>
                  </c:pt>
                  <c:pt idx="591">
                    <c:v>#N/A</c:v>
                  </c:pt>
                  <c:pt idx="592">
                    <c:v>#N/A</c:v>
                  </c:pt>
                  <c:pt idx="593">
                    <c:v>#N/A</c:v>
                  </c:pt>
                  <c:pt idx="594">
                    <c:v>#N/A</c:v>
                  </c:pt>
                  <c:pt idx="595">
                    <c:v>#N/A</c:v>
                  </c:pt>
                  <c:pt idx="596">
                    <c:v>0.97499999999999998</c:v>
                  </c:pt>
                  <c:pt idx="597">
                    <c:v>#N/A</c:v>
                  </c:pt>
                  <c:pt idx="598">
                    <c:v>#N/A</c:v>
                  </c:pt>
                  <c:pt idx="599">
                    <c:v>#N/A</c:v>
                  </c:pt>
                  <c:pt idx="600">
                    <c:v>#N/A</c:v>
                  </c:pt>
                  <c:pt idx="601">
                    <c:v>#N/A</c:v>
                  </c:pt>
                  <c:pt idx="602">
                    <c:v>#N/A</c:v>
                  </c:pt>
                  <c:pt idx="603">
                    <c:v>#N/A</c:v>
                  </c:pt>
                  <c:pt idx="604">
                    <c:v>#N/A</c:v>
                  </c:pt>
                  <c:pt idx="605">
                    <c:v>#N/A</c:v>
                  </c:pt>
                  <c:pt idx="606">
                    <c:v>#N/A</c:v>
                  </c:pt>
                  <c:pt idx="607">
                    <c:v>#N/A</c:v>
                  </c:pt>
                  <c:pt idx="608">
                    <c:v>#N/A</c:v>
                  </c:pt>
                  <c:pt idx="609">
                    <c:v>#N/A</c:v>
                  </c:pt>
                  <c:pt idx="610">
                    <c:v>#N/A</c:v>
                  </c:pt>
                  <c:pt idx="611">
                    <c:v>#N/A</c:v>
                  </c:pt>
                  <c:pt idx="612">
                    <c:v>#N/A</c:v>
                  </c:pt>
                  <c:pt idx="613">
                    <c:v>#N/A</c:v>
                  </c:pt>
                  <c:pt idx="614">
                    <c:v>#N/A</c:v>
                  </c:pt>
                  <c:pt idx="615">
                    <c:v>#N/A</c:v>
                  </c:pt>
                  <c:pt idx="616">
                    <c:v>#N/A</c:v>
                  </c:pt>
                  <c:pt idx="617">
                    <c:v>#N/A</c:v>
                  </c:pt>
                  <c:pt idx="618">
                    <c:v>#N/A</c:v>
                  </c:pt>
                  <c:pt idx="619">
                    <c:v>#N/A</c:v>
                  </c:pt>
                  <c:pt idx="620">
                    <c:v>#N/A</c:v>
                  </c:pt>
                  <c:pt idx="621">
                    <c:v>#N/A</c:v>
                  </c:pt>
                  <c:pt idx="622">
                    <c:v>#N/A</c:v>
                  </c:pt>
                  <c:pt idx="623">
                    <c:v>#N/A</c:v>
                  </c:pt>
                  <c:pt idx="624">
                    <c:v>#N/A</c:v>
                  </c:pt>
                  <c:pt idx="625">
                    <c:v>#N/A</c:v>
                  </c:pt>
                  <c:pt idx="626">
                    <c:v>#N/A</c:v>
                  </c:pt>
                  <c:pt idx="627">
                    <c:v>#N/A</c:v>
                  </c:pt>
                  <c:pt idx="628">
                    <c:v>#N/A</c:v>
                  </c:pt>
                  <c:pt idx="629">
                    <c:v>#N/A</c:v>
                  </c:pt>
                  <c:pt idx="630">
                    <c:v>#N/A</c:v>
                  </c:pt>
                  <c:pt idx="631">
                    <c:v>#N/A</c:v>
                  </c:pt>
                  <c:pt idx="632">
                    <c:v>#N/A</c:v>
                  </c:pt>
                  <c:pt idx="633">
                    <c:v>#N/A</c:v>
                  </c:pt>
                  <c:pt idx="634">
                    <c:v>#N/A</c:v>
                  </c:pt>
                  <c:pt idx="635">
                    <c:v>#N/A</c:v>
                  </c:pt>
                  <c:pt idx="636">
                    <c:v>#N/A</c:v>
                  </c:pt>
                  <c:pt idx="637">
                    <c:v>#N/A</c:v>
                  </c:pt>
                  <c:pt idx="638">
                    <c:v>#N/A</c:v>
                  </c:pt>
                  <c:pt idx="639">
                    <c:v>#N/A</c:v>
                  </c:pt>
                  <c:pt idx="640">
                    <c:v>#N/A</c:v>
                  </c:pt>
                  <c:pt idx="641">
                    <c:v>#N/A</c:v>
                  </c:pt>
                  <c:pt idx="642">
                    <c:v>#N/A</c:v>
                  </c:pt>
                  <c:pt idx="643">
                    <c:v>#N/A</c:v>
                  </c:pt>
                  <c:pt idx="644">
                    <c:v>#N/A</c:v>
                  </c:pt>
                  <c:pt idx="645">
                    <c:v>#N/A</c:v>
                  </c:pt>
                  <c:pt idx="646">
                    <c:v>#N/A</c:v>
                  </c:pt>
                  <c:pt idx="647">
                    <c:v>#N/A</c:v>
                  </c:pt>
                  <c:pt idx="648">
                    <c:v>#N/A</c:v>
                  </c:pt>
                  <c:pt idx="649">
                    <c:v>#N/A</c:v>
                  </c:pt>
                  <c:pt idx="650">
                    <c:v>#N/A</c:v>
                  </c:pt>
                  <c:pt idx="651">
                    <c:v>#N/A</c:v>
                  </c:pt>
                  <c:pt idx="652">
                    <c:v>#N/A</c:v>
                  </c:pt>
                  <c:pt idx="653">
                    <c:v>#N/A</c:v>
                  </c:pt>
                  <c:pt idx="654">
                    <c:v>#N/A</c:v>
                  </c:pt>
                  <c:pt idx="655">
                    <c:v>#N/A</c:v>
                  </c:pt>
                  <c:pt idx="656">
                    <c:v>#N/A</c:v>
                  </c:pt>
                  <c:pt idx="657">
                    <c:v>#N/A</c:v>
                  </c:pt>
                  <c:pt idx="658">
                    <c:v>#N/A</c:v>
                  </c:pt>
                  <c:pt idx="659">
                    <c:v>#N/A</c:v>
                  </c:pt>
                  <c:pt idx="660">
                    <c:v>#N/A</c:v>
                  </c:pt>
                  <c:pt idx="661">
                    <c:v>#N/A</c:v>
                  </c:pt>
                  <c:pt idx="662">
                    <c:v>#N/A</c:v>
                  </c:pt>
                  <c:pt idx="663">
                    <c:v>#N/A</c:v>
                  </c:pt>
                  <c:pt idx="664">
                    <c:v>#N/A</c:v>
                  </c:pt>
                  <c:pt idx="665">
                    <c:v>#N/A</c:v>
                  </c:pt>
                  <c:pt idx="666">
                    <c:v>#N/A</c:v>
                  </c:pt>
                  <c:pt idx="667">
                    <c:v>#N/A</c:v>
                  </c:pt>
                  <c:pt idx="668">
                    <c:v>#N/A</c:v>
                  </c:pt>
                  <c:pt idx="669">
                    <c:v>#N/A</c:v>
                  </c:pt>
                  <c:pt idx="670">
                    <c:v>#N/A</c:v>
                  </c:pt>
                  <c:pt idx="671">
                    <c:v>#N/A</c:v>
                  </c:pt>
                  <c:pt idx="672">
                    <c:v>#N/A</c:v>
                  </c:pt>
                  <c:pt idx="673">
                    <c:v>#N/A</c:v>
                  </c:pt>
                  <c:pt idx="674">
                    <c:v>#N/A</c:v>
                  </c:pt>
                  <c:pt idx="675">
                    <c:v>#N/A</c:v>
                  </c:pt>
                  <c:pt idx="676">
                    <c:v>#N/A</c:v>
                  </c:pt>
                  <c:pt idx="677">
                    <c:v>#N/A</c:v>
                  </c:pt>
                  <c:pt idx="678">
                    <c:v>#N/A</c:v>
                  </c:pt>
                  <c:pt idx="679">
                    <c:v>#N/A</c:v>
                  </c:pt>
                  <c:pt idx="680">
                    <c:v>#N/A</c:v>
                  </c:pt>
                  <c:pt idx="681">
                    <c:v>#N/A</c:v>
                  </c:pt>
                  <c:pt idx="682">
                    <c:v>#N/A</c:v>
                  </c:pt>
                  <c:pt idx="683">
                    <c:v>#N/A</c:v>
                  </c:pt>
                  <c:pt idx="684">
                    <c:v>#N/A</c:v>
                  </c:pt>
                  <c:pt idx="685">
                    <c:v>#N/A</c:v>
                  </c:pt>
                  <c:pt idx="686">
                    <c:v>#N/A</c:v>
                  </c:pt>
                  <c:pt idx="687">
                    <c:v>#N/A</c:v>
                  </c:pt>
                  <c:pt idx="688">
                    <c:v>#N/A</c:v>
                  </c:pt>
                  <c:pt idx="689">
                    <c:v>#N/A</c:v>
                  </c:pt>
                  <c:pt idx="690">
                    <c:v>#N/A</c:v>
                  </c:pt>
                  <c:pt idx="691">
                    <c:v>#N/A</c:v>
                  </c:pt>
                  <c:pt idx="692">
                    <c:v>#N/A</c:v>
                  </c:pt>
                  <c:pt idx="693">
                    <c:v>#N/A</c:v>
                  </c:pt>
                  <c:pt idx="694">
                    <c:v>#N/A</c:v>
                  </c:pt>
                  <c:pt idx="695">
                    <c:v>#N/A</c:v>
                  </c:pt>
                  <c:pt idx="696">
                    <c:v>#N/A</c:v>
                  </c:pt>
                  <c:pt idx="697">
                    <c:v>#N/A</c:v>
                  </c:pt>
                  <c:pt idx="698">
                    <c:v>#N/A</c:v>
                  </c:pt>
                  <c:pt idx="699">
                    <c:v>#N/A</c:v>
                  </c:pt>
                  <c:pt idx="700">
                    <c:v>#N/A</c:v>
                  </c:pt>
                  <c:pt idx="701">
                    <c:v>#N/A</c:v>
                  </c:pt>
                  <c:pt idx="702">
                    <c:v>#N/A</c:v>
                  </c:pt>
                  <c:pt idx="703">
                    <c:v>#N/A</c:v>
                  </c:pt>
                  <c:pt idx="704">
                    <c:v>#N/A</c:v>
                  </c:pt>
                  <c:pt idx="705">
                    <c:v>#N/A</c:v>
                  </c:pt>
                  <c:pt idx="706">
                    <c:v>#N/A</c:v>
                  </c:pt>
                  <c:pt idx="707">
                    <c:v>#N/A</c:v>
                  </c:pt>
                  <c:pt idx="708">
                    <c:v>#N/A</c:v>
                  </c:pt>
                  <c:pt idx="709">
                    <c:v>#N/A</c:v>
                  </c:pt>
                  <c:pt idx="710">
                    <c:v>#N/A</c:v>
                  </c:pt>
                  <c:pt idx="711">
                    <c:v>#N/A</c:v>
                  </c:pt>
                  <c:pt idx="712">
                    <c:v>#N/A</c:v>
                  </c:pt>
                  <c:pt idx="713">
                    <c:v>#N/A</c:v>
                  </c:pt>
                  <c:pt idx="714">
                    <c:v>#N/A</c:v>
                  </c:pt>
                  <c:pt idx="715">
                    <c:v>#N/A</c:v>
                  </c:pt>
                  <c:pt idx="716">
                    <c:v>#N/A</c:v>
                  </c:pt>
                  <c:pt idx="717">
                    <c:v>#N/A</c:v>
                  </c:pt>
                  <c:pt idx="718">
                    <c:v>#N/A</c:v>
                  </c:pt>
                  <c:pt idx="719">
                    <c:v>#N/A</c:v>
                  </c:pt>
                  <c:pt idx="720">
                    <c:v>#N/A</c:v>
                  </c:pt>
                  <c:pt idx="721">
                    <c:v>#N/A</c:v>
                  </c:pt>
                  <c:pt idx="722">
                    <c:v>#N/A</c:v>
                  </c:pt>
                  <c:pt idx="723">
                    <c:v>#N/A</c:v>
                  </c:pt>
                  <c:pt idx="724">
                    <c:v>#N/A</c:v>
                  </c:pt>
                  <c:pt idx="725">
                    <c:v>#N/A</c:v>
                  </c:pt>
                  <c:pt idx="726">
                    <c:v>#N/A</c:v>
                  </c:pt>
                  <c:pt idx="727">
                    <c:v>#N/A</c:v>
                  </c:pt>
                  <c:pt idx="728">
                    <c:v>#N/A</c:v>
                  </c:pt>
                  <c:pt idx="729">
                    <c:v>#N/A</c:v>
                  </c:pt>
                  <c:pt idx="730">
                    <c:v>#N/A</c:v>
                  </c:pt>
                  <c:pt idx="731">
                    <c:v>#N/A</c:v>
                  </c:pt>
                  <c:pt idx="732">
                    <c:v>#N/A</c:v>
                  </c:pt>
                  <c:pt idx="733">
                    <c:v>#N/A</c:v>
                  </c:pt>
                  <c:pt idx="734">
                    <c:v>#N/A</c:v>
                  </c:pt>
                  <c:pt idx="735">
                    <c:v>#N/A</c:v>
                  </c:pt>
                  <c:pt idx="736">
                    <c:v>#N/A</c:v>
                  </c:pt>
                  <c:pt idx="737">
                    <c:v>#N/A</c:v>
                  </c:pt>
                  <c:pt idx="738">
                    <c:v>#N/A</c:v>
                  </c:pt>
                  <c:pt idx="739">
                    <c:v>#N/A</c:v>
                  </c:pt>
                  <c:pt idx="740">
                    <c:v>#N/A</c:v>
                  </c:pt>
                  <c:pt idx="741">
                    <c:v>#N/A</c:v>
                  </c:pt>
                  <c:pt idx="742">
                    <c:v>#N/A</c:v>
                  </c:pt>
                  <c:pt idx="743">
                    <c:v>#N/A</c:v>
                  </c:pt>
                  <c:pt idx="744">
                    <c:v>#N/A</c:v>
                  </c:pt>
                  <c:pt idx="745">
                    <c:v>#N/A</c:v>
                  </c:pt>
                  <c:pt idx="746">
                    <c:v>#N/A</c:v>
                  </c:pt>
                  <c:pt idx="747">
                    <c:v>#N/A</c:v>
                  </c:pt>
                  <c:pt idx="748">
                    <c:v>#N/A</c:v>
                  </c:pt>
                  <c:pt idx="749">
                    <c:v>#N/A</c:v>
                  </c:pt>
                  <c:pt idx="750">
                    <c:v>#N/A</c:v>
                  </c:pt>
                  <c:pt idx="751">
                    <c:v>#N/A</c:v>
                  </c:pt>
                  <c:pt idx="752">
                    <c:v>#N/A</c:v>
                  </c:pt>
                  <c:pt idx="753">
                    <c:v>#N/A</c:v>
                  </c:pt>
                  <c:pt idx="754">
                    <c:v>#N/A</c:v>
                  </c:pt>
                  <c:pt idx="755">
                    <c:v>#N/A</c:v>
                  </c:pt>
                  <c:pt idx="756">
                    <c:v>#N/A</c:v>
                  </c:pt>
                  <c:pt idx="757">
                    <c:v>#N/A</c:v>
                  </c:pt>
                  <c:pt idx="758">
                    <c:v>#N/A</c:v>
                  </c:pt>
                  <c:pt idx="759">
                    <c:v>#N/A</c:v>
                  </c:pt>
                  <c:pt idx="760">
                    <c:v>#N/A</c:v>
                  </c:pt>
                  <c:pt idx="761">
                    <c:v>#N/A</c:v>
                  </c:pt>
                  <c:pt idx="762">
                    <c:v>#N/A</c:v>
                  </c:pt>
                  <c:pt idx="763">
                    <c:v>#N/A</c:v>
                  </c:pt>
                  <c:pt idx="764">
                    <c:v>#N/A</c:v>
                  </c:pt>
                  <c:pt idx="765">
                    <c:v>#N/A</c:v>
                  </c:pt>
                  <c:pt idx="766">
                    <c:v>#N/A</c:v>
                  </c:pt>
                  <c:pt idx="767">
                    <c:v>#N/A</c:v>
                  </c:pt>
                  <c:pt idx="768">
                    <c:v>#N/A</c:v>
                  </c:pt>
                  <c:pt idx="769">
                    <c:v>#N/A</c:v>
                  </c:pt>
                  <c:pt idx="770">
                    <c:v>#N/A</c:v>
                  </c:pt>
                  <c:pt idx="771">
                    <c:v>#N/A</c:v>
                  </c:pt>
                  <c:pt idx="772">
                    <c:v>#N/A</c:v>
                  </c:pt>
                  <c:pt idx="773">
                    <c:v>#N/A</c:v>
                  </c:pt>
                  <c:pt idx="774">
                    <c:v>#N/A</c:v>
                  </c:pt>
                  <c:pt idx="775">
                    <c:v>#N/A</c:v>
                  </c:pt>
                  <c:pt idx="776">
                    <c:v>#N/A</c:v>
                  </c:pt>
                  <c:pt idx="777">
                    <c:v>#N/A</c:v>
                  </c:pt>
                  <c:pt idx="778">
                    <c:v>#N/A</c:v>
                  </c:pt>
                  <c:pt idx="779">
                    <c:v>#N/A</c:v>
                  </c:pt>
                  <c:pt idx="780">
                    <c:v>#N/A</c:v>
                  </c:pt>
                  <c:pt idx="781">
                    <c:v>#N/A</c:v>
                  </c:pt>
                  <c:pt idx="782">
                    <c:v>#N/A</c:v>
                  </c:pt>
                  <c:pt idx="783">
                    <c:v>#N/A</c:v>
                  </c:pt>
                  <c:pt idx="784">
                    <c:v>#N/A</c:v>
                  </c:pt>
                  <c:pt idx="785">
                    <c:v>#N/A</c:v>
                  </c:pt>
                  <c:pt idx="786">
                    <c:v>#N/A</c:v>
                  </c:pt>
                  <c:pt idx="787">
                    <c:v>#N/A</c:v>
                  </c:pt>
                  <c:pt idx="788">
                    <c:v>#N/A</c:v>
                  </c:pt>
                  <c:pt idx="789">
                    <c:v>#N/A</c:v>
                  </c:pt>
                  <c:pt idx="790">
                    <c:v>#N/A</c:v>
                  </c:pt>
                  <c:pt idx="791">
                    <c:v>#N/A</c:v>
                  </c:pt>
                  <c:pt idx="792">
                    <c:v>#N/A</c:v>
                  </c:pt>
                  <c:pt idx="793">
                    <c:v>#N/A</c:v>
                  </c:pt>
                  <c:pt idx="794">
                    <c:v>#N/A</c:v>
                  </c:pt>
                  <c:pt idx="795">
                    <c:v>#N/A</c:v>
                  </c:pt>
                  <c:pt idx="796">
                    <c:v>#N/A</c:v>
                  </c:pt>
                  <c:pt idx="797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C00000"/>
                </a:solidFill>
                <a:prstDash val="sysDot"/>
                <a:round/>
              </a:ln>
              <a:effectLst/>
            </c:spPr>
          </c:errBars>
          <c:xVal>
            <c:numRef>
              <c:f>'Лист1 (3)'!$Q$3:$Q$803</c:f>
              <c:numCache>
                <c:formatCode>General</c:formatCode>
                <c:ptCount val="801"/>
                <c:pt idx="0">
                  <c:v>-4</c:v>
                </c:pt>
                <c:pt idx="1">
                  <c:v>-3.99</c:v>
                </c:pt>
                <c:pt idx="2">
                  <c:v>-3.98</c:v>
                </c:pt>
                <c:pt idx="3">
                  <c:v>-3.97</c:v>
                </c:pt>
                <c:pt idx="4">
                  <c:v>-3.96</c:v>
                </c:pt>
                <c:pt idx="5">
                  <c:v>-3.95</c:v>
                </c:pt>
                <c:pt idx="6">
                  <c:v>-3.94</c:v>
                </c:pt>
                <c:pt idx="7">
                  <c:v>-3.93</c:v>
                </c:pt>
                <c:pt idx="8">
                  <c:v>-3.92</c:v>
                </c:pt>
                <c:pt idx="9">
                  <c:v>-3.91</c:v>
                </c:pt>
                <c:pt idx="10">
                  <c:v>-3.9</c:v>
                </c:pt>
                <c:pt idx="11">
                  <c:v>-3.89</c:v>
                </c:pt>
                <c:pt idx="12">
                  <c:v>-3.88</c:v>
                </c:pt>
                <c:pt idx="13">
                  <c:v>-3.87</c:v>
                </c:pt>
                <c:pt idx="14">
                  <c:v>-3.86</c:v>
                </c:pt>
                <c:pt idx="15">
                  <c:v>-3.85</c:v>
                </c:pt>
                <c:pt idx="16">
                  <c:v>-3.84</c:v>
                </c:pt>
                <c:pt idx="17">
                  <c:v>-3.83</c:v>
                </c:pt>
                <c:pt idx="18">
                  <c:v>-3.82</c:v>
                </c:pt>
                <c:pt idx="19">
                  <c:v>-3.81</c:v>
                </c:pt>
                <c:pt idx="20">
                  <c:v>-3.8</c:v>
                </c:pt>
                <c:pt idx="21">
                  <c:v>-3.79</c:v>
                </c:pt>
                <c:pt idx="22">
                  <c:v>-3.78</c:v>
                </c:pt>
                <c:pt idx="23">
                  <c:v>-3.77</c:v>
                </c:pt>
                <c:pt idx="24">
                  <c:v>-3.76</c:v>
                </c:pt>
                <c:pt idx="25">
                  <c:v>-3.75</c:v>
                </c:pt>
                <c:pt idx="26">
                  <c:v>-3.74</c:v>
                </c:pt>
                <c:pt idx="27">
                  <c:v>-3.73</c:v>
                </c:pt>
                <c:pt idx="28">
                  <c:v>-3.72</c:v>
                </c:pt>
                <c:pt idx="29">
                  <c:v>-3.71</c:v>
                </c:pt>
                <c:pt idx="30">
                  <c:v>-3.7</c:v>
                </c:pt>
                <c:pt idx="31">
                  <c:v>-3.69</c:v>
                </c:pt>
                <c:pt idx="32">
                  <c:v>-3.68</c:v>
                </c:pt>
                <c:pt idx="33">
                  <c:v>-3.67</c:v>
                </c:pt>
                <c:pt idx="34">
                  <c:v>-3.66</c:v>
                </c:pt>
                <c:pt idx="35">
                  <c:v>-3.65</c:v>
                </c:pt>
                <c:pt idx="36">
                  <c:v>-3.64</c:v>
                </c:pt>
                <c:pt idx="37">
                  <c:v>-3.63</c:v>
                </c:pt>
                <c:pt idx="38">
                  <c:v>-3.62</c:v>
                </c:pt>
                <c:pt idx="39">
                  <c:v>-3.61</c:v>
                </c:pt>
                <c:pt idx="40">
                  <c:v>-3.6</c:v>
                </c:pt>
                <c:pt idx="41">
                  <c:v>-3.59</c:v>
                </c:pt>
                <c:pt idx="42">
                  <c:v>-3.58</c:v>
                </c:pt>
                <c:pt idx="43">
                  <c:v>-3.57</c:v>
                </c:pt>
                <c:pt idx="44">
                  <c:v>-3.56</c:v>
                </c:pt>
                <c:pt idx="45">
                  <c:v>-3.55</c:v>
                </c:pt>
                <c:pt idx="46">
                  <c:v>-3.54</c:v>
                </c:pt>
                <c:pt idx="47">
                  <c:v>-3.53</c:v>
                </c:pt>
                <c:pt idx="48">
                  <c:v>-3.52</c:v>
                </c:pt>
                <c:pt idx="49">
                  <c:v>-3.51</c:v>
                </c:pt>
                <c:pt idx="50">
                  <c:v>-3.5</c:v>
                </c:pt>
                <c:pt idx="51">
                  <c:v>-3.49</c:v>
                </c:pt>
                <c:pt idx="52">
                  <c:v>-3.48</c:v>
                </c:pt>
                <c:pt idx="53">
                  <c:v>-3.47</c:v>
                </c:pt>
                <c:pt idx="54">
                  <c:v>-3.46</c:v>
                </c:pt>
                <c:pt idx="55">
                  <c:v>-3.45</c:v>
                </c:pt>
                <c:pt idx="56">
                  <c:v>-3.44</c:v>
                </c:pt>
                <c:pt idx="57">
                  <c:v>-3.43</c:v>
                </c:pt>
                <c:pt idx="58">
                  <c:v>-3.42</c:v>
                </c:pt>
                <c:pt idx="59">
                  <c:v>-3.41</c:v>
                </c:pt>
                <c:pt idx="60">
                  <c:v>-3.4</c:v>
                </c:pt>
                <c:pt idx="61">
                  <c:v>-3.39</c:v>
                </c:pt>
                <c:pt idx="62">
                  <c:v>-3.38</c:v>
                </c:pt>
                <c:pt idx="63">
                  <c:v>-3.37</c:v>
                </c:pt>
                <c:pt idx="64">
                  <c:v>-3.36</c:v>
                </c:pt>
                <c:pt idx="65">
                  <c:v>-3.35</c:v>
                </c:pt>
                <c:pt idx="66">
                  <c:v>-3.34</c:v>
                </c:pt>
                <c:pt idx="67">
                  <c:v>-3.33</c:v>
                </c:pt>
                <c:pt idx="68">
                  <c:v>-3.32</c:v>
                </c:pt>
                <c:pt idx="69">
                  <c:v>-3.31</c:v>
                </c:pt>
                <c:pt idx="70">
                  <c:v>-3.3</c:v>
                </c:pt>
                <c:pt idx="71">
                  <c:v>-3.29</c:v>
                </c:pt>
                <c:pt idx="72">
                  <c:v>-3.28</c:v>
                </c:pt>
                <c:pt idx="73">
                  <c:v>-3.27</c:v>
                </c:pt>
                <c:pt idx="74">
                  <c:v>-3.26</c:v>
                </c:pt>
                <c:pt idx="75">
                  <c:v>-3.25</c:v>
                </c:pt>
                <c:pt idx="76">
                  <c:v>-3.24</c:v>
                </c:pt>
                <c:pt idx="77">
                  <c:v>-3.23</c:v>
                </c:pt>
                <c:pt idx="78">
                  <c:v>-3.22</c:v>
                </c:pt>
                <c:pt idx="79">
                  <c:v>-3.21</c:v>
                </c:pt>
                <c:pt idx="80">
                  <c:v>-3.2</c:v>
                </c:pt>
                <c:pt idx="81">
                  <c:v>-3.19</c:v>
                </c:pt>
                <c:pt idx="82">
                  <c:v>-3.18</c:v>
                </c:pt>
                <c:pt idx="83">
                  <c:v>-3.17</c:v>
                </c:pt>
                <c:pt idx="84">
                  <c:v>-3.16</c:v>
                </c:pt>
                <c:pt idx="85">
                  <c:v>-3.15</c:v>
                </c:pt>
                <c:pt idx="86">
                  <c:v>-3.14</c:v>
                </c:pt>
                <c:pt idx="87">
                  <c:v>-3.13</c:v>
                </c:pt>
                <c:pt idx="88">
                  <c:v>-3.12</c:v>
                </c:pt>
                <c:pt idx="89">
                  <c:v>-3.11</c:v>
                </c:pt>
                <c:pt idx="90">
                  <c:v>-3.1</c:v>
                </c:pt>
                <c:pt idx="91">
                  <c:v>-3.09</c:v>
                </c:pt>
                <c:pt idx="92">
                  <c:v>-3.08</c:v>
                </c:pt>
                <c:pt idx="93">
                  <c:v>-3.07</c:v>
                </c:pt>
                <c:pt idx="94">
                  <c:v>-3.06</c:v>
                </c:pt>
                <c:pt idx="95">
                  <c:v>-3.05</c:v>
                </c:pt>
                <c:pt idx="96">
                  <c:v>-3.04</c:v>
                </c:pt>
                <c:pt idx="97">
                  <c:v>-3.03</c:v>
                </c:pt>
                <c:pt idx="98">
                  <c:v>-3.02</c:v>
                </c:pt>
                <c:pt idx="99">
                  <c:v>-3.01</c:v>
                </c:pt>
                <c:pt idx="100">
                  <c:v>-3</c:v>
                </c:pt>
                <c:pt idx="101">
                  <c:v>-2.99</c:v>
                </c:pt>
                <c:pt idx="102">
                  <c:v>-2.98</c:v>
                </c:pt>
                <c:pt idx="103">
                  <c:v>-2.97</c:v>
                </c:pt>
                <c:pt idx="104">
                  <c:v>-2.96</c:v>
                </c:pt>
                <c:pt idx="105">
                  <c:v>-2.95</c:v>
                </c:pt>
                <c:pt idx="106">
                  <c:v>-2.94</c:v>
                </c:pt>
                <c:pt idx="107">
                  <c:v>-2.93</c:v>
                </c:pt>
                <c:pt idx="108">
                  <c:v>-2.92</c:v>
                </c:pt>
                <c:pt idx="109">
                  <c:v>-2.91</c:v>
                </c:pt>
                <c:pt idx="110">
                  <c:v>-2.9</c:v>
                </c:pt>
                <c:pt idx="111">
                  <c:v>-2.89</c:v>
                </c:pt>
                <c:pt idx="112">
                  <c:v>-2.88</c:v>
                </c:pt>
                <c:pt idx="113">
                  <c:v>-2.87</c:v>
                </c:pt>
                <c:pt idx="114">
                  <c:v>-2.86</c:v>
                </c:pt>
                <c:pt idx="115">
                  <c:v>-2.85</c:v>
                </c:pt>
                <c:pt idx="116">
                  <c:v>-2.84</c:v>
                </c:pt>
                <c:pt idx="117">
                  <c:v>-2.83</c:v>
                </c:pt>
                <c:pt idx="118">
                  <c:v>-2.82</c:v>
                </c:pt>
                <c:pt idx="119">
                  <c:v>-2.81</c:v>
                </c:pt>
                <c:pt idx="120">
                  <c:v>-2.8</c:v>
                </c:pt>
                <c:pt idx="121">
                  <c:v>-2.79</c:v>
                </c:pt>
                <c:pt idx="122">
                  <c:v>-2.78</c:v>
                </c:pt>
                <c:pt idx="123">
                  <c:v>-2.77</c:v>
                </c:pt>
                <c:pt idx="124">
                  <c:v>-2.76</c:v>
                </c:pt>
                <c:pt idx="125">
                  <c:v>-2.75</c:v>
                </c:pt>
                <c:pt idx="126">
                  <c:v>-2.74</c:v>
                </c:pt>
                <c:pt idx="127">
                  <c:v>-2.73</c:v>
                </c:pt>
                <c:pt idx="128">
                  <c:v>-2.72</c:v>
                </c:pt>
                <c:pt idx="129">
                  <c:v>-2.71</c:v>
                </c:pt>
                <c:pt idx="130">
                  <c:v>-2.7</c:v>
                </c:pt>
                <c:pt idx="131">
                  <c:v>-2.69</c:v>
                </c:pt>
                <c:pt idx="132">
                  <c:v>-2.68</c:v>
                </c:pt>
                <c:pt idx="133">
                  <c:v>-2.67</c:v>
                </c:pt>
                <c:pt idx="134">
                  <c:v>-2.66</c:v>
                </c:pt>
                <c:pt idx="135">
                  <c:v>-2.65</c:v>
                </c:pt>
                <c:pt idx="136">
                  <c:v>-2.64</c:v>
                </c:pt>
                <c:pt idx="137">
                  <c:v>-2.63</c:v>
                </c:pt>
                <c:pt idx="138">
                  <c:v>-2.62</c:v>
                </c:pt>
                <c:pt idx="139">
                  <c:v>-2.61</c:v>
                </c:pt>
                <c:pt idx="140">
                  <c:v>-2.6</c:v>
                </c:pt>
                <c:pt idx="141">
                  <c:v>-2.59</c:v>
                </c:pt>
                <c:pt idx="142">
                  <c:v>-2.58</c:v>
                </c:pt>
                <c:pt idx="143">
                  <c:v>-2.57</c:v>
                </c:pt>
                <c:pt idx="144">
                  <c:v>-2.56</c:v>
                </c:pt>
                <c:pt idx="145">
                  <c:v>-2.5499999999999998</c:v>
                </c:pt>
                <c:pt idx="146">
                  <c:v>-2.54</c:v>
                </c:pt>
                <c:pt idx="147">
                  <c:v>-2.5299999999999998</c:v>
                </c:pt>
                <c:pt idx="148">
                  <c:v>-2.52</c:v>
                </c:pt>
                <c:pt idx="149">
                  <c:v>-2.5099999999999998</c:v>
                </c:pt>
                <c:pt idx="150">
                  <c:v>-2.5</c:v>
                </c:pt>
                <c:pt idx="151">
                  <c:v>-2.4900000000000002</c:v>
                </c:pt>
                <c:pt idx="152">
                  <c:v>-2.48</c:v>
                </c:pt>
                <c:pt idx="153">
                  <c:v>-2.4700000000000002</c:v>
                </c:pt>
                <c:pt idx="154">
                  <c:v>-2.46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-2.4300000000000002</c:v>
                </c:pt>
                <c:pt idx="158">
                  <c:v>-2.42</c:v>
                </c:pt>
                <c:pt idx="159">
                  <c:v>-2.41</c:v>
                </c:pt>
                <c:pt idx="160">
                  <c:v>-2.4</c:v>
                </c:pt>
                <c:pt idx="161">
                  <c:v>-2.39</c:v>
                </c:pt>
                <c:pt idx="162">
                  <c:v>-2.38</c:v>
                </c:pt>
                <c:pt idx="163">
                  <c:v>-2.37</c:v>
                </c:pt>
                <c:pt idx="164">
                  <c:v>-2.36</c:v>
                </c:pt>
                <c:pt idx="165">
                  <c:v>-2.35</c:v>
                </c:pt>
                <c:pt idx="166">
                  <c:v>-2.34</c:v>
                </c:pt>
                <c:pt idx="167">
                  <c:v>-2.33</c:v>
                </c:pt>
                <c:pt idx="168">
                  <c:v>-2.3199999999999998</c:v>
                </c:pt>
                <c:pt idx="169">
                  <c:v>-2.31</c:v>
                </c:pt>
                <c:pt idx="170">
                  <c:v>-2.2999999999999998</c:v>
                </c:pt>
                <c:pt idx="171">
                  <c:v>-2.29</c:v>
                </c:pt>
                <c:pt idx="172">
                  <c:v>-2.2799999999999998</c:v>
                </c:pt>
                <c:pt idx="173">
                  <c:v>-2.27</c:v>
                </c:pt>
                <c:pt idx="174">
                  <c:v>-2.2599999999999998</c:v>
                </c:pt>
                <c:pt idx="175">
                  <c:v>-2.25</c:v>
                </c:pt>
                <c:pt idx="176">
                  <c:v>-2.2400000000000002</c:v>
                </c:pt>
                <c:pt idx="177">
                  <c:v>-2.23</c:v>
                </c:pt>
                <c:pt idx="178">
                  <c:v>-2.2200000000000002</c:v>
                </c:pt>
                <c:pt idx="179">
                  <c:v>-2.21</c:v>
                </c:pt>
                <c:pt idx="180">
                  <c:v>-2.2000000000000002</c:v>
                </c:pt>
                <c:pt idx="181">
                  <c:v>-2.19</c:v>
                </c:pt>
                <c:pt idx="182">
                  <c:v>-2.1800000000000002</c:v>
                </c:pt>
                <c:pt idx="183">
                  <c:v>-2.17</c:v>
                </c:pt>
                <c:pt idx="184">
                  <c:v>-2.16</c:v>
                </c:pt>
                <c:pt idx="185">
                  <c:v>-2.15</c:v>
                </c:pt>
                <c:pt idx="186">
                  <c:v>-2.14</c:v>
                </c:pt>
                <c:pt idx="187">
                  <c:v>-2.13</c:v>
                </c:pt>
                <c:pt idx="188">
                  <c:v>-2.12</c:v>
                </c:pt>
                <c:pt idx="189">
                  <c:v>-2.11</c:v>
                </c:pt>
                <c:pt idx="190">
                  <c:v>-2.1</c:v>
                </c:pt>
                <c:pt idx="191">
                  <c:v>-2.09</c:v>
                </c:pt>
                <c:pt idx="192">
                  <c:v>-2.08</c:v>
                </c:pt>
                <c:pt idx="193">
                  <c:v>-2.0699999999999998</c:v>
                </c:pt>
                <c:pt idx="194">
                  <c:v>-2.06</c:v>
                </c:pt>
                <c:pt idx="195">
                  <c:v>-2.0499999999999998</c:v>
                </c:pt>
                <c:pt idx="196">
                  <c:v>-2.04</c:v>
                </c:pt>
                <c:pt idx="197">
                  <c:v>-2.0299999999999998</c:v>
                </c:pt>
                <c:pt idx="198">
                  <c:v>-2.02</c:v>
                </c:pt>
                <c:pt idx="199">
                  <c:v>-2.0099999999999998</c:v>
                </c:pt>
                <c:pt idx="200">
                  <c:v>-2</c:v>
                </c:pt>
                <c:pt idx="201">
                  <c:v>-1.99</c:v>
                </c:pt>
                <c:pt idx="202">
                  <c:v>-1.98</c:v>
                </c:pt>
                <c:pt idx="203">
                  <c:v>-1.97</c:v>
                </c:pt>
                <c:pt idx="204">
                  <c:v>-1.96</c:v>
                </c:pt>
                <c:pt idx="205">
                  <c:v>-1.95</c:v>
                </c:pt>
                <c:pt idx="206">
                  <c:v>-1.94</c:v>
                </c:pt>
                <c:pt idx="207">
                  <c:v>-1.93</c:v>
                </c:pt>
                <c:pt idx="208">
                  <c:v>-1.92</c:v>
                </c:pt>
                <c:pt idx="209">
                  <c:v>-1.91</c:v>
                </c:pt>
                <c:pt idx="210">
                  <c:v>-1.9</c:v>
                </c:pt>
                <c:pt idx="211">
                  <c:v>-1.89</c:v>
                </c:pt>
                <c:pt idx="212">
                  <c:v>-1.88</c:v>
                </c:pt>
                <c:pt idx="213">
                  <c:v>-1.87</c:v>
                </c:pt>
                <c:pt idx="214">
                  <c:v>-1.86</c:v>
                </c:pt>
                <c:pt idx="215">
                  <c:v>-1.85</c:v>
                </c:pt>
                <c:pt idx="216">
                  <c:v>-1.84</c:v>
                </c:pt>
                <c:pt idx="217">
                  <c:v>-1.83</c:v>
                </c:pt>
                <c:pt idx="218">
                  <c:v>-1.82</c:v>
                </c:pt>
                <c:pt idx="219">
                  <c:v>-1.81</c:v>
                </c:pt>
                <c:pt idx="220">
                  <c:v>-1.8</c:v>
                </c:pt>
                <c:pt idx="221">
                  <c:v>-1.79</c:v>
                </c:pt>
                <c:pt idx="222">
                  <c:v>-1.78</c:v>
                </c:pt>
                <c:pt idx="223">
                  <c:v>-1.77</c:v>
                </c:pt>
                <c:pt idx="224">
                  <c:v>-1.76</c:v>
                </c:pt>
                <c:pt idx="225">
                  <c:v>-1.75</c:v>
                </c:pt>
                <c:pt idx="226">
                  <c:v>-1.74</c:v>
                </c:pt>
                <c:pt idx="227">
                  <c:v>-1.73</c:v>
                </c:pt>
                <c:pt idx="228">
                  <c:v>-1.72</c:v>
                </c:pt>
                <c:pt idx="229">
                  <c:v>-1.71</c:v>
                </c:pt>
                <c:pt idx="230">
                  <c:v>-1.7</c:v>
                </c:pt>
                <c:pt idx="231">
                  <c:v>-1.69</c:v>
                </c:pt>
                <c:pt idx="232">
                  <c:v>-1.68</c:v>
                </c:pt>
                <c:pt idx="233">
                  <c:v>-1.67</c:v>
                </c:pt>
                <c:pt idx="234">
                  <c:v>-1.66</c:v>
                </c:pt>
                <c:pt idx="235">
                  <c:v>-1.65</c:v>
                </c:pt>
                <c:pt idx="236">
                  <c:v>-1.64</c:v>
                </c:pt>
                <c:pt idx="237">
                  <c:v>-1.63</c:v>
                </c:pt>
                <c:pt idx="238">
                  <c:v>-1.62</c:v>
                </c:pt>
                <c:pt idx="239">
                  <c:v>-1.61</c:v>
                </c:pt>
                <c:pt idx="240">
                  <c:v>-1.6</c:v>
                </c:pt>
                <c:pt idx="241">
                  <c:v>-1.59</c:v>
                </c:pt>
                <c:pt idx="242">
                  <c:v>-1.58</c:v>
                </c:pt>
                <c:pt idx="243">
                  <c:v>-1.57</c:v>
                </c:pt>
                <c:pt idx="244">
                  <c:v>-1.56</c:v>
                </c:pt>
                <c:pt idx="245">
                  <c:v>-1.55</c:v>
                </c:pt>
                <c:pt idx="246">
                  <c:v>-1.54</c:v>
                </c:pt>
                <c:pt idx="247">
                  <c:v>-1.53</c:v>
                </c:pt>
                <c:pt idx="248">
                  <c:v>-1.52</c:v>
                </c:pt>
                <c:pt idx="249">
                  <c:v>-1.51</c:v>
                </c:pt>
                <c:pt idx="250">
                  <c:v>-1.5</c:v>
                </c:pt>
                <c:pt idx="251">
                  <c:v>-1.49</c:v>
                </c:pt>
                <c:pt idx="252">
                  <c:v>-1.48</c:v>
                </c:pt>
                <c:pt idx="253">
                  <c:v>-1.47</c:v>
                </c:pt>
                <c:pt idx="254">
                  <c:v>-1.46</c:v>
                </c:pt>
                <c:pt idx="255">
                  <c:v>-1.45</c:v>
                </c:pt>
                <c:pt idx="256">
                  <c:v>-1.44</c:v>
                </c:pt>
                <c:pt idx="257">
                  <c:v>-1.43</c:v>
                </c:pt>
                <c:pt idx="258">
                  <c:v>-1.42</c:v>
                </c:pt>
                <c:pt idx="259">
                  <c:v>-1.41</c:v>
                </c:pt>
                <c:pt idx="260">
                  <c:v>-1.4</c:v>
                </c:pt>
                <c:pt idx="261">
                  <c:v>-1.39</c:v>
                </c:pt>
                <c:pt idx="262">
                  <c:v>-1.38</c:v>
                </c:pt>
                <c:pt idx="263">
                  <c:v>-1.37</c:v>
                </c:pt>
                <c:pt idx="264">
                  <c:v>-1.36</c:v>
                </c:pt>
                <c:pt idx="265">
                  <c:v>-1.35</c:v>
                </c:pt>
                <c:pt idx="266">
                  <c:v>-1.34</c:v>
                </c:pt>
                <c:pt idx="267">
                  <c:v>-1.33</c:v>
                </c:pt>
                <c:pt idx="268">
                  <c:v>-1.32</c:v>
                </c:pt>
                <c:pt idx="269">
                  <c:v>-1.31</c:v>
                </c:pt>
                <c:pt idx="270">
                  <c:v>-1.3</c:v>
                </c:pt>
                <c:pt idx="271">
                  <c:v>-1.29</c:v>
                </c:pt>
                <c:pt idx="272">
                  <c:v>-1.28</c:v>
                </c:pt>
                <c:pt idx="273">
                  <c:v>-1.27</c:v>
                </c:pt>
                <c:pt idx="274">
                  <c:v>-1.26</c:v>
                </c:pt>
                <c:pt idx="275">
                  <c:v>-1.25</c:v>
                </c:pt>
                <c:pt idx="276">
                  <c:v>-1.24</c:v>
                </c:pt>
                <c:pt idx="277">
                  <c:v>-1.23</c:v>
                </c:pt>
                <c:pt idx="278">
                  <c:v>-1.22</c:v>
                </c:pt>
                <c:pt idx="279">
                  <c:v>-1.21</c:v>
                </c:pt>
                <c:pt idx="280">
                  <c:v>-1.2</c:v>
                </c:pt>
                <c:pt idx="281">
                  <c:v>-1.19</c:v>
                </c:pt>
                <c:pt idx="282">
                  <c:v>-1.18</c:v>
                </c:pt>
                <c:pt idx="283">
                  <c:v>-1.17</c:v>
                </c:pt>
                <c:pt idx="284">
                  <c:v>-1.1599999999999999</c:v>
                </c:pt>
                <c:pt idx="285">
                  <c:v>-1.1499999999999999</c:v>
                </c:pt>
                <c:pt idx="286">
                  <c:v>-1.1399999999999999</c:v>
                </c:pt>
                <c:pt idx="287">
                  <c:v>-1.1299999999999999</c:v>
                </c:pt>
                <c:pt idx="288">
                  <c:v>-1.1200000000000001</c:v>
                </c:pt>
                <c:pt idx="289">
                  <c:v>-1.1100000000000001</c:v>
                </c:pt>
                <c:pt idx="290">
                  <c:v>-1.1000000000000001</c:v>
                </c:pt>
                <c:pt idx="291">
                  <c:v>-1.0900000000000001</c:v>
                </c:pt>
                <c:pt idx="292">
                  <c:v>-1.08</c:v>
                </c:pt>
                <c:pt idx="293">
                  <c:v>-1.07</c:v>
                </c:pt>
                <c:pt idx="294">
                  <c:v>-1.06</c:v>
                </c:pt>
                <c:pt idx="295">
                  <c:v>-1.05</c:v>
                </c:pt>
                <c:pt idx="296">
                  <c:v>-1.04</c:v>
                </c:pt>
                <c:pt idx="297">
                  <c:v>-1.03</c:v>
                </c:pt>
                <c:pt idx="298">
                  <c:v>-1.02</c:v>
                </c:pt>
                <c:pt idx="299">
                  <c:v>-1.01</c:v>
                </c:pt>
                <c:pt idx="300">
                  <c:v>-1</c:v>
                </c:pt>
                <c:pt idx="301">
                  <c:v>-0.99</c:v>
                </c:pt>
                <c:pt idx="302">
                  <c:v>-0.98</c:v>
                </c:pt>
                <c:pt idx="303">
                  <c:v>-0.97</c:v>
                </c:pt>
                <c:pt idx="304">
                  <c:v>-0.96</c:v>
                </c:pt>
                <c:pt idx="305">
                  <c:v>-0.95</c:v>
                </c:pt>
                <c:pt idx="306">
                  <c:v>-0.94</c:v>
                </c:pt>
                <c:pt idx="307">
                  <c:v>-0.93</c:v>
                </c:pt>
                <c:pt idx="308">
                  <c:v>-0.92</c:v>
                </c:pt>
                <c:pt idx="309">
                  <c:v>-0.91</c:v>
                </c:pt>
                <c:pt idx="310">
                  <c:v>-0.9</c:v>
                </c:pt>
                <c:pt idx="311">
                  <c:v>-0.89</c:v>
                </c:pt>
                <c:pt idx="312">
                  <c:v>-0.88</c:v>
                </c:pt>
                <c:pt idx="313">
                  <c:v>-0.87</c:v>
                </c:pt>
                <c:pt idx="314">
                  <c:v>-0.86</c:v>
                </c:pt>
                <c:pt idx="315">
                  <c:v>-0.85</c:v>
                </c:pt>
                <c:pt idx="316">
                  <c:v>-0.84</c:v>
                </c:pt>
                <c:pt idx="317">
                  <c:v>-0.83</c:v>
                </c:pt>
                <c:pt idx="318">
                  <c:v>-0.82</c:v>
                </c:pt>
                <c:pt idx="319">
                  <c:v>-0.81</c:v>
                </c:pt>
                <c:pt idx="320">
                  <c:v>-0.8</c:v>
                </c:pt>
                <c:pt idx="321">
                  <c:v>-0.79</c:v>
                </c:pt>
                <c:pt idx="322">
                  <c:v>-0.78</c:v>
                </c:pt>
                <c:pt idx="323">
                  <c:v>-0.77</c:v>
                </c:pt>
                <c:pt idx="324">
                  <c:v>-0.76</c:v>
                </c:pt>
                <c:pt idx="325">
                  <c:v>-0.75</c:v>
                </c:pt>
                <c:pt idx="326">
                  <c:v>-0.74</c:v>
                </c:pt>
                <c:pt idx="327">
                  <c:v>-0.73</c:v>
                </c:pt>
                <c:pt idx="328">
                  <c:v>-0.72</c:v>
                </c:pt>
                <c:pt idx="329">
                  <c:v>-0.71</c:v>
                </c:pt>
                <c:pt idx="330">
                  <c:v>-0.7</c:v>
                </c:pt>
                <c:pt idx="331">
                  <c:v>-0.69</c:v>
                </c:pt>
                <c:pt idx="332">
                  <c:v>-0.68</c:v>
                </c:pt>
                <c:pt idx="333">
                  <c:v>-0.67</c:v>
                </c:pt>
                <c:pt idx="334">
                  <c:v>-0.66</c:v>
                </c:pt>
                <c:pt idx="335">
                  <c:v>-0.65</c:v>
                </c:pt>
                <c:pt idx="336">
                  <c:v>-0.64</c:v>
                </c:pt>
                <c:pt idx="337">
                  <c:v>-0.63</c:v>
                </c:pt>
                <c:pt idx="338">
                  <c:v>-0.62</c:v>
                </c:pt>
                <c:pt idx="339">
                  <c:v>-0.61</c:v>
                </c:pt>
                <c:pt idx="340">
                  <c:v>-0.6</c:v>
                </c:pt>
                <c:pt idx="341">
                  <c:v>-0.59</c:v>
                </c:pt>
                <c:pt idx="342">
                  <c:v>-0.57999999999999996</c:v>
                </c:pt>
                <c:pt idx="343">
                  <c:v>-0.56999999999999995</c:v>
                </c:pt>
                <c:pt idx="344">
                  <c:v>-0.56000000000000005</c:v>
                </c:pt>
                <c:pt idx="345">
                  <c:v>-0.55000000000000004</c:v>
                </c:pt>
                <c:pt idx="346">
                  <c:v>-0.54</c:v>
                </c:pt>
                <c:pt idx="347">
                  <c:v>-0.53</c:v>
                </c:pt>
                <c:pt idx="348">
                  <c:v>-0.52</c:v>
                </c:pt>
                <c:pt idx="349">
                  <c:v>-0.51</c:v>
                </c:pt>
                <c:pt idx="350">
                  <c:v>-0.5</c:v>
                </c:pt>
                <c:pt idx="351">
                  <c:v>-0.49</c:v>
                </c:pt>
                <c:pt idx="352">
                  <c:v>-0.48</c:v>
                </c:pt>
                <c:pt idx="353">
                  <c:v>-0.47</c:v>
                </c:pt>
                <c:pt idx="354">
                  <c:v>-0.46</c:v>
                </c:pt>
                <c:pt idx="355">
                  <c:v>-0.45</c:v>
                </c:pt>
                <c:pt idx="356">
                  <c:v>-0.44</c:v>
                </c:pt>
                <c:pt idx="357">
                  <c:v>-0.43</c:v>
                </c:pt>
                <c:pt idx="358">
                  <c:v>-0.42</c:v>
                </c:pt>
                <c:pt idx="359">
                  <c:v>-0.41</c:v>
                </c:pt>
                <c:pt idx="360">
                  <c:v>-0.4</c:v>
                </c:pt>
                <c:pt idx="361">
                  <c:v>-0.39</c:v>
                </c:pt>
                <c:pt idx="362">
                  <c:v>-0.38</c:v>
                </c:pt>
                <c:pt idx="363">
                  <c:v>-0.37</c:v>
                </c:pt>
                <c:pt idx="364">
                  <c:v>-0.36</c:v>
                </c:pt>
                <c:pt idx="365">
                  <c:v>-0.35</c:v>
                </c:pt>
                <c:pt idx="366">
                  <c:v>-0.34</c:v>
                </c:pt>
                <c:pt idx="367">
                  <c:v>-0.33</c:v>
                </c:pt>
                <c:pt idx="368">
                  <c:v>-0.32</c:v>
                </c:pt>
                <c:pt idx="369">
                  <c:v>-0.31</c:v>
                </c:pt>
                <c:pt idx="370">
                  <c:v>-0.3</c:v>
                </c:pt>
                <c:pt idx="371">
                  <c:v>-0.28999999999999998</c:v>
                </c:pt>
                <c:pt idx="372">
                  <c:v>-0.28000000000000003</c:v>
                </c:pt>
                <c:pt idx="373">
                  <c:v>-0.27</c:v>
                </c:pt>
                <c:pt idx="374">
                  <c:v>-0.26</c:v>
                </c:pt>
                <c:pt idx="375">
                  <c:v>-0.25</c:v>
                </c:pt>
                <c:pt idx="376">
                  <c:v>-0.24</c:v>
                </c:pt>
                <c:pt idx="377">
                  <c:v>-0.23</c:v>
                </c:pt>
                <c:pt idx="378">
                  <c:v>-0.22</c:v>
                </c:pt>
                <c:pt idx="379">
                  <c:v>-0.21</c:v>
                </c:pt>
                <c:pt idx="380">
                  <c:v>-0.2</c:v>
                </c:pt>
                <c:pt idx="381">
                  <c:v>-0.19</c:v>
                </c:pt>
                <c:pt idx="382">
                  <c:v>-0.18</c:v>
                </c:pt>
                <c:pt idx="383">
                  <c:v>-0.17</c:v>
                </c:pt>
                <c:pt idx="384">
                  <c:v>-0.16</c:v>
                </c:pt>
                <c:pt idx="385">
                  <c:v>-0.15</c:v>
                </c:pt>
                <c:pt idx="386">
                  <c:v>-0.14000000000000001</c:v>
                </c:pt>
                <c:pt idx="387">
                  <c:v>-0.13</c:v>
                </c:pt>
                <c:pt idx="388">
                  <c:v>-0.12</c:v>
                </c:pt>
                <c:pt idx="389">
                  <c:v>-0.11</c:v>
                </c:pt>
                <c:pt idx="390">
                  <c:v>-0.1</c:v>
                </c:pt>
                <c:pt idx="391">
                  <c:v>-0.09</c:v>
                </c:pt>
                <c:pt idx="392">
                  <c:v>-0.08</c:v>
                </c:pt>
                <c:pt idx="393">
                  <c:v>-7.0000000000000007E-2</c:v>
                </c:pt>
                <c:pt idx="394">
                  <c:v>-0.06</c:v>
                </c:pt>
                <c:pt idx="395">
                  <c:v>-0.05</c:v>
                </c:pt>
                <c:pt idx="396">
                  <c:v>-0.04</c:v>
                </c:pt>
                <c:pt idx="397">
                  <c:v>-0.03</c:v>
                </c:pt>
                <c:pt idx="398">
                  <c:v>-0.02</c:v>
                </c:pt>
                <c:pt idx="399">
                  <c:v>-0.01</c:v>
                </c:pt>
                <c:pt idx="400">
                  <c:v>0</c:v>
                </c:pt>
                <c:pt idx="401">
                  <c:v>0.01</c:v>
                </c:pt>
                <c:pt idx="402">
                  <c:v>0.02</c:v>
                </c:pt>
                <c:pt idx="403">
                  <c:v>0.03</c:v>
                </c:pt>
                <c:pt idx="404">
                  <c:v>0.04</c:v>
                </c:pt>
                <c:pt idx="405">
                  <c:v>0.05</c:v>
                </c:pt>
                <c:pt idx="406">
                  <c:v>0.06</c:v>
                </c:pt>
                <c:pt idx="407">
                  <c:v>7.0000000000000007E-2</c:v>
                </c:pt>
                <c:pt idx="408">
                  <c:v>0.08</c:v>
                </c:pt>
                <c:pt idx="409">
                  <c:v>0.09</c:v>
                </c:pt>
                <c:pt idx="410">
                  <c:v>0.1</c:v>
                </c:pt>
                <c:pt idx="411">
                  <c:v>0.11</c:v>
                </c:pt>
                <c:pt idx="412">
                  <c:v>0.12</c:v>
                </c:pt>
                <c:pt idx="413">
                  <c:v>0.13</c:v>
                </c:pt>
                <c:pt idx="414">
                  <c:v>0.14000000000000001</c:v>
                </c:pt>
                <c:pt idx="415">
                  <c:v>0.15</c:v>
                </c:pt>
                <c:pt idx="416">
                  <c:v>0.16</c:v>
                </c:pt>
                <c:pt idx="417">
                  <c:v>0.17</c:v>
                </c:pt>
                <c:pt idx="418">
                  <c:v>0.18</c:v>
                </c:pt>
                <c:pt idx="419">
                  <c:v>0.19</c:v>
                </c:pt>
                <c:pt idx="420">
                  <c:v>0.2</c:v>
                </c:pt>
                <c:pt idx="421">
                  <c:v>0.21</c:v>
                </c:pt>
                <c:pt idx="422">
                  <c:v>0.22</c:v>
                </c:pt>
                <c:pt idx="423">
                  <c:v>0.23</c:v>
                </c:pt>
                <c:pt idx="424">
                  <c:v>0.24</c:v>
                </c:pt>
                <c:pt idx="425">
                  <c:v>0.25</c:v>
                </c:pt>
                <c:pt idx="426">
                  <c:v>0.26</c:v>
                </c:pt>
                <c:pt idx="427">
                  <c:v>0.27</c:v>
                </c:pt>
                <c:pt idx="428">
                  <c:v>0.28000000000000003</c:v>
                </c:pt>
                <c:pt idx="429">
                  <c:v>0.28999999999999998</c:v>
                </c:pt>
                <c:pt idx="430">
                  <c:v>0.3</c:v>
                </c:pt>
                <c:pt idx="431">
                  <c:v>0.31</c:v>
                </c:pt>
                <c:pt idx="432">
                  <c:v>0.32</c:v>
                </c:pt>
                <c:pt idx="433">
                  <c:v>0.33</c:v>
                </c:pt>
                <c:pt idx="434">
                  <c:v>0.34</c:v>
                </c:pt>
                <c:pt idx="435">
                  <c:v>0.35</c:v>
                </c:pt>
                <c:pt idx="436">
                  <c:v>0.36</c:v>
                </c:pt>
                <c:pt idx="437">
                  <c:v>0.37</c:v>
                </c:pt>
                <c:pt idx="438">
                  <c:v>0.38</c:v>
                </c:pt>
                <c:pt idx="439">
                  <c:v>0.39</c:v>
                </c:pt>
                <c:pt idx="440">
                  <c:v>0.4</c:v>
                </c:pt>
                <c:pt idx="441">
                  <c:v>0.41</c:v>
                </c:pt>
                <c:pt idx="442">
                  <c:v>0.42</c:v>
                </c:pt>
                <c:pt idx="443">
                  <c:v>0.43</c:v>
                </c:pt>
                <c:pt idx="444">
                  <c:v>0.44</c:v>
                </c:pt>
                <c:pt idx="445">
                  <c:v>0.45</c:v>
                </c:pt>
                <c:pt idx="446">
                  <c:v>0.46</c:v>
                </c:pt>
                <c:pt idx="447">
                  <c:v>0.47</c:v>
                </c:pt>
                <c:pt idx="448">
                  <c:v>0.48</c:v>
                </c:pt>
                <c:pt idx="449">
                  <c:v>0.49</c:v>
                </c:pt>
                <c:pt idx="450">
                  <c:v>0.5</c:v>
                </c:pt>
                <c:pt idx="451">
                  <c:v>0.51</c:v>
                </c:pt>
                <c:pt idx="452">
                  <c:v>0.52</c:v>
                </c:pt>
                <c:pt idx="453">
                  <c:v>0.53</c:v>
                </c:pt>
                <c:pt idx="454">
                  <c:v>0.54</c:v>
                </c:pt>
                <c:pt idx="455">
                  <c:v>0.55000000000000004</c:v>
                </c:pt>
                <c:pt idx="456">
                  <c:v>0.56000000000000005</c:v>
                </c:pt>
                <c:pt idx="457">
                  <c:v>0.56999999999999995</c:v>
                </c:pt>
                <c:pt idx="458">
                  <c:v>0.57999999999999996</c:v>
                </c:pt>
                <c:pt idx="459">
                  <c:v>0.59</c:v>
                </c:pt>
                <c:pt idx="460">
                  <c:v>0.6</c:v>
                </c:pt>
                <c:pt idx="461">
                  <c:v>0.61</c:v>
                </c:pt>
                <c:pt idx="462">
                  <c:v>0.62</c:v>
                </c:pt>
                <c:pt idx="463">
                  <c:v>0.63</c:v>
                </c:pt>
                <c:pt idx="464">
                  <c:v>0.64</c:v>
                </c:pt>
                <c:pt idx="465">
                  <c:v>0.65</c:v>
                </c:pt>
                <c:pt idx="466">
                  <c:v>0.66</c:v>
                </c:pt>
                <c:pt idx="467">
                  <c:v>0.67</c:v>
                </c:pt>
                <c:pt idx="468">
                  <c:v>0.68</c:v>
                </c:pt>
                <c:pt idx="469">
                  <c:v>0.69</c:v>
                </c:pt>
                <c:pt idx="470">
                  <c:v>0.7</c:v>
                </c:pt>
                <c:pt idx="471">
                  <c:v>0.71</c:v>
                </c:pt>
                <c:pt idx="472">
                  <c:v>0.72</c:v>
                </c:pt>
                <c:pt idx="473">
                  <c:v>0.73</c:v>
                </c:pt>
                <c:pt idx="474">
                  <c:v>0.74</c:v>
                </c:pt>
                <c:pt idx="475">
                  <c:v>0.75</c:v>
                </c:pt>
                <c:pt idx="476">
                  <c:v>0.76</c:v>
                </c:pt>
                <c:pt idx="477">
                  <c:v>0.77</c:v>
                </c:pt>
                <c:pt idx="478">
                  <c:v>0.78</c:v>
                </c:pt>
                <c:pt idx="479">
                  <c:v>0.79</c:v>
                </c:pt>
                <c:pt idx="480">
                  <c:v>0.8</c:v>
                </c:pt>
                <c:pt idx="481">
                  <c:v>0.81</c:v>
                </c:pt>
                <c:pt idx="482">
                  <c:v>0.82</c:v>
                </c:pt>
                <c:pt idx="483">
                  <c:v>0.83</c:v>
                </c:pt>
                <c:pt idx="484">
                  <c:v>0.84</c:v>
                </c:pt>
                <c:pt idx="485">
                  <c:v>0.85</c:v>
                </c:pt>
                <c:pt idx="486">
                  <c:v>0.86</c:v>
                </c:pt>
                <c:pt idx="487">
                  <c:v>0.87</c:v>
                </c:pt>
                <c:pt idx="488">
                  <c:v>0.88</c:v>
                </c:pt>
                <c:pt idx="489">
                  <c:v>0.89</c:v>
                </c:pt>
                <c:pt idx="490">
                  <c:v>0.9</c:v>
                </c:pt>
                <c:pt idx="491">
                  <c:v>0.91</c:v>
                </c:pt>
                <c:pt idx="492">
                  <c:v>0.92</c:v>
                </c:pt>
                <c:pt idx="493">
                  <c:v>0.93</c:v>
                </c:pt>
                <c:pt idx="494">
                  <c:v>0.94</c:v>
                </c:pt>
                <c:pt idx="495">
                  <c:v>0.95</c:v>
                </c:pt>
                <c:pt idx="496">
                  <c:v>0.96</c:v>
                </c:pt>
                <c:pt idx="497">
                  <c:v>0.97</c:v>
                </c:pt>
                <c:pt idx="498">
                  <c:v>0.98</c:v>
                </c:pt>
                <c:pt idx="499">
                  <c:v>0.99</c:v>
                </c:pt>
                <c:pt idx="500">
                  <c:v>1</c:v>
                </c:pt>
                <c:pt idx="501">
                  <c:v>1.01</c:v>
                </c:pt>
                <c:pt idx="502">
                  <c:v>1.02</c:v>
                </c:pt>
                <c:pt idx="503">
                  <c:v>1.03</c:v>
                </c:pt>
                <c:pt idx="504">
                  <c:v>1.04</c:v>
                </c:pt>
                <c:pt idx="505">
                  <c:v>1.05</c:v>
                </c:pt>
                <c:pt idx="506">
                  <c:v>1.06</c:v>
                </c:pt>
                <c:pt idx="507">
                  <c:v>1.07</c:v>
                </c:pt>
                <c:pt idx="508">
                  <c:v>1.08</c:v>
                </c:pt>
                <c:pt idx="509">
                  <c:v>1.0900000000000001</c:v>
                </c:pt>
                <c:pt idx="510">
                  <c:v>1.1000000000000001</c:v>
                </c:pt>
                <c:pt idx="511">
                  <c:v>1.1100000000000001</c:v>
                </c:pt>
                <c:pt idx="512">
                  <c:v>1.1200000000000001</c:v>
                </c:pt>
                <c:pt idx="513">
                  <c:v>1.1299999999999999</c:v>
                </c:pt>
                <c:pt idx="514">
                  <c:v>1.1399999999999999</c:v>
                </c:pt>
                <c:pt idx="515">
                  <c:v>1.1499999999999999</c:v>
                </c:pt>
                <c:pt idx="516">
                  <c:v>1.1599999999999999</c:v>
                </c:pt>
                <c:pt idx="517">
                  <c:v>1.17</c:v>
                </c:pt>
                <c:pt idx="518">
                  <c:v>1.18</c:v>
                </c:pt>
                <c:pt idx="519">
                  <c:v>1.19</c:v>
                </c:pt>
                <c:pt idx="520">
                  <c:v>1.2</c:v>
                </c:pt>
                <c:pt idx="521">
                  <c:v>1.21</c:v>
                </c:pt>
                <c:pt idx="522">
                  <c:v>1.22</c:v>
                </c:pt>
                <c:pt idx="523">
                  <c:v>1.23</c:v>
                </c:pt>
                <c:pt idx="524">
                  <c:v>1.24</c:v>
                </c:pt>
                <c:pt idx="525">
                  <c:v>1.25</c:v>
                </c:pt>
                <c:pt idx="526">
                  <c:v>1.26</c:v>
                </c:pt>
                <c:pt idx="527">
                  <c:v>1.27</c:v>
                </c:pt>
                <c:pt idx="528">
                  <c:v>1.28</c:v>
                </c:pt>
                <c:pt idx="529">
                  <c:v>1.29</c:v>
                </c:pt>
                <c:pt idx="530">
                  <c:v>1.3</c:v>
                </c:pt>
                <c:pt idx="531">
                  <c:v>1.31</c:v>
                </c:pt>
                <c:pt idx="532">
                  <c:v>1.32</c:v>
                </c:pt>
                <c:pt idx="533">
                  <c:v>1.33</c:v>
                </c:pt>
                <c:pt idx="534">
                  <c:v>1.34</c:v>
                </c:pt>
                <c:pt idx="535">
                  <c:v>1.35</c:v>
                </c:pt>
                <c:pt idx="536">
                  <c:v>1.36</c:v>
                </c:pt>
                <c:pt idx="537">
                  <c:v>1.37</c:v>
                </c:pt>
                <c:pt idx="538">
                  <c:v>1.38</c:v>
                </c:pt>
                <c:pt idx="539">
                  <c:v>1.39</c:v>
                </c:pt>
                <c:pt idx="540">
                  <c:v>1.4</c:v>
                </c:pt>
                <c:pt idx="541">
                  <c:v>1.41</c:v>
                </c:pt>
                <c:pt idx="542">
                  <c:v>1.42</c:v>
                </c:pt>
                <c:pt idx="543">
                  <c:v>1.43</c:v>
                </c:pt>
                <c:pt idx="544">
                  <c:v>1.44</c:v>
                </c:pt>
                <c:pt idx="545">
                  <c:v>1.45</c:v>
                </c:pt>
                <c:pt idx="546">
                  <c:v>1.46</c:v>
                </c:pt>
                <c:pt idx="547">
                  <c:v>1.47</c:v>
                </c:pt>
                <c:pt idx="548">
                  <c:v>1.48</c:v>
                </c:pt>
                <c:pt idx="549">
                  <c:v>1.49</c:v>
                </c:pt>
                <c:pt idx="550">
                  <c:v>1.5</c:v>
                </c:pt>
                <c:pt idx="551">
                  <c:v>1.51</c:v>
                </c:pt>
                <c:pt idx="552">
                  <c:v>1.52</c:v>
                </c:pt>
                <c:pt idx="553">
                  <c:v>1.53</c:v>
                </c:pt>
                <c:pt idx="554">
                  <c:v>1.54</c:v>
                </c:pt>
                <c:pt idx="555">
                  <c:v>1.55</c:v>
                </c:pt>
                <c:pt idx="556">
                  <c:v>1.56</c:v>
                </c:pt>
                <c:pt idx="557">
                  <c:v>1.57</c:v>
                </c:pt>
                <c:pt idx="558">
                  <c:v>1.58</c:v>
                </c:pt>
                <c:pt idx="559">
                  <c:v>1.59</c:v>
                </c:pt>
                <c:pt idx="560">
                  <c:v>1.6</c:v>
                </c:pt>
                <c:pt idx="561">
                  <c:v>1.61</c:v>
                </c:pt>
                <c:pt idx="562">
                  <c:v>1.62</c:v>
                </c:pt>
                <c:pt idx="563">
                  <c:v>1.63</c:v>
                </c:pt>
                <c:pt idx="564">
                  <c:v>1.64</c:v>
                </c:pt>
                <c:pt idx="565">
                  <c:v>1.65</c:v>
                </c:pt>
                <c:pt idx="566">
                  <c:v>1.66</c:v>
                </c:pt>
                <c:pt idx="567">
                  <c:v>1.67</c:v>
                </c:pt>
                <c:pt idx="568">
                  <c:v>1.68</c:v>
                </c:pt>
                <c:pt idx="569">
                  <c:v>1.69</c:v>
                </c:pt>
                <c:pt idx="570">
                  <c:v>1.7</c:v>
                </c:pt>
                <c:pt idx="571">
                  <c:v>1.71</c:v>
                </c:pt>
                <c:pt idx="572">
                  <c:v>1.72</c:v>
                </c:pt>
                <c:pt idx="573">
                  <c:v>1.73</c:v>
                </c:pt>
                <c:pt idx="574">
                  <c:v>1.74</c:v>
                </c:pt>
                <c:pt idx="575">
                  <c:v>1.75</c:v>
                </c:pt>
                <c:pt idx="576">
                  <c:v>1.76</c:v>
                </c:pt>
                <c:pt idx="577">
                  <c:v>1.77</c:v>
                </c:pt>
                <c:pt idx="578">
                  <c:v>1.78</c:v>
                </c:pt>
                <c:pt idx="579">
                  <c:v>1.79</c:v>
                </c:pt>
                <c:pt idx="580">
                  <c:v>1.8</c:v>
                </c:pt>
                <c:pt idx="581">
                  <c:v>1.81</c:v>
                </c:pt>
                <c:pt idx="582">
                  <c:v>1.82</c:v>
                </c:pt>
                <c:pt idx="583">
                  <c:v>1.83</c:v>
                </c:pt>
                <c:pt idx="584">
                  <c:v>1.84</c:v>
                </c:pt>
                <c:pt idx="585">
                  <c:v>1.85</c:v>
                </c:pt>
                <c:pt idx="586">
                  <c:v>1.86</c:v>
                </c:pt>
                <c:pt idx="587">
                  <c:v>1.87</c:v>
                </c:pt>
                <c:pt idx="588">
                  <c:v>1.88</c:v>
                </c:pt>
                <c:pt idx="589">
                  <c:v>1.89</c:v>
                </c:pt>
                <c:pt idx="590">
                  <c:v>1.9</c:v>
                </c:pt>
                <c:pt idx="591">
                  <c:v>1.91</c:v>
                </c:pt>
                <c:pt idx="592">
                  <c:v>1.92</c:v>
                </c:pt>
                <c:pt idx="593">
                  <c:v>1.93</c:v>
                </c:pt>
                <c:pt idx="594">
                  <c:v>1.94</c:v>
                </c:pt>
                <c:pt idx="595">
                  <c:v>1.95</c:v>
                </c:pt>
                <c:pt idx="596">
                  <c:v>1.96</c:v>
                </c:pt>
                <c:pt idx="597">
                  <c:v>1.97</c:v>
                </c:pt>
                <c:pt idx="598">
                  <c:v>1.98</c:v>
                </c:pt>
                <c:pt idx="599">
                  <c:v>1.99</c:v>
                </c:pt>
                <c:pt idx="600">
                  <c:v>2</c:v>
                </c:pt>
                <c:pt idx="601">
                  <c:v>2.0099999999999998</c:v>
                </c:pt>
                <c:pt idx="602">
                  <c:v>2.02</c:v>
                </c:pt>
                <c:pt idx="603">
                  <c:v>2.0299999999999998</c:v>
                </c:pt>
                <c:pt idx="604">
                  <c:v>2.04</c:v>
                </c:pt>
                <c:pt idx="605">
                  <c:v>2.0499999999999998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2.09</c:v>
                </c:pt>
                <c:pt idx="610">
                  <c:v>2.1</c:v>
                </c:pt>
                <c:pt idx="611">
                  <c:v>2.11</c:v>
                </c:pt>
                <c:pt idx="612">
                  <c:v>2.12</c:v>
                </c:pt>
                <c:pt idx="613">
                  <c:v>2.13</c:v>
                </c:pt>
                <c:pt idx="614">
                  <c:v>2.14</c:v>
                </c:pt>
                <c:pt idx="615">
                  <c:v>2.15</c:v>
                </c:pt>
                <c:pt idx="616">
                  <c:v>2.16</c:v>
                </c:pt>
                <c:pt idx="617">
                  <c:v>2.17</c:v>
                </c:pt>
                <c:pt idx="618">
                  <c:v>2.1800000000000002</c:v>
                </c:pt>
                <c:pt idx="619">
                  <c:v>2.19</c:v>
                </c:pt>
                <c:pt idx="620">
                  <c:v>2.2000000000000002</c:v>
                </c:pt>
                <c:pt idx="621">
                  <c:v>2.21</c:v>
                </c:pt>
                <c:pt idx="622">
                  <c:v>2.2200000000000002</c:v>
                </c:pt>
                <c:pt idx="623">
                  <c:v>2.23</c:v>
                </c:pt>
                <c:pt idx="624">
                  <c:v>2.2400000000000002</c:v>
                </c:pt>
                <c:pt idx="625">
                  <c:v>2.25</c:v>
                </c:pt>
                <c:pt idx="626">
                  <c:v>2.2599999999999998</c:v>
                </c:pt>
                <c:pt idx="627">
                  <c:v>2.27</c:v>
                </c:pt>
                <c:pt idx="628">
                  <c:v>2.2799999999999998</c:v>
                </c:pt>
                <c:pt idx="629">
                  <c:v>2.29</c:v>
                </c:pt>
                <c:pt idx="630">
                  <c:v>2.2999999999999998</c:v>
                </c:pt>
                <c:pt idx="631">
                  <c:v>2.31</c:v>
                </c:pt>
                <c:pt idx="632">
                  <c:v>2.3199999999999998</c:v>
                </c:pt>
                <c:pt idx="633">
                  <c:v>2.33</c:v>
                </c:pt>
                <c:pt idx="634">
                  <c:v>2.34</c:v>
                </c:pt>
                <c:pt idx="635">
                  <c:v>2.35</c:v>
                </c:pt>
                <c:pt idx="636">
                  <c:v>2.36</c:v>
                </c:pt>
                <c:pt idx="637">
                  <c:v>2.37</c:v>
                </c:pt>
                <c:pt idx="638">
                  <c:v>2.38</c:v>
                </c:pt>
                <c:pt idx="639">
                  <c:v>2.39</c:v>
                </c:pt>
                <c:pt idx="640">
                  <c:v>2.4</c:v>
                </c:pt>
                <c:pt idx="641">
                  <c:v>2.41</c:v>
                </c:pt>
                <c:pt idx="642">
                  <c:v>2.42</c:v>
                </c:pt>
                <c:pt idx="643">
                  <c:v>2.4300000000000002</c:v>
                </c:pt>
                <c:pt idx="644">
                  <c:v>2.44</c:v>
                </c:pt>
                <c:pt idx="645">
                  <c:v>2.4500000000000002</c:v>
                </c:pt>
                <c:pt idx="646">
                  <c:v>2.46</c:v>
                </c:pt>
                <c:pt idx="647">
                  <c:v>2.4700000000000002</c:v>
                </c:pt>
                <c:pt idx="648">
                  <c:v>2.48</c:v>
                </c:pt>
                <c:pt idx="649">
                  <c:v>2.4900000000000002</c:v>
                </c:pt>
                <c:pt idx="650">
                  <c:v>2.5</c:v>
                </c:pt>
                <c:pt idx="651">
                  <c:v>2.5099999999999998</c:v>
                </c:pt>
                <c:pt idx="652">
                  <c:v>2.52</c:v>
                </c:pt>
                <c:pt idx="653">
                  <c:v>2.5299999999999998</c:v>
                </c:pt>
                <c:pt idx="654">
                  <c:v>2.54</c:v>
                </c:pt>
                <c:pt idx="655">
                  <c:v>2.5499999999999998</c:v>
                </c:pt>
                <c:pt idx="656">
                  <c:v>2.56</c:v>
                </c:pt>
                <c:pt idx="657">
                  <c:v>2.57</c:v>
                </c:pt>
                <c:pt idx="658">
                  <c:v>2.58</c:v>
                </c:pt>
                <c:pt idx="659">
                  <c:v>2.59</c:v>
                </c:pt>
                <c:pt idx="660">
                  <c:v>2.6</c:v>
                </c:pt>
                <c:pt idx="661">
                  <c:v>2.61</c:v>
                </c:pt>
                <c:pt idx="662">
                  <c:v>2.62</c:v>
                </c:pt>
                <c:pt idx="663">
                  <c:v>2.63</c:v>
                </c:pt>
                <c:pt idx="664">
                  <c:v>2.64</c:v>
                </c:pt>
                <c:pt idx="665">
                  <c:v>2.65</c:v>
                </c:pt>
                <c:pt idx="666">
                  <c:v>2.66</c:v>
                </c:pt>
                <c:pt idx="667">
                  <c:v>2.67</c:v>
                </c:pt>
                <c:pt idx="668">
                  <c:v>2.68</c:v>
                </c:pt>
                <c:pt idx="669">
                  <c:v>2.69</c:v>
                </c:pt>
                <c:pt idx="670">
                  <c:v>2.7</c:v>
                </c:pt>
                <c:pt idx="671">
                  <c:v>2.71</c:v>
                </c:pt>
                <c:pt idx="672">
                  <c:v>2.72</c:v>
                </c:pt>
                <c:pt idx="673">
                  <c:v>2.73</c:v>
                </c:pt>
                <c:pt idx="674">
                  <c:v>2.74</c:v>
                </c:pt>
                <c:pt idx="675">
                  <c:v>2.75</c:v>
                </c:pt>
                <c:pt idx="676">
                  <c:v>2.76</c:v>
                </c:pt>
                <c:pt idx="677">
                  <c:v>2.77</c:v>
                </c:pt>
                <c:pt idx="678">
                  <c:v>2.78</c:v>
                </c:pt>
                <c:pt idx="679">
                  <c:v>2.79</c:v>
                </c:pt>
                <c:pt idx="680">
                  <c:v>2.8</c:v>
                </c:pt>
                <c:pt idx="681">
                  <c:v>2.81</c:v>
                </c:pt>
                <c:pt idx="682">
                  <c:v>2.82</c:v>
                </c:pt>
                <c:pt idx="683">
                  <c:v>2.83</c:v>
                </c:pt>
                <c:pt idx="684">
                  <c:v>2.84</c:v>
                </c:pt>
                <c:pt idx="685">
                  <c:v>2.85</c:v>
                </c:pt>
                <c:pt idx="686">
                  <c:v>2.86</c:v>
                </c:pt>
                <c:pt idx="687">
                  <c:v>2.87</c:v>
                </c:pt>
                <c:pt idx="688">
                  <c:v>2.88</c:v>
                </c:pt>
                <c:pt idx="689">
                  <c:v>2.89</c:v>
                </c:pt>
                <c:pt idx="690">
                  <c:v>2.9</c:v>
                </c:pt>
                <c:pt idx="691">
                  <c:v>2.91</c:v>
                </c:pt>
                <c:pt idx="692">
                  <c:v>2.92</c:v>
                </c:pt>
                <c:pt idx="693">
                  <c:v>2.93</c:v>
                </c:pt>
                <c:pt idx="694">
                  <c:v>2.94</c:v>
                </c:pt>
                <c:pt idx="695">
                  <c:v>2.95</c:v>
                </c:pt>
                <c:pt idx="696">
                  <c:v>2.96</c:v>
                </c:pt>
                <c:pt idx="697">
                  <c:v>2.97</c:v>
                </c:pt>
                <c:pt idx="698">
                  <c:v>2.98</c:v>
                </c:pt>
                <c:pt idx="699">
                  <c:v>2.99</c:v>
                </c:pt>
                <c:pt idx="700">
                  <c:v>3</c:v>
                </c:pt>
                <c:pt idx="701">
                  <c:v>3.01</c:v>
                </c:pt>
                <c:pt idx="702">
                  <c:v>3.02</c:v>
                </c:pt>
                <c:pt idx="703">
                  <c:v>3.03</c:v>
                </c:pt>
                <c:pt idx="704">
                  <c:v>3.04</c:v>
                </c:pt>
                <c:pt idx="705">
                  <c:v>3.05</c:v>
                </c:pt>
                <c:pt idx="706">
                  <c:v>3.06</c:v>
                </c:pt>
                <c:pt idx="707">
                  <c:v>3.07</c:v>
                </c:pt>
                <c:pt idx="708">
                  <c:v>3.08</c:v>
                </c:pt>
                <c:pt idx="709">
                  <c:v>3.09</c:v>
                </c:pt>
                <c:pt idx="710">
                  <c:v>3.1</c:v>
                </c:pt>
                <c:pt idx="711">
                  <c:v>3.11</c:v>
                </c:pt>
                <c:pt idx="712">
                  <c:v>3.12</c:v>
                </c:pt>
                <c:pt idx="713">
                  <c:v>3.13</c:v>
                </c:pt>
                <c:pt idx="714">
                  <c:v>3.14</c:v>
                </c:pt>
                <c:pt idx="715">
                  <c:v>3.15</c:v>
                </c:pt>
                <c:pt idx="716">
                  <c:v>3.16</c:v>
                </c:pt>
                <c:pt idx="717">
                  <c:v>3.17</c:v>
                </c:pt>
                <c:pt idx="718">
                  <c:v>3.18</c:v>
                </c:pt>
                <c:pt idx="719">
                  <c:v>3.19</c:v>
                </c:pt>
                <c:pt idx="720">
                  <c:v>3.2</c:v>
                </c:pt>
                <c:pt idx="721">
                  <c:v>3.21</c:v>
                </c:pt>
                <c:pt idx="722">
                  <c:v>3.22</c:v>
                </c:pt>
                <c:pt idx="723">
                  <c:v>3.23</c:v>
                </c:pt>
                <c:pt idx="724">
                  <c:v>3.24</c:v>
                </c:pt>
                <c:pt idx="725">
                  <c:v>3.25</c:v>
                </c:pt>
                <c:pt idx="726">
                  <c:v>3.26</c:v>
                </c:pt>
                <c:pt idx="727">
                  <c:v>3.27</c:v>
                </c:pt>
                <c:pt idx="728">
                  <c:v>3.28</c:v>
                </c:pt>
                <c:pt idx="729">
                  <c:v>3.29</c:v>
                </c:pt>
                <c:pt idx="730">
                  <c:v>3.3</c:v>
                </c:pt>
                <c:pt idx="731">
                  <c:v>3.31</c:v>
                </c:pt>
                <c:pt idx="732">
                  <c:v>3.32</c:v>
                </c:pt>
                <c:pt idx="733">
                  <c:v>3.33</c:v>
                </c:pt>
                <c:pt idx="734">
                  <c:v>3.34</c:v>
                </c:pt>
                <c:pt idx="735">
                  <c:v>3.35</c:v>
                </c:pt>
                <c:pt idx="736">
                  <c:v>3.36</c:v>
                </c:pt>
                <c:pt idx="737">
                  <c:v>3.37</c:v>
                </c:pt>
                <c:pt idx="738">
                  <c:v>3.38</c:v>
                </c:pt>
                <c:pt idx="739">
                  <c:v>3.39</c:v>
                </c:pt>
                <c:pt idx="740">
                  <c:v>3.4</c:v>
                </c:pt>
                <c:pt idx="741">
                  <c:v>3.41</c:v>
                </c:pt>
                <c:pt idx="742">
                  <c:v>3.42</c:v>
                </c:pt>
                <c:pt idx="743">
                  <c:v>3.43</c:v>
                </c:pt>
                <c:pt idx="744">
                  <c:v>3.44</c:v>
                </c:pt>
                <c:pt idx="745">
                  <c:v>3.45</c:v>
                </c:pt>
                <c:pt idx="746">
                  <c:v>3.46</c:v>
                </c:pt>
                <c:pt idx="747">
                  <c:v>3.47</c:v>
                </c:pt>
                <c:pt idx="748">
                  <c:v>3.48</c:v>
                </c:pt>
                <c:pt idx="749">
                  <c:v>3.49</c:v>
                </c:pt>
                <c:pt idx="750">
                  <c:v>3.5</c:v>
                </c:pt>
                <c:pt idx="751">
                  <c:v>3.51</c:v>
                </c:pt>
                <c:pt idx="752">
                  <c:v>3.52</c:v>
                </c:pt>
                <c:pt idx="753">
                  <c:v>3.53</c:v>
                </c:pt>
                <c:pt idx="754">
                  <c:v>3.54</c:v>
                </c:pt>
                <c:pt idx="755">
                  <c:v>3.55</c:v>
                </c:pt>
                <c:pt idx="756">
                  <c:v>3.56</c:v>
                </c:pt>
                <c:pt idx="757">
                  <c:v>3.57</c:v>
                </c:pt>
                <c:pt idx="758">
                  <c:v>3.58</c:v>
                </c:pt>
                <c:pt idx="759">
                  <c:v>3.59</c:v>
                </c:pt>
                <c:pt idx="760">
                  <c:v>3.6</c:v>
                </c:pt>
                <c:pt idx="761">
                  <c:v>3.61</c:v>
                </c:pt>
                <c:pt idx="762">
                  <c:v>3.62</c:v>
                </c:pt>
                <c:pt idx="763">
                  <c:v>3.63</c:v>
                </c:pt>
                <c:pt idx="764">
                  <c:v>3.64</c:v>
                </c:pt>
                <c:pt idx="765">
                  <c:v>3.65</c:v>
                </c:pt>
                <c:pt idx="766">
                  <c:v>3.66</c:v>
                </c:pt>
                <c:pt idx="767">
                  <c:v>3.67</c:v>
                </c:pt>
                <c:pt idx="768">
                  <c:v>3.68</c:v>
                </c:pt>
                <c:pt idx="769">
                  <c:v>3.69</c:v>
                </c:pt>
                <c:pt idx="770">
                  <c:v>3.7</c:v>
                </c:pt>
                <c:pt idx="771">
                  <c:v>3.71</c:v>
                </c:pt>
                <c:pt idx="772">
                  <c:v>3.72</c:v>
                </c:pt>
                <c:pt idx="773">
                  <c:v>3.73</c:v>
                </c:pt>
                <c:pt idx="774">
                  <c:v>3.74</c:v>
                </c:pt>
                <c:pt idx="775">
                  <c:v>3.75</c:v>
                </c:pt>
                <c:pt idx="776">
                  <c:v>3.76</c:v>
                </c:pt>
                <c:pt idx="777">
                  <c:v>3.77</c:v>
                </c:pt>
                <c:pt idx="778">
                  <c:v>3.78</c:v>
                </c:pt>
                <c:pt idx="779">
                  <c:v>3.79</c:v>
                </c:pt>
                <c:pt idx="780">
                  <c:v>3.8</c:v>
                </c:pt>
                <c:pt idx="781">
                  <c:v>3.81</c:v>
                </c:pt>
                <c:pt idx="782">
                  <c:v>3.82</c:v>
                </c:pt>
                <c:pt idx="783">
                  <c:v>3.83</c:v>
                </c:pt>
                <c:pt idx="784">
                  <c:v>3.84</c:v>
                </c:pt>
                <c:pt idx="785">
                  <c:v>3.85</c:v>
                </c:pt>
                <c:pt idx="786">
                  <c:v>3.86</c:v>
                </c:pt>
                <c:pt idx="787">
                  <c:v>3.87</c:v>
                </c:pt>
                <c:pt idx="788">
                  <c:v>3.88</c:v>
                </c:pt>
                <c:pt idx="789">
                  <c:v>3.89</c:v>
                </c:pt>
                <c:pt idx="790">
                  <c:v>3.9</c:v>
                </c:pt>
                <c:pt idx="791">
                  <c:v>3.91</c:v>
                </c:pt>
                <c:pt idx="792">
                  <c:v>3.92</c:v>
                </c:pt>
                <c:pt idx="793">
                  <c:v>3.93</c:v>
                </c:pt>
                <c:pt idx="794">
                  <c:v>3.94</c:v>
                </c:pt>
                <c:pt idx="795">
                  <c:v>3.95</c:v>
                </c:pt>
                <c:pt idx="796">
                  <c:v>3.96</c:v>
                </c:pt>
                <c:pt idx="797">
                  <c:v>3.97</c:v>
                </c:pt>
                <c:pt idx="798">
                  <c:v>3.98</c:v>
                </c:pt>
                <c:pt idx="799">
                  <c:v>3.99</c:v>
                </c:pt>
                <c:pt idx="800">
                  <c:v>4</c:v>
                </c:pt>
              </c:numCache>
            </c:numRef>
          </c:xVal>
          <c:yVal>
            <c:numRef>
              <c:f>'Лист1 (3)'!$S$3:$S$800</c:f>
              <c:numCache>
                <c:formatCode>General</c:formatCode>
                <c:ptCount val="79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2.5000000000000001E-2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4.947E-2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7.4929999999999997E-2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9.8530000000000006E-2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0.12302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0.14917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0.17360999999999999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0.19766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0.22363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0.24825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0.27424999999999999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0.29805999999999999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0.32275999999999999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0.34827000000000002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0.37447999999999998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0.39743000000000001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0.42465000000000003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0.44828000000000001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0.47210000000000002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0.5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0.52392000000000005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0.54776000000000002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0.57142000000000004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0.59870999999999996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0.62172000000000005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0.64802999999999999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0.67364000000000002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0.69847000000000004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0.72240000000000004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0.74856999999999996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0.77337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0.79954999999999998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0.82381000000000004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0.84848999999999997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0.87492999999999999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0.89973000000000003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0.92364000000000002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0.94950000000000001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0.97499999999999998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A5-4AA9-8AF7-CCAB79746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41928"/>
        <c:axId val="461438976"/>
      </c:scatterChart>
      <c:valAx>
        <c:axId val="461441928"/>
        <c:scaling>
          <c:orientation val="minMax"/>
          <c:max val="4"/>
          <c:min val="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Обратное значение функции</a:t>
                </a:r>
                <a:r>
                  <a:rPr lang="ru-RU" baseline="0"/>
                  <a:t> нормального распределения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38976"/>
        <c:crosses val="autoZero"/>
        <c:crossBetween val="midCat"/>
      </c:valAx>
      <c:valAx>
        <c:axId val="4614389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Вероятность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41928"/>
        <c:crossesAt val="-4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60AB2A15-1AB1-4801-9DE1-A1284721868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</xdr:row>
      <xdr:rowOff>133350</xdr:rowOff>
    </xdr:from>
    <xdr:to>
      <xdr:col>7</xdr:col>
      <xdr:colOff>428625</xdr:colOff>
      <xdr:row>17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152400</xdr:colOff>
      <xdr:row>0</xdr:row>
      <xdr:rowOff>146050</xdr:rowOff>
    </xdr:from>
    <xdr:to>
      <xdr:col>11</xdr:col>
      <xdr:colOff>457200</xdr:colOff>
      <xdr:row>4</xdr:row>
      <xdr:rowOff>7620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7C36ADB-83CD-4569-9FB4-36156DE3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146050"/>
          <a:ext cx="2133600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</xdr:row>
      <xdr:rowOff>133350</xdr:rowOff>
    </xdr:from>
    <xdr:to>
      <xdr:col>7</xdr:col>
      <xdr:colOff>428625</xdr:colOff>
      <xdr:row>17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</xdr:row>
      <xdr:rowOff>133350</xdr:rowOff>
    </xdr:from>
    <xdr:to>
      <xdr:col>7</xdr:col>
      <xdr:colOff>190500</xdr:colOff>
      <xdr:row>17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</xdr:row>
      <xdr:rowOff>133350</xdr:rowOff>
    </xdr:from>
    <xdr:to>
      <xdr:col>7</xdr:col>
      <xdr:colOff>190500</xdr:colOff>
      <xdr:row>16</xdr:row>
      <xdr:rowOff>140970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180974</xdr:colOff>
      <xdr:row>4</xdr:row>
      <xdr:rowOff>123825</xdr:rowOff>
    </xdr:from>
    <xdr:to>
      <xdr:col>5</xdr:col>
      <xdr:colOff>104775</xdr:colOff>
      <xdr:row>6</xdr:row>
      <xdr:rowOff>19050</xdr:rowOff>
    </xdr:to>
    <xdr:sp macro="" textlink="$A$2">
      <xdr:nvSpPr>
        <xdr:cNvPr id="3" name="Прямоугольная выноска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857499" y="914400"/>
          <a:ext cx="533401" cy="276225"/>
        </a:xfrm>
        <a:prstGeom prst="wedgeRectCallout">
          <a:avLst>
            <a:gd name="adj1" fmla="val -86682"/>
            <a:gd name="adj2" fmla="val 62160"/>
          </a:avLst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538C5AB-9750-48D0-B5ED-A5AF41FB24F5}" type="TxLink">
            <a:rPr lang="en-US" sz="1100" b="0" i="0" u="none" strike="noStrike">
              <a:solidFill>
                <a:srgbClr val="C00000"/>
              </a:solidFill>
              <a:latin typeface="Calibri"/>
            </a:rPr>
            <a:pPr algn="l"/>
            <a:t>0,95</a:t>
          </a:fld>
          <a:endParaRPr lang="ru-RU" sz="1100">
            <a:solidFill>
              <a:srgbClr val="C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9525</xdr:rowOff>
    </xdr:from>
    <xdr:to>
      <xdr:col>9</xdr:col>
      <xdr:colOff>561975</xdr:colOff>
      <xdr:row>15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Диаграмма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192405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</xdr:row>
      <xdr:rowOff>133350</xdr:rowOff>
    </xdr:from>
    <xdr:to>
      <xdr:col>7</xdr:col>
      <xdr:colOff>428625</xdr:colOff>
      <xdr:row>17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0.56944</cdr:x>
      <cdr:y>0.04282</cdr:y>
    </cdr:from>
    <cdr:to>
      <cdr:x>0.70417</cdr:x>
      <cdr:y>0.14352</cdr:y>
    </cdr:to>
    <cdr:sp macro="" textlink="'Лист1 (4)'!$B$2">
      <cdr:nvSpPr>
        <cdr:cNvPr id="2" name="Прямоугольная выноска 1"/>
        <cdr:cNvSpPr/>
      </cdr:nvSpPr>
      <cdr:spPr>
        <a:xfrm xmlns:a="http://schemas.openxmlformats.org/drawingml/2006/main">
          <a:off x="2603500" y="117475"/>
          <a:ext cx="615950" cy="276225"/>
        </a:xfrm>
        <a:prstGeom xmlns:a="http://schemas.openxmlformats.org/drawingml/2006/main" prst="wedgeRectCallout">
          <a:avLst>
            <a:gd name="adj1" fmla="val -66708"/>
            <a:gd name="adj2" fmla="val 131125"/>
          </a:avLst>
        </a:prstGeom>
        <a:noFill xmlns:a="http://schemas.openxmlformats.org/drawingml/2006/main"/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fld id="{CD50151E-4B0C-4A67-BF4B-32B3A664D0EF}" type="TxLink">
            <a:rPr lang="en-US" sz="1100" b="0" i="0" u="none" strike="noStrike">
              <a:solidFill>
                <a:srgbClr val="C00000"/>
              </a:solidFill>
              <a:latin typeface="Calibri"/>
            </a:rPr>
            <a:pPr algn="l"/>
            <a:t>0,9545</a:t>
          </a:fld>
          <a:endParaRPr lang="ru-RU" sz="1100">
            <a:solidFill>
              <a:srgbClr val="C00000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95250</xdr:colOff>
      <xdr:row>0</xdr:row>
      <xdr:rowOff>180975</xdr:rowOff>
    </xdr:from>
    <xdr:to>
      <xdr:col>31</xdr:col>
      <xdr:colOff>400050</xdr:colOff>
      <xdr:row>15</xdr:row>
      <xdr:rowOff>66675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371475</xdr:colOff>
      <xdr:row>1</xdr:row>
      <xdr:rowOff>95250</xdr:rowOff>
    </xdr:from>
    <xdr:to>
      <xdr:col>8</xdr:col>
      <xdr:colOff>66675</xdr:colOff>
      <xdr:row>15</xdr:row>
      <xdr:rowOff>171450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3"/>
  <sheetViews>
    <sheetView workbookViewId="0">
      <selection activeCell="C2" sqref="C2"/>
    </sheetView>
  </sheetViews>
  <sheetFormatPr defaultRowHeight="14.4" x14ac:dyDescent="0.3"/>
  <cols>
    <col min="23" max="23" width="12" bestFit="1" customWidth="1"/>
    <col min="24" max="24" width="14.5546875" customWidth="1"/>
  </cols>
  <sheetData>
    <row r="1" spans="1:27" ht="18" x14ac:dyDescent="0.35">
      <c r="A1" s="9" t="s">
        <v>12</v>
      </c>
      <c r="B1" s="9" t="s">
        <v>1</v>
      </c>
      <c r="C1" s="9" t="s">
        <v>2</v>
      </c>
    </row>
    <row r="2" spans="1:27" ht="18" x14ac:dyDescent="0.35">
      <c r="A2" s="10">
        <v>1.96</v>
      </c>
      <c r="B2" s="10">
        <f>_xlfn.NORM.S.DIST(A2,0)</f>
        <v>5.8440944333451469E-2</v>
      </c>
      <c r="C2" s="10">
        <f>_xlfn.NORM.S.DIST(A2,1)</f>
        <v>0.97500210485177952</v>
      </c>
      <c r="U2" t="s">
        <v>10</v>
      </c>
      <c r="V2" t="s">
        <v>0</v>
      </c>
      <c r="W2" t="s">
        <v>4</v>
      </c>
      <c r="X2" t="s">
        <v>5</v>
      </c>
      <c r="Y2" t="s">
        <v>15</v>
      </c>
      <c r="Z2" t="s">
        <v>6</v>
      </c>
      <c r="AA2">
        <v>0</v>
      </c>
    </row>
    <row r="3" spans="1:27" ht="18" x14ac:dyDescent="0.35">
      <c r="M3" s="8">
        <f>(1/SQRT(2*PI()))*EXP(-(A2^2)/2)</f>
        <v>5.8440944333451469E-2</v>
      </c>
      <c r="V3">
        <v>-4</v>
      </c>
      <c r="W3">
        <f>_xlfn.NORM.S.DIST(V3,0)</f>
        <v>1.3383022576488537E-4</v>
      </c>
      <c r="X3" t="e">
        <f>IF(V3=$A$2,W3,NA())</f>
        <v>#N/A</v>
      </c>
      <c r="Y3">
        <f>IF(V3&lt;=$A$2,W3,NA())</f>
        <v>1.3383022576488537E-4</v>
      </c>
      <c r="Z3" t="e">
        <f>IF(ABS(V3)&lt;=$A$2,W3,NA())</f>
        <v>#N/A</v>
      </c>
    </row>
    <row r="4" spans="1:27" x14ac:dyDescent="0.3">
      <c r="V4">
        <v>-3.99</v>
      </c>
      <c r="W4">
        <f t="shared" ref="W4:W67" si="0">_xlfn.NORM.S.DIST(V4,0)</f>
        <v>1.3928497646575994E-4</v>
      </c>
      <c r="X4" t="e">
        <f t="shared" ref="X4:X67" si="1">IF(V4=$A$2,W4,NA())</f>
        <v>#N/A</v>
      </c>
      <c r="Y4">
        <f t="shared" ref="Y4:Y67" si="2">IF(V4&lt;=$A$2,W4,NA())</f>
        <v>1.3928497646575994E-4</v>
      </c>
      <c r="Z4" t="e">
        <f t="shared" ref="Z4:Z67" si="3">IF(ABS(V4)&lt;=$A$2,W4,NA())</f>
        <v>#N/A</v>
      </c>
    </row>
    <row r="5" spans="1:27" x14ac:dyDescent="0.3">
      <c r="V5">
        <v>-3.98</v>
      </c>
      <c r="W5">
        <f t="shared" si="0"/>
        <v>1.4494756042389106E-4</v>
      </c>
      <c r="X5" t="e">
        <f t="shared" si="1"/>
        <v>#N/A</v>
      </c>
      <c r="Y5">
        <f t="shared" si="2"/>
        <v>1.4494756042389106E-4</v>
      </c>
      <c r="Z5" t="e">
        <f t="shared" si="3"/>
        <v>#N/A</v>
      </c>
    </row>
    <row r="6" spans="1:27" x14ac:dyDescent="0.3">
      <c r="V6">
        <v>-3.97</v>
      </c>
      <c r="W6">
        <f t="shared" si="0"/>
        <v>1.508252715505178E-4</v>
      </c>
      <c r="X6" t="e">
        <f t="shared" si="1"/>
        <v>#N/A</v>
      </c>
      <c r="Y6">
        <f t="shared" si="2"/>
        <v>1.508252715505178E-4</v>
      </c>
      <c r="Z6" t="e">
        <f t="shared" si="3"/>
        <v>#N/A</v>
      </c>
    </row>
    <row r="7" spans="1:27" x14ac:dyDescent="0.3">
      <c r="V7">
        <v>-3.96</v>
      </c>
      <c r="W7">
        <f t="shared" si="0"/>
        <v>1.5692563406553226E-4</v>
      </c>
      <c r="X7" t="e">
        <f t="shared" si="1"/>
        <v>#N/A</v>
      </c>
      <c r="Y7">
        <f t="shared" si="2"/>
        <v>1.5692563406553226E-4</v>
      </c>
      <c r="Z7" t="e">
        <f t="shared" si="3"/>
        <v>#N/A</v>
      </c>
    </row>
    <row r="8" spans="1:27" x14ac:dyDescent="0.3">
      <c r="V8">
        <v>-3.95</v>
      </c>
      <c r="W8">
        <f t="shared" si="0"/>
        <v>1.6325640876624199E-4</v>
      </c>
      <c r="X8" t="e">
        <f t="shared" si="1"/>
        <v>#N/A</v>
      </c>
      <c r="Y8">
        <f t="shared" si="2"/>
        <v>1.6325640876624199E-4</v>
      </c>
      <c r="Z8" t="e">
        <f t="shared" si="3"/>
        <v>#N/A</v>
      </c>
    </row>
    <row r="9" spans="1:27" x14ac:dyDescent="0.3">
      <c r="V9">
        <v>-3.94</v>
      </c>
      <c r="W9">
        <f t="shared" si="0"/>
        <v>1.6982559942934359E-4</v>
      </c>
      <c r="X9" t="e">
        <f t="shared" si="1"/>
        <v>#N/A</v>
      </c>
      <c r="Y9">
        <f t="shared" si="2"/>
        <v>1.6982559942934359E-4</v>
      </c>
      <c r="Z9" t="e">
        <f t="shared" si="3"/>
        <v>#N/A</v>
      </c>
    </row>
    <row r="10" spans="1:27" x14ac:dyDescent="0.3">
      <c r="V10">
        <v>-3.93</v>
      </c>
      <c r="W10">
        <f t="shared" si="0"/>
        <v>1.7664145934757092E-4</v>
      </c>
      <c r="X10" t="e">
        <f t="shared" si="1"/>
        <v>#N/A</v>
      </c>
      <c r="Y10">
        <f t="shared" si="2"/>
        <v>1.7664145934757092E-4</v>
      </c>
      <c r="Z10" t="e">
        <f t="shared" si="3"/>
        <v>#N/A</v>
      </c>
    </row>
    <row r="11" spans="1:27" x14ac:dyDescent="0.3">
      <c r="V11">
        <v>-3.92</v>
      </c>
      <c r="W11">
        <f t="shared" si="0"/>
        <v>1.8371249800245711E-4</v>
      </c>
      <c r="X11" t="e">
        <f t="shared" si="1"/>
        <v>#N/A</v>
      </c>
      <c r="Y11">
        <f t="shared" si="2"/>
        <v>1.8371249800245711E-4</v>
      </c>
      <c r="Z11" t="e">
        <f t="shared" si="3"/>
        <v>#N/A</v>
      </c>
    </row>
    <row r="12" spans="1:27" x14ac:dyDescent="0.3">
      <c r="V12">
        <v>-3.91</v>
      </c>
      <c r="W12">
        <f t="shared" si="0"/>
        <v>1.9104748787459762E-4</v>
      </c>
      <c r="X12" t="e">
        <f t="shared" si="1"/>
        <v>#N/A</v>
      </c>
      <c r="Y12">
        <f t="shared" si="2"/>
        <v>1.9104748787459762E-4</v>
      </c>
      <c r="Z12" t="e">
        <f t="shared" si="3"/>
        <v>#N/A</v>
      </c>
    </row>
    <row r="13" spans="1:27" x14ac:dyDescent="0.3">
      <c r="V13">
        <v>-3.9</v>
      </c>
      <c r="W13">
        <f t="shared" si="0"/>
        <v>1.9865547139277272E-4</v>
      </c>
      <c r="X13" t="e">
        <f t="shared" si="1"/>
        <v>#N/A</v>
      </c>
      <c r="Y13">
        <f t="shared" si="2"/>
        <v>1.9865547139277272E-4</v>
      </c>
      <c r="Z13" t="e">
        <f t="shared" si="3"/>
        <v>#N/A</v>
      </c>
    </row>
    <row r="14" spans="1:27" x14ac:dyDescent="0.3">
      <c r="V14">
        <v>-3.89</v>
      </c>
      <c r="W14">
        <f t="shared" si="0"/>
        <v>2.0654576802322548E-4</v>
      </c>
      <c r="X14" t="e">
        <f t="shared" si="1"/>
        <v>#N/A</v>
      </c>
      <c r="Y14">
        <f t="shared" si="2"/>
        <v>2.0654576802322548E-4</v>
      </c>
      <c r="Z14" t="e">
        <f t="shared" si="3"/>
        <v>#N/A</v>
      </c>
    </row>
    <row r="15" spans="1:27" x14ac:dyDescent="0.3">
      <c r="V15">
        <v>-3.88</v>
      </c>
      <c r="W15">
        <f t="shared" si="0"/>
        <v>2.1472798150036704E-4</v>
      </c>
      <c r="X15" t="e">
        <f t="shared" si="1"/>
        <v>#N/A</v>
      </c>
      <c r="Y15">
        <f t="shared" si="2"/>
        <v>2.1472798150036704E-4</v>
      </c>
      <c r="Z15" t="e">
        <f t="shared" si="3"/>
        <v>#N/A</v>
      </c>
    </row>
    <row r="16" spans="1:27" x14ac:dyDescent="0.3">
      <c r="V16">
        <v>-3.87</v>
      </c>
      <c r="W16">
        <f t="shared" si="0"/>
        <v>2.2321200720010206E-4</v>
      </c>
      <c r="X16" t="e">
        <f t="shared" si="1"/>
        <v>#N/A</v>
      </c>
      <c r="Y16">
        <f t="shared" si="2"/>
        <v>2.2321200720010206E-4</v>
      </c>
      <c r="Z16" t="e">
        <f t="shared" si="3"/>
        <v>#N/A</v>
      </c>
    </row>
    <row r="17" spans="22:26" x14ac:dyDescent="0.3">
      <c r="V17">
        <v>-3.86</v>
      </c>
      <c r="W17">
        <f t="shared" si="0"/>
        <v>2.3200803965694238E-4</v>
      </c>
      <c r="X17" t="e">
        <f t="shared" si="1"/>
        <v>#N/A</v>
      </c>
      <c r="Y17">
        <f t="shared" si="2"/>
        <v>2.3200803965694238E-4</v>
      </c>
      <c r="Z17" t="e">
        <f t="shared" si="3"/>
        <v>#N/A</v>
      </c>
    </row>
    <row r="18" spans="22:26" x14ac:dyDescent="0.3">
      <c r="V18">
        <v>-3.85</v>
      </c>
      <c r="W18">
        <f t="shared" si="0"/>
        <v>2.4112658022599324E-4</v>
      </c>
      <c r="X18" t="e">
        <f t="shared" si="1"/>
        <v>#N/A</v>
      </c>
      <c r="Y18">
        <f t="shared" si="2"/>
        <v>2.4112658022599324E-4</v>
      </c>
      <c r="Z18" t="e">
        <f t="shared" si="3"/>
        <v>#N/A</v>
      </c>
    </row>
    <row r="19" spans="22:26" x14ac:dyDescent="0.3">
      <c r="V19">
        <v>-3.84</v>
      </c>
      <c r="W19">
        <f t="shared" si="0"/>
        <v>2.5057844489086075E-4</v>
      </c>
      <c r="X19" t="e">
        <f t="shared" si="1"/>
        <v>#N/A</v>
      </c>
      <c r="Y19">
        <f t="shared" si="2"/>
        <v>2.5057844489086075E-4</v>
      </c>
      <c r="Z19" t="e">
        <f t="shared" si="3"/>
        <v>#N/A</v>
      </c>
    </row>
    <row r="20" spans="22:26" x14ac:dyDescent="0.3">
      <c r="V20">
        <v>-3.83</v>
      </c>
      <c r="W20">
        <f t="shared" si="0"/>
        <v>2.6037477221844247E-4</v>
      </c>
      <c r="X20" t="e">
        <f t="shared" si="1"/>
        <v>#N/A</v>
      </c>
      <c r="Y20">
        <f t="shared" si="2"/>
        <v>2.6037477221844247E-4</v>
      </c>
      <c r="Z20" t="e">
        <f t="shared" si="3"/>
        <v>#N/A</v>
      </c>
    </row>
    <row r="21" spans="22:26" x14ac:dyDescent="0.3">
      <c r="V21">
        <v>-3.82</v>
      </c>
      <c r="W21">
        <f t="shared" si="0"/>
        <v>2.70527031461521E-4</v>
      </c>
      <c r="X21" t="e">
        <f t="shared" si="1"/>
        <v>#N/A</v>
      </c>
      <c r="Y21">
        <f t="shared" si="2"/>
        <v>2.70527031461521E-4</v>
      </c>
      <c r="Z21" t="e">
        <f t="shared" si="3"/>
        <v>#N/A</v>
      </c>
    </row>
    <row r="22" spans="22:26" x14ac:dyDescent="0.3">
      <c r="V22">
        <v>-3.81</v>
      </c>
      <c r="W22">
        <f t="shared" si="0"/>
        <v>2.8104703080998632E-4</v>
      </c>
      <c r="X22" t="e">
        <f t="shared" si="1"/>
        <v>#N/A</v>
      </c>
      <c r="Y22">
        <f t="shared" si="2"/>
        <v>2.8104703080998632E-4</v>
      </c>
      <c r="Z22" t="e">
        <f t="shared" si="3"/>
        <v>#N/A</v>
      </c>
    </row>
    <row r="23" spans="22:26" x14ac:dyDescent="0.3">
      <c r="V23">
        <v>-3.8</v>
      </c>
      <c r="W23">
        <f t="shared" si="0"/>
        <v>2.9194692579146027E-4</v>
      </c>
      <c r="X23" t="e">
        <f t="shared" si="1"/>
        <v>#N/A</v>
      </c>
      <c r="Y23">
        <f t="shared" si="2"/>
        <v>2.9194692579146027E-4</v>
      </c>
      <c r="Z23" t="e">
        <f t="shared" si="3"/>
        <v>#N/A</v>
      </c>
    </row>
    <row r="24" spans="22:26" x14ac:dyDescent="0.3">
      <c r="V24">
        <v>-3.79</v>
      </c>
      <c r="W24">
        <f t="shared" si="0"/>
        <v>3.0323922782200417E-4</v>
      </c>
      <c r="X24" t="e">
        <f t="shared" si="1"/>
        <v>#N/A</v>
      </c>
      <c r="Y24">
        <f t="shared" si="2"/>
        <v>3.0323922782200417E-4</v>
      </c>
      <c r="Z24" t="e">
        <f t="shared" si="3"/>
        <v>#N/A</v>
      </c>
    </row>
    <row r="25" spans="22:26" x14ac:dyDescent="0.3">
      <c r="V25">
        <v>-3.78</v>
      </c>
      <c r="W25">
        <f t="shared" si="0"/>
        <v>3.1493681290752188E-4</v>
      </c>
      <c r="X25" t="e">
        <f t="shared" si="1"/>
        <v>#N/A</v>
      </c>
      <c r="Y25">
        <f t="shared" si="2"/>
        <v>3.1493681290752188E-4</v>
      </c>
      <c r="Z25" t="e">
        <f t="shared" si="3"/>
        <v>#N/A</v>
      </c>
    </row>
    <row r="26" spans="22:26" x14ac:dyDescent="0.3">
      <c r="V26">
        <v>-3.77</v>
      </c>
      <c r="W26">
        <f t="shared" si="0"/>
        <v>3.2705293049637498E-4</v>
      </c>
      <c r="X26" t="e">
        <f t="shared" si="1"/>
        <v>#N/A</v>
      </c>
      <c r="Y26">
        <f t="shared" si="2"/>
        <v>3.2705293049637498E-4</v>
      </c>
      <c r="Z26" t="e">
        <f t="shared" si="3"/>
        <v>#N/A</v>
      </c>
    </row>
    <row r="27" spans="22:26" x14ac:dyDescent="0.3">
      <c r="V27">
        <v>-3.76</v>
      </c>
      <c r="W27">
        <f t="shared" si="0"/>
        <v>3.3960121248365478E-4</v>
      </c>
      <c r="X27" t="e">
        <f t="shared" si="1"/>
        <v>#N/A</v>
      </c>
      <c r="Y27">
        <f t="shared" si="2"/>
        <v>3.3960121248365478E-4</v>
      </c>
      <c r="Z27" t="e">
        <f t="shared" si="3"/>
        <v>#N/A</v>
      </c>
    </row>
    <row r="28" spans="22:26" x14ac:dyDescent="0.3">
      <c r="V28">
        <v>-3.75</v>
      </c>
      <c r="W28">
        <f t="shared" si="0"/>
        <v>3.5259568236744541E-4</v>
      </c>
      <c r="X28" t="e">
        <f t="shared" si="1"/>
        <v>#N/A</v>
      </c>
      <c r="Y28">
        <f t="shared" si="2"/>
        <v>3.5259568236744541E-4</v>
      </c>
      <c r="Z28" t="e">
        <f t="shared" si="3"/>
        <v>#N/A</v>
      </c>
    </row>
    <row r="29" spans="22:26" x14ac:dyDescent="0.3">
      <c r="V29">
        <v>-3.74</v>
      </c>
      <c r="W29">
        <f t="shared" si="0"/>
        <v>3.6605076455733496E-4</v>
      </c>
      <c r="X29" t="e">
        <f t="shared" si="1"/>
        <v>#N/A</v>
      </c>
      <c r="Y29">
        <f t="shared" si="2"/>
        <v>3.6605076455733496E-4</v>
      </c>
      <c r="Z29" t="e">
        <f t="shared" si="3"/>
        <v>#N/A</v>
      </c>
    </row>
    <row r="30" spans="22:26" x14ac:dyDescent="0.3">
      <c r="V30">
        <v>-3.73</v>
      </c>
      <c r="W30">
        <f t="shared" si="0"/>
        <v>3.7998129383532141E-4</v>
      </c>
      <c r="X30" t="e">
        <f t="shared" si="1"/>
        <v>#N/A</v>
      </c>
      <c r="Y30">
        <f t="shared" si="2"/>
        <v>3.7998129383532141E-4</v>
      </c>
      <c r="Z30" t="e">
        <f t="shared" si="3"/>
        <v>#N/A</v>
      </c>
    </row>
    <row r="31" spans="22:26" x14ac:dyDescent="0.3">
      <c r="V31">
        <v>-3.72</v>
      </c>
      <c r="W31">
        <f t="shared" si="0"/>
        <v>3.9440252496915622E-4</v>
      </c>
      <c r="X31" t="e">
        <f t="shared" si="1"/>
        <v>#N/A</v>
      </c>
      <c r="Y31">
        <f t="shared" si="2"/>
        <v>3.9440252496915622E-4</v>
      </c>
      <c r="Z31" t="e">
        <f t="shared" si="3"/>
        <v>#N/A</v>
      </c>
    </row>
    <row r="32" spans="22:26" x14ac:dyDescent="0.3">
      <c r="V32">
        <v>-3.71</v>
      </c>
      <c r="W32">
        <f t="shared" si="0"/>
        <v>4.0933014247807883E-4</v>
      </c>
      <c r="X32" t="e">
        <f t="shared" si="1"/>
        <v>#N/A</v>
      </c>
      <c r="Y32">
        <f t="shared" si="2"/>
        <v>4.0933014247807883E-4</v>
      </c>
      <c r="Z32" t="e">
        <f t="shared" si="3"/>
        <v>#N/A</v>
      </c>
    </row>
    <row r="33" spans="22:26" x14ac:dyDescent="0.3">
      <c r="V33">
        <v>-3.7</v>
      </c>
      <c r="W33">
        <f t="shared" si="0"/>
        <v>4.2478027055075143E-4</v>
      </c>
      <c r="X33" t="e">
        <f t="shared" si="1"/>
        <v>#N/A</v>
      </c>
      <c r="Y33">
        <f t="shared" si="2"/>
        <v>4.2478027055075143E-4</v>
      </c>
      <c r="Z33" t="e">
        <f t="shared" si="3"/>
        <v>#N/A</v>
      </c>
    </row>
    <row r="34" spans="22:26" x14ac:dyDescent="0.3">
      <c r="V34">
        <v>-3.69</v>
      </c>
      <c r="W34">
        <f t="shared" si="0"/>
        <v>4.4076948311513252E-4</v>
      </c>
      <c r="X34" t="e">
        <f t="shared" si="1"/>
        <v>#N/A</v>
      </c>
      <c r="Y34">
        <f t="shared" si="2"/>
        <v>4.4076948311513252E-4</v>
      </c>
      <c r="Z34" t="e">
        <f t="shared" si="3"/>
        <v>#N/A</v>
      </c>
    </row>
    <row r="35" spans="22:26" x14ac:dyDescent="0.3">
      <c r="V35">
        <v>-3.68</v>
      </c>
      <c r="W35">
        <f t="shared" si="0"/>
        <v>4.5731481405985675E-4</v>
      </c>
      <c r="X35" t="e">
        <f t="shared" si="1"/>
        <v>#N/A</v>
      </c>
      <c r="Y35">
        <f t="shared" si="2"/>
        <v>4.5731481405985675E-4</v>
      </c>
      <c r="Z35" t="e">
        <f t="shared" si="3"/>
        <v>#N/A</v>
      </c>
    </row>
    <row r="36" spans="22:26" x14ac:dyDescent="0.3">
      <c r="V36">
        <v>-3.67</v>
      </c>
      <c r="W36">
        <f t="shared" si="0"/>
        <v>4.7443376760662064E-4</v>
      </c>
      <c r="X36" t="e">
        <f t="shared" si="1"/>
        <v>#N/A</v>
      </c>
      <c r="Y36">
        <f t="shared" si="2"/>
        <v>4.7443376760662064E-4</v>
      </c>
      <c r="Z36" t="e">
        <f t="shared" si="3"/>
        <v>#N/A</v>
      </c>
    </row>
    <row r="37" spans="22:26" x14ac:dyDescent="0.3">
      <c r="V37">
        <v>-3.66</v>
      </c>
      <c r="W37">
        <f t="shared" si="0"/>
        <v>4.9214432883289312E-4</v>
      </c>
      <c r="X37" t="e">
        <f t="shared" si="1"/>
        <v>#N/A</v>
      </c>
      <c r="Y37">
        <f t="shared" si="2"/>
        <v>4.9214432883289312E-4</v>
      </c>
      <c r="Z37" t="e">
        <f t="shared" si="3"/>
        <v>#N/A</v>
      </c>
    </row>
    <row r="38" spans="22:26" x14ac:dyDescent="0.3">
      <c r="V38">
        <v>-3.65</v>
      </c>
      <c r="W38">
        <f t="shared" si="0"/>
        <v>5.104649743441856E-4</v>
      </c>
      <c r="X38" t="e">
        <f t="shared" si="1"/>
        <v>#N/A</v>
      </c>
      <c r="Y38">
        <f t="shared" si="2"/>
        <v>5.104649743441856E-4</v>
      </c>
      <c r="Z38" t="e">
        <f t="shared" si="3"/>
        <v>#N/A</v>
      </c>
    </row>
    <row r="39" spans="22:26" x14ac:dyDescent="0.3">
      <c r="V39">
        <v>-3.64</v>
      </c>
      <c r="W39">
        <f t="shared" si="0"/>
        <v>5.2941468309493475E-4</v>
      </c>
      <c r="X39" t="e">
        <f t="shared" si="1"/>
        <v>#N/A</v>
      </c>
      <c r="Y39">
        <f t="shared" si="2"/>
        <v>5.2941468309493475E-4</v>
      </c>
      <c r="Z39" t="e">
        <f t="shared" si="3"/>
        <v>#N/A</v>
      </c>
    </row>
    <row r="40" spans="22:26" x14ac:dyDescent="0.3">
      <c r="V40">
        <v>-3.63</v>
      </c>
      <c r="W40">
        <f t="shared" si="0"/>
        <v>5.490129473569587E-4</v>
      </c>
      <c r="X40" t="e">
        <f t="shared" si="1"/>
        <v>#N/A</v>
      </c>
      <c r="Y40">
        <f t="shared" si="2"/>
        <v>5.490129473569587E-4</v>
      </c>
      <c r="Z40" t="e">
        <f t="shared" si="3"/>
        <v>#N/A</v>
      </c>
    </row>
    <row r="41" spans="22:26" x14ac:dyDescent="0.3">
      <c r="V41">
        <v>-3.62</v>
      </c>
      <c r="W41">
        <f t="shared" si="0"/>
        <v>5.6927978383425261E-4</v>
      </c>
      <c r="X41" t="e">
        <f t="shared" si="1"/>
        <v>#N/A</v>
      </c>
      <c r="Y41">
        <f t="shared" si="2"/>
        <v>5.6927978383425261E-4</v>
      </c>
      <c r="Z41" t="e">
        <f t="shared" si="3"/>
        <v>#N/A</v>
      </c>
    </row>
    <row r="42" spans="22:26" x14ac:dyDescent="0.3">
      <c r="V42">
        <v>-3.61</v>
      </c>
      <c r="W42">
        <f t="shared" si="0"/>
        <v>5.9023574492278561E-4</v>
      </c>
      <c r="X42" t="e">
        <f t="shared" si="1"/>
        <v>#N/A</v>
      </c>
      <c r="Y42">
        <f t="shared" si="2"/>
        <v>5.9023574492278561E-4</v>
      </c>
      <c r="Z42" t="e">
        <f t="shared" si="3"/>
        <v>#N/A</v>
      </c>
    </row>
    <row r="43" spans="22:26" x14ac:dyDescent="0.3">
      <c r="V43">
        <v>-3.6</v>
      </c>
      <c r="W43">
        <f t="shared" si="0"/>
        <v>6.119019301137719E-4</v>
      </c>
      <c r="X43" t="e">
        <f t="shared" si="1"/>
        <v>#N/A</v>
      </c>
      <c r="Y43">
        <f t="shared" si="2"/>
        <v>6.119019301137719E-4</v>
      </c>
      <c r="Z43" t="e">
        <f t="shared" si="3"/>
        <v>#N/A</v>
      </c>
    </row>
    <row r="44" spans="22:26" x14ac:dyDescent="0.3">
      <c r="V44">
        <v>-3.59</v>
      </c>
      <c r="W44">
        <f t="shared" si="0"/>
        <v>6.342999975387576E-4</v>
      </c>
      <c r="X44" t="e">
        <f t="shared" si="1"/>
        <v>#N/A</v>
      </c>
      <c r="Y44">
        <f t="shared" si="2"/>
        <v>6.342999975387576E-4</v>
      </c>
      <c r="Z44" t="e">
        <f t="shared" si="3"/>
        <v>#N/A</v>
      </c>
    </row>
    <row r="45" spans="22:26" x14ac:dyDescent="0.3">
      <c r="V45">
        <v>-3.58</v>
      </c>
      <c r="W45">
        <f t="shared" si="0"/>
        <v>6.5745217565467645E-4</v>
      </c>
      <c r="X45" t="e">
        <f t="shared" si="1"/>
        <v>#N/A</v>
      </c>
      <c r="Y45">
        <f t="shared" si="2"/>
        <v>6.5745217565467645E-4</v>
      </c>
      <c r="Z45" t="e">
        <f t="shared" si="3"/>
        <v>#N/A</v>
      </c>
    </row>
    <row r="46" spans="22:26" x14ac:dyDescent="0.3">
      <c r="V46">
        <v>-3.57</v>
      </c>
      <c r="W46">
        <f t="shared" si="0"/>
        <v>6.8138127506689212E-4</v>
      </c>
      <c r="X46" t="e">
        <f t="shared" si="1"/>
        <v>#N/A</v>
      </c>
      <c r="Y46">
        <f t="shared" si="2"/>
        <v>6.8138127506689212E-4</v>
      </c>
      <c r="Z46" t="e">
        <f t="shared" si="3"/>
        <v>#N/A</v>
      </c>
    </row>
    <row r="47" spans="22:26" x14ac:dyDescent="0.3">
      <c r="V47">
        <v>-3.56</v>
      </c>
      <c r="W47">
        <f t="shared" si="0"/>
        <v>7.061107004880362E-4</v>
      </c>
      <c r="X47" t="e">
        <f t="shared" si="1"/>
        <v>#N/A</v>
      </c>
      <c r="Y47">
        <f t="shared" si="2"/>
        <v>7.061107004880362E-4</v>
      </c>
      <c r="Z47" t="e">
        <f t="shared" si="3"/>
        <v>#N/A</v>
      </c>
    </row>
    <row r="48" spans="22:26" x14ac:dyDescent="0.3">
      <c r="V48">
        <v>-3.55</v>
      </c>
      <c r="W48">
        <f t="shared" si="0"/>
        <v>7.3166446283031089E-4</v>
      </c>
      <c r="X48" t="e">
        <f t="shared" si="1"/>
        <v>#N/A</v>
      </c>
      <c r="Y48">
        <f t="shared" si="2"/>
        <v>7.3166446283031089E-4</v>
      </c>
      <c r="Z48" t="e">
        <f t="shared" si="3"/>
        <v>#N/A</v>
      </c>
    </row>
    <row r="49" spans="22:26" x14ac:dyDescent="0.3">
      <c r="V49">
        <v>-3.54</v>
      </c>
      <c r="W49">
        <f t="shared" si="0"/>
        <v>7.580671914287103E-4</v>
      </c>
      <c r="X49" t="e">
        <f t="shared" si="1"/>
        <v>#N/A</v>
      </c>
      <c r="Y49">
        <f t="shared" si="2"/>
        <v>7.580671914287103E-4</v>
      </c>
      <c r="Z49" t="e">
        <f t="shared" si="3"/>
        <v>#N/A</v>
      </c>
    </row>
    <row r="50" spans="22:26" x14ac:dyDescent="0.3">
      <c r="V50">
        <v>-3.53</v>
      </c>
      <c r="W50">
        <f t="shared" si="0"/>
        <v>7.8534414639246997E-4</v>
      </c>
      <c r="X50" t="e">
        <f t="shared" si="1"/>
        <v>#N/A</v>
      </c>
      <c r="Y50">
        <f t="shared" si="2"/>
        <v>7.8534414639246997E-4</v>
      </c>
      <c r="Z50" t="e">
        <f t="shared" si="3"/>
        <v>#N/A</v>
      </c>
    </row>
    <row r="51" spans="22:26" x14ac:dyDescent="0.3">
      <c r="V51">
        <v>-3.52</v>
      </c>
      <c r="W51">
        <f t="shared" si="0"/>
        <v>8.1352123108180841E-4</v>
      </c>
      <c r="X51" t="e">
        <f t="shared" si="1"/>
        <v>#N/A</v>
      </c>
      <c r="Y51">
        <f t="shared" si="2"/>
        <v>8.1352123108180841E-4</v>
      </c>
      <c r="Z51" t="e">
        <f t="shared" si="3"/>
        <v>#N/A</v>
      </c>
    </row>
    <row r="52" spans="22:26" x14ac:dyDescent="0.3">
      <c r="V52">
        <v>-3.51</v>
      </c>
      <c r="W52">
        <f t="shared" si="0"/>
        <v>8.4262500470690268E-4</v>
      </c>
      <c r="X52" t="e">
        <f t="shared" si="1"/>
        <v>#N/A</v>
      </c>
      <c r="Y52">
        <f t="shared" si="2"/>
        <v>8.4262500470690268E-4</v>
      </c>
      <c r="Z52" t="e">
        <f t="shared" si="3"/>
        <v>#N/A</v>
      </c>
    </row>
    <row r="53" spans="22:26" x14ac:dyDescent="0.3">
      <c r="V53">
        <v>-3.5</v>
      </c>
      <c r="W53">
        <f t="shared" si="0"/>
        <v>8.7268269504576015E-4</v>
      </c>
      <c r="X53" t="e">
        <f t="shared" si="1"/>
        <v>#N/A</v>
      </c>
      <c r="Y53">
        <f t="shared" si="2"/>
        <v>8.7268269504576015E-4</v>
      </c>
      <c r="Z53" t="e">
        <f t="shared" si="3"/>
        <v>#N/A</v>
      </c>
    </row>
    <row r="54" spans="22:26" x14ac:dyDescent="0.3">
      <c r="V54">
        <v>-3.49</v>
      </c>
      <c r="W54">
        <f t="shared" si="0"/>
        <v>9.0372221127752448E-4</v>
      </c>
      <c r="X54" t="e">
        <f t="shared" si="1"/>
        <v>#N/A</v>
      </c>
      <c r="Y54">
        <f t="shared" si="2"/>
        <v>9.0372221127752448E-4</v>
      </c>
      <c r="Z54" t="e">
        <f t="shared" si="3"/>
        <v>#N/A</v>
      </c>
    </row>
    <row r="55" spans="22:26" x14ac:dyDescent="0.3">
      <c r="V55">
        <v>-3.48</v>
      </c>
      <c r="W55">
        <f t="shared" si="0"/>
        <v>9.3577215692747977E-4</v>
      </c>
      <c r="X55" t="e">
        <f t="shared" si="1"/>
        <v>#N/A</v>
      </c>
      <c r="Y55">
        <f t="shared" si="2"/>
        <v>9.3577215692747977E-4</v>
      </c>
      <c r="Z55" t="e">
        <f t="shared" si="3"/>
        <v>#N/A</v>
      </c>
    </row>
    <row r="56" spans="22:26" x14ac:dyDescent="0.3">
      <c r="V56">
        <v>-3.47</v>
      </c>
      <c r="W56">
        <f t="shared" si="0"/>
        <v>9.6886184291984591E-4</v>
      </c>
      <c r="X56" t="e">
        <f t="shared" si="1"/>
        <v>#N/A</v>
      </c>
      <c r="Y56">
        <f t="shared" si="2"/>
        <v>9.6886184291984591E-4</v>
      </c>
      <c r="Z56" t="e">
        <f t="shared" si="3"/>
        <v>#N/A</v>
      </c>
    </row>
    <row r="57" spans="22:26" x14ac:dyDescent="0.3">
      <c r="V57">
        <v>-3.46</v>
      </c>
      <c r="W57">
        <f t="shared" si="0"/>
        <v>1.0030213007342376E-3</v>
      </c>
      <c r="X57" t="e">
        <f t="shared" si="1"/>
        <v>#N/A</v>
      </c>
      <c r="Y57">
        <f t="shared" si="2"/>
        <v>1.0030213007342376E-3</v>
      </c>
      <c r="Z57" t="e">
        <f t="shared" si="3"/>
        <v>#N/A</v>
      </c>
    </row>
    <row r="58" spans="22:26" x14ac:dyDescent="0.3">
      <c r="V58">
        <v>-3.45</v>
      </c>
      <c r="W58">
        <f t="shared" si="0"/>
        <v>1.0382812956614103E-3</v>
      </c>
      <c r="X58" t="e">
        <f t="shared" si="1"/>
        <v>#N/A</v>
      </c>
      <c r="Y58">
        <f t="shared" si="2"/>
        <v>1.0382812956614103E-3</v>
      </c>
      <c r="Z58" t="e">
        <f t="shared" si="3"/>
        <v>#N/A</v>
      </c>
    </row>
    <row r="59" spans="22:26" x14ac:dyDescent="0.3">
      <c r="V59">
        <v>-3.44</v>
      </c>
      <c r="W59">
        <f t="shared" si="0"/>
        <v>1.0746733401537356E-3</v>
      </c>
      <c r="X59" t="e">
        <f t="shared" si="1"/>
        <v>#N/A</v>
      </c>
      <c r="Y59">
        <f t="shared" si="2"/>
        <v>1.0746733401537356E-3</v>
      </c>
      <c r="Z59" t="e">
        <f t="shared" si="3"/>
        <v>#N/A</v>
      </c>
    </row>
    <row r="60" spans="22:26" x14ac:dyDescent="0.3">
      <c r="V60">
        <v>-3.43</v>
      </c>
      <c r="W60">
        <f t="shared" si="0"/>
        <v>1.1122297072655649E-3</v>
      </c>
      <c r="X60" t="e">
        <f t="shared" si="1"/>
        <v>#N/A</v>
      </c>
      <c r="Y60">
        <f t="shared" si="2"/>
        <v>1.1122297072655649E-3</v>
      </c>
      <c r="Z60" t="e">
        <f t="shared" si="3"/>
        <v>#N/A</v>
      </c>
    </row>
    <row r="61" spans="22:26" x14ac:dyDescent="0.3">
      <c r="V61">
        <v>-3.42</v>
      </c>
      <c r="W61">
        <f t="shared" si="0"/>
        <v>1.1509834441784845E-3</v>
      </c>
      <c r="X61" t="e">
        <f t="shared" si="1"/>
        <v>#N/A</v>
      </c>
      <c r="Y61">
        <f t="shared" si="2"/>
        <v>1.1509834441784845E-3</v>
      </c>
      <c r="Z61" t="e">
        <f t="shared" si="3"/>
        <v>#N/A</v>
      </c>
    </row>
    <row r="62" spans="22:26" x14ac:dyDescent="0.3">
      <c r="V62">
        <v>-3.41</v>
      </c>
      <c r="W62">
        <f t="shared" si="0"/>
        <v>1.1909683858061166E-3</v>
      </c>
      <c r="X62" t="e">
        <f t="shared" si="1"/>
        <v>#N/A</v>
      </c>
      <c r="Y62">
        <f t="shared" si="2"/>
        <v>1.1909683858061166E-3</v>
      </c>
      <c r="Z62" t="e">
        <f t="shared" si="3"/>
        <v>#N/A</v>
      </c>
    </row>
    <row r="63" spans="22:26" x14ac:dyDescent="0.3">
      <c r="V63">
        <v>-3.4</v>
      </c>
      <c r="W63">
        <f t="shared" si="0"/>
        <v>1.2322191684730199E-3</v>
      </c>
      <c r="X63" t="e">
        <f t="shared" si="1"/>
        <v>#N/A</v>
      </c>
      <c r="Y63">
        <f t="shared" si="2"/>
        <v>1.2322191684730199E-3</v>
      </c>
      <c r="Z63" t="e">
        <f t="shared" si="3"/>
        <v>#N/A</v>
      </c>
    </row>
    <row r="64" spans="22:26" x14ac:dyDescent="0.3">
      <c r="V64">
        <v>-3.39</v>
      </c>
      <c r="W64">
        <f t="shared" si="0"/>
        <v>1.2747712436618327E-3</v>
      </c>
      <c r="X64" t="e">
        <f t="shared" si="1"/>
        <v>#N/A</v>
      </c>
      <c r="Y64">
        <f t="shared" si="2"/>
        <v>1.2747712436618327E-3</v>
      </c>
      <c r="Z64" t="e">
        <f t="shared" si="3"/>
        <v>#N/A</v>
      </c>
    </row>
    <row r="65" spans="22:26" x14ac:dyDescent="0.3">
      <c r="V65">
        <v>-3.38</v>
      </c>
      <c r="W65">
        <f t="shared" si="0"/>
        <v>1.3186608918227423E-3</v>
      </c>
      <c r="X65" t="e">
        <f t="shared" si="1"/>
        <v>#N/A</v>
      </c>
      <c r="Y65">
        <f t="shared" si="2"/>
        <v>1.3186608918227423E-3</v>
      </c>
      <c r="Z65" t="e">
        <f t="shared" si="3"/>
        <v>#N/A</v>
      </c>
    </row>
    <row r="66" spans="22:26" x14ac:dyDescent="0.3">
      <c r="V66">
        <v>-3.37</v>
      </c>
      <c r="W66">
        <f t="shared" si="0"/>
        <v>1.3639252362389036E-3</v>
      </c>
      <c r="X66" t="e">
        <f t="shared" si="1"/>
        <v>#N/A</v>
      </c>
      <c r="Y66">
        <f t="shared" si="2"/>
        <v>1.3639252362389036E-3</v>
      </c>
      <c r="Z66" t="e">
        <f t="shared" si="3"/>
        <v>#N/A</v>
      </c>
    </row>
    <row r="67" spans="22:26" x14ac:dyDescent="0.3">
      <c r="V67">
        <v>-3.36</v>
      </c>
      <c r="W67">
        <f t="shared" si="0"/>
        <v>1.4106022569413848E-3</v>
      </c>
      <c r="X67" t="e">
        <f t="shared" si="1"/>
        <v>#N/A</v>
      </c>
      <c r="Y67">
        <f t="shared" si="2"/>
        <v>1.4106022569413848E-3</v>
      </c>
      <c r="Z67" t="e">
        <f t="shared" si="3"/>
        <v>#N/A</v>
      </c>
    </row>
    <row r="68" spans="22:26" x14ac:dyDescent="0.3">
      <c r="V68">
        <v>-3.35</v>
      </c>
      <c r="W68">
        <f t="shared" ref="W68:W131" si="4">_xlfn.NORM.S.DIST(V68,0)</f>
        <v>1.4587308046667459E-3</v>
      </c>
      <c r="X68" t="e">
        <f t="shared" ref="X68:X131" si="5">IF(V68=$A$2,W68,NA())</f>
        <v>#N/A</v>
      </c>
      <c r="Y68">
        <f t="shared" ref="Y68:Y131" si="6">IF(V68&lt;=$A$2,W68,NA())</f>
        <v>1.4587308046667459E-3</v>
      </c>
      <c r="Z68" t="e">
        <f t="shared" ref="Z68:Z131" si="7">IF(ABS(V68)&lt;=$A$2,W68,NA())</f>
        <v>#N/A</v>
      </c>
    </row>
    <row r="69" spans="22:26" x14ac:dyDescent="0.3">
      <c r="V69">
        <v>-3.34</v>
      </c>
      <c r="W69">
        <f t="shared" si="4"/>
        <v>1.5083506148503073E-3</v>
      </c>
      <c r="X69" t="e">
        <f t="shared" si="5"/>
        <v>#N/A</v>
      </c>
      <c r="Y69">
        <f t="shared" si="6"/>
        <v>1.5083506148503073E-3</v>
      </c>
      <c r="Z69" t="e">
        <f t="shared" si="7"/>
        <v>#N/A</v>
      </c>
    </row>
    <row r="70" spans="22:26" x14ac:dyDescent="0.3">
      <c r="V70">
        <v>-3.33</v>
      </c>
      <c r="W70">
        <f t="shared" si="4"/>
        <v>1.5595023216476915E-3</v>
      </c>
      <c r="X70" t="e">
        <f t="shared" si="5"/>
        <v>#N/A</v>
      </c>
      <c r="Y70">
        <f t="shared" si="6"/>
        <v>1.5595023216476915E-3</v>
      </c>
      <c r="Z70" t="e">
        <f t="shared" si="7"/>
        <v>#N/A</v>
      </c>
    </row>
    <row r="71" spans="22:26" x14ac:dyDescent="0.3">
      <c r="V71">
        <v>-3.32</v>
      </c>
      <c r="W71">
        <f t="shared" si="4"/>
        <v>1.6122274719771244E-3</v>
      </c>
      <c r="X71" t="e">
        <f t="shared" si="5"/>
        <v>#N/A</v>
      </c>
      <c r="Y71">
        <f t="shared" si="6"/>
        <v>1.6122274719771244E-3</v>
      </c>
      <c r="Z71" t="e">
        <f t="shared" si="7"/>
        <v>#N/A</v>
      </c>
    </row>
    <row r="72" spans="22:26" x14ac:dyDescent="0.3">
      <c r="V72">
        <v>-3.31</v>
      </c>
      <c r="W72">
        <f t="shared" si="4"/>
        <v>1.6665685395745797E-3</v>
      </c>
      <c r="X72" t="e">
        <f t="shared" si="5"/>
        <v>#N/A</v>
      </c>
      <c r="Y72">
        <f t="shared" si="6"/>
        <v>1.6665685395745797E-3</v>
      </c>
      <c r="Z72" t="e">
        <f t="shared" si="7"/>
        <v>#N/A</v>
      </c>
    </row>
    <row r="73" spans="22:26" x14ac:dyDescent="0.3">
      <c r="V73">
        <v>-3.3</v>
      </c>
      <c r="W73">
        <f t="shared" si="4"/>
        <v>1.7225689390536812E-3</v>
      </c>
      <c r="X73" t="e">
        <f t="shared" si="5"/>
        <v>#N/A</v>
      </c>
      <c r="Y73">
        <f t="shared" si="6"/>
        <v>1.7225689390536812E-3</v>
      </c>
      <c r="Z73" t="e">
        <f t="shared" si="7"/>
        <v>#N/A</v>
      </c>
    </row>
    <row r="74" spans="22:26" x14ac:dyDescent="0.3">
      <c r="V74">
        <v>-3.29</v>
      </c>
      <c r="W74">
        <f t="shared" si="4"/>
        <v>1.7802730399618786E-3</v>
      </c>
      <c r="X74" t="e">
        <f t="shared" si="5"/>
        <v>#N/A</v>
      </c>
      <c r="Y74">
        <f t="shared" si="6"/>
        <v>1.7802730399618786E-3</v>
      </c>
      <c r="Z74" t="e">
        <f t="shared" si="7"/>
        <v>#N/A</v>
      </c>
    </row>
    <row r="75" spans="22:26" x14ac:dyDescent="0.3">
      <c r="V75">
        <v>-3.28</v>
      </c>
      <c r="W75">
        <f t="shared" si="4"/>
        <v>1.839726180824281E-3</v>
      </c>
      <c r="X75" t="e">
        <f t="shared" si="5"/>
        <v>#N/A</v>
      </c>
      <c r="Y75">
        <f t="shared" si="6"/>
        <v>1.839726180824281E-3</v>
      </c>
      <c r="Z75" t="e">
        <f t="shared" si="7"/>
        <v>#N/A</v>
      </c>
    </row>
    <row r="76" spans="22:26" x14ac:dyDescent="0.3">
      <c r="V76">
        <v>-3.27</v>
      </c>
      <c r="W76">
        <f t="shared" si="4"/>
        <v>1.9009746831660803E-3</v>
      </c>
      <c r="X76" t="e">
        <f t="shared" si="5"/>
        <v>#N/A</v>
      </c>
      <c r="Y76">
        <f t="shared" si="6"/>
        <v>1.9009746831660803E-3</v>
      </c>
      <c r="Z76" t="e">
        <f t="shared" si="7"/>
        <v>#N/A</v>
      </c>
    </row>
    <row r="77" spans="22:26" x14ac:dyDescent="0.3">
      <c r="V77">
        <v>-3.26</v>
      </c>
      <c r="W77">
        <f t="shared" si="4"/>
        <v>1.9640658655043761E-3</v>
      </c>
      <c r="X77" t="e">
        <f t="shared" si="5"/>
        <v>#N/A</v>
      </c>
      <c r="Y77">
        <f t="shared" si="6"/>
        <v>1.9640658655043761E-3</v>
      </c>
      <c r="Z77" t="e">
        <f t="shared" si="7"/>
        <v>#N/A</v>
      </c>
    </row>
    <row r="78" spans="22:26" x14ac:dyDescent="0.3">
      <c r="V78">
        <v>-3.25</v>
      </c>
      <c r="W78">
        <f t="shared" si="4"/>
        <v>2.0290480572997681E-3</v>
      </c>
      <c r="X78" t="e">
        <f t="shared" si="5"/>
        <v>#N/A</v>
      </c>
      <c r="Y78">
        <f t="shared" si="6"/>
        <v>2.0290480572997681E-3</v>
      </c>
      <c r="Z78" t="e">
        <f t="shared" si="7"/>
        <v>#N/A</v>
      </c>
    </row>
    <row r="79" spans="22:26" x14ac:dyDescent="0.3">
      <c r="V79">
        <v>-3.24</v>
      </c>
      <c r="W79">
        <f t="shared" si="4"/>
        <v>2.0959706128579419E-3</v>
      </c>
      <c r="X79" t="e">
        <f t="shared" si="5"/>
        <v>#N/A</v>
      </c>
      <c r="Y79">
        <f t="shared" si="6"/>
        <v>2.0959706128579419E-3</v>
      </c>
      <c r="Z79" t="e">
        <f t="shared" si="7"/>
        <v>#N/A</v>
      </c>
    </row>
    <row r="80" spans="22:26" x14ac:dyDescent="0.3">
      <c r="V80">
        <v>-3.23</v>
      </c>
      <c r="W80">
        <f t="shared" si="4"/>
        <v>2.164883925171062E-3</v>
      </c>
      <c r="X80" t="e">
        <f t="shared" si="5"/>
        <v>#N/A</v>
      </c>
      <c r="Y80">
        <f t="shared" si="6"/>
        <v>2.164883925171062E-3</v>
      </c>
      <c r="Z80" t="e">
        <f t="shared" si="7"/>
        <v>#N/A</v>
      </c>
    </row>
    <row r="81" spans="22:26" x14ac:dyDescent="0.3">
      <c r="V81">
        <v>-3.22</v>
      </c>
      <c r="W81">
        <f t="shared" si="4"/>
        <v>2.2358394396885385E-3</v>
      </c>
      <c r="X81" t="e">
        <f t="shared" si="5"/>
        <v>#N/A</v>
      </c>
      <c r="Y81">
        <f t="shared" si="6"/>
        <v>2.2358394396885385E-3</v>
      </c>
      <c r="Z81" t="e">
        <f t="shared" si="7"/>
        <v>#N/A</v>
      </c>
    </row>
    <row r="82" spans="22:26" x14ac:dyDescent="0.3">
      <c r="V82">
        <v>-3.21</v>
      </c>
      <c r="W82">
        <f t="shared" si="4"/>
        <v>2.3088896680064958E-3</v>
      </c>
      <c r="X82" t="e">
        <f t="shared" si="5"/>
        <v>#N/A</v>
      </c>
      <c r="Y82">
        <f t="shared" si="6"/>
        <v>2.3088896680064958E-3</v>
      </c>
      <c r="Z82" t="e">
        <f t="shared" si="7"/>
        <v>#N/A</v>
      </c>
    </row>
    <row r="83" spans="22:26" x14ac:dyDescent="0.3">
      <c r="V83">
        <v>-3.2</v>
      </c>
      <c r="W83">
        <f t="shared" si="4"/>
        <v>2.3840882014648404E-3</v>
      </c>
      <c r="X83" t="e">
        <f t="shared" si="5"/>
        <v>#N/A</v>
      </c>
      <c r="Y83">
        <f t="shared" si="6"/>
        <v>2.3840882014648404E-3</v>
      </c>
      <c r="Z83" t="e">
        <f t="shared" si="7"/>
        <v>#N/A</v>
      </c>
    </row>
    <row r="84" spans="22:26" x14ac:dyDescent="0.3">
      <c r="V84">
        <v>-3.19</v>
      </c>
      <c r="W84">
        <f t="shared" si="4"/>
        <v>2.4614897246407006E-3</v>
      </c>
      <c r="X84" t="e">
        <f t="shared" si="5"/>
        <v>#N/A</v>
      </c>
      <c r="Y84">
        <f t="shared" si="6"/>
        <v>2.4614897246407006E-3</v>
      </c>
      <c r="Z84" t="e">
        <f t="shared" si="7"/>
        <v>#N/A</v>
      </c>
    </row>
    <row r="85" spans="22:26" x14ac:dyDescent="0.3">
      <c r="V85">
        <v>-3.18</v>
      </c>
      <c r="W85">
        <f t="shared" si="4"/>
        <v>2.5411500287265214E-3</v>
      </c>
      <c r="X85" t="e">
        <f t="shared" si="5"/>
        <v>#N/A</v>
      </c>
      <c r="Y85">
        <f t="shared" si="6"/>
        <v>2.5411500287265214E-3</v>
      </c>
      <c r="Z85" t="e">
        <f t="shared" si="7"/>
        <v>#N/A</v>
      </c>
    </row>
    <row r="86" spans="22:26" x14ac:dyDescent="0.3">
      <c r="V86">
        <v>-3.17</v>
      </c>
      <c r="W86">
        <f t="shared" si="4"/>
        <v>2.6231260247810244E-3</v>
      </c>
      <c r="X86" t="e">
        <f t="shared" si="5"/>
        <v>#N/A</v>
      </c>
      <c r="Y86">
        <f t="shared" si="6"/>
        <v>2.6231260247810244E-3</v>
      </c>
      <c r="Z86" t="e">
        <f t="shared" si="7"/>
        <v>#N/A</v>
      </c>
    </row>
    <row r="87" spans="22:26" x14ac:dyDescent="0.3">
      <c r="V87">
        <v>-3.16</v>
      </c>
      <c r="W87">
        <f t="shared" si="4"/>
        <v>2.7074757568406999E-3</v>
      </c>
      <c r="X87" t="e">
        <f t="shared" si="5"/>
        <v>#N/A</v>
      </c>
      <c r="Y87">
        <f t="shared" si="6"/>
        <v>2.7074757568406999E-3</v>
      </c>
      <c r="Z87" t="e">
        <f t="shared" si="7"/>
        <v>#N/A</v>
      </c>
    </row>
    <row r="88" spans="22:26" x14ac:dyDescent="0.3">
      <c r="V88">
        <v>-3.15</v>
      </c>
      <c r="W88">
        <f t="shared" si="4"/>
        <v>2.7942584148794472E-3</v>
      </c>
      <c r="X88" t="e">
        <f t="shared" si="5"/>
        <v>#N/A</v>
      </c>
      <c r="Y88">
        <f t="shared" si="6"/>
        <v>2.7942584148794472E-3</v>
      </c>
      <c r="Z88" t="e">
        <f t="shared" si="7"/>
        <v>#N/A</v>
      </c>
    </row>
    <row r="89" spans="22:26" x14ac:dyDescent="0.3">
      <c r="V89">
        <v>-3.14</v>
      </c>
      <c r="W89">
        <f t="shared" si="4"/>
        <v>2.8835343476034392E-3</v>
      </c>
      <c r="X89" t="e">
        <f t="shared" si="5"/>
        <v>#N/A</v>
      </c>
      <c r="Y89">
        <f t="shared" si="6"/>
        <v>2.8835343476034392E-3</v>
      </c>
      <c r="Z89" t="e">
        <f t="shared" si="7"/>
        <v>#N/A</v>
      </c>
    </row>
    <row r="90" spans="22:26" x14ac:dyDescent="0.3">
      <c r="V90">
        <v>-3.13</v>
      </c>
      <c r="W90">
        <f t="shared" si="4"/>
        <v>2.9753650750682535E-3</v>
      </c>
      <c r="X90" t="e">
        <f t="shared" si="5"/>
        <v>#N/A</v>
      </c>
      <c r="Y90">
        <f t="shared" si="6"/>
        <v>2.9753650750682535E-3</v>
      </c>
      <c r="Z90" t="e">
        <f t="shared" si="7"/>
        <v>#N/A</v>
      </c>
    </row>
    <row r="91" spans="22:26" x14ac:dyDescent="0.3">
      <c r="V91">
        <v>-3.12</v>
      </c>
      <c r="W91">
        <f t="shared" si="4"/>
        <v>3.0698133011047403E-3</v>
      </c>
      <c r="X91" t="e">
        <f t="shared" si="5"/>
        <v>#N/A</v>
      </c>
      <c r="Y91">
        <f t="shared" si="6"/>
        <v>3.0698133011047403E-3</v>
      </c>
      <c r="Z91" t="e">
        <f t="shared" si="7"/>
        <v>#N/A</v>
      </c>
    </row>
    <row r="92" spans="22:26" x14ac:dyDescent="0.3">
      <c r="V92">
        <v>-3.11</v>
      </c>
      <c r="W92">
        <f t="shared" si="4"/>
        <v>3.1669429255400811E-3</v>
      </c>
      <c r="X92" t="e">
        <f t="shared" si="5"/>
        <v>#N/A</v>
      </c>
      <c r="Y92">
        <f t="shared" si="6"/>
        <v>3.1669429255400811E-3</v>
      </c>
      <c r="Z92" t="e">
        <f t="shared" si="7"/>
        <v>#N/A</v>
      </c>
    </row>
    <row r="93" spans="22:26" x14ac:dyDescent="0.3">
      <c r="V93">
        <v>-3.1</v>
      </c>
      <c r="W93">
        <f t="shared" si="4"/>
        <v>3.2668190561999182E-3</v>
      </c>
      <c r="X93" t="e">
        <f t="shared" si="5"/>
        <v>#N/A</v>
      </c>
      <c r="Y93">
        <f t="shared" si="6"/>
        <v>3.2668190561999182E-3</v>
      </c>
      <c r="Z93" t="e">
        <f t="shared" si="7"/>
        <v>#N/A</v>
      </c>
    </row>
    <row r="94" spans="22:26" x14ac:dyDescent="0.3">
      <c r="V94">
        <v>-3.09</v>
      </c>
      <c r="W94">
        <f t="shared" si="4"/>
        <v>3.3695080206774812E-3</v>
      </c>
      <c r="X94" t="e">
        <f t="shared" si="5"/>
        <v>#N/A</v>
      </c>
      <c r="Y94">
        <f t="shared" si="6"/>
        <v>3.3695080206774812E-3</v>
      </c>
      <c r="Z94" t="e">
        <f t="shared" si="7"/>
        <v>#N/A</v>
      </c>
    </row>
    <row r="95" spans="22:26" x14ac:dyDescent="0.3">
      <c r="V95">
        <v>-3.08</v>
      </c>
      <c r="W95">
        <f t="shared" si="4"/>
        <v>3.4750773778549375E-3</v>
      </c>
      <c r="X95" t="e">
        <f t="shared" si="5"/>
        <v>#N/A</v>
      </c>
      <c r="Y95">
        <f t="shared" si="6"/>
        <v>3.4750773778549375E-3</v>
      </c>
      <c r="Z95" t="e">
        <f t="shared" si="7"/>
        <v>#N/A</v>
      </c>
    </row>
    <row r="96" spans="22:26" x14ac:dyDescent="0.3">
      <c r="V96">
        <v>-3.07</v>
      </c>
      <c r="W96">
        <f t="shared" si="4"/>
        <v>3.5835959291623614E-3</v>
      </c>
      <c r="X96" t="e">
        <f t="shared" si="5"/>
        <v>#N/A</v>
      </c>
      <c r="Y96">
        <f t="shared" si="6"/>
        <v>3.5835959291623614E-3</v>
      </c>
      <c r="Z96" t="e">
        <f t="shared" si="7"/>
        <v>#N/A</v>
      </c>
    </row>
    <row r="97" spans="22:26" x14ac:dyDescent="0.3">
      <c r="V97">
        <v>-3.06</v>
      </c>
      <c r="W97">
        <f t="shared" si="4"/>
        <v>3.6951337295590349E-3</v>
      </c>
      <c r="X97" t="e">
        <f t="shared" si="5"/>
        <v>#N/A</v>
      </c>
      <c r="Y97">
        <f t="shared" si="6"/>
        <v>3.6951337295590349E-3</v>
      </c>
      <c r="Z97" t="e">
        <f t="shared" si="7"/>
        <v>#N/A</v>
      </c>
    </row>
    <row r="98" spans="22:26" x14ac:dyDescent="0.3">
      <c r="V98">
        <v>-3.05</v>
      </c>
      <c r="W98">
        <f t="shared" si="4"/>
        <v>3.8097620982218104E-3</v>
      </c>
      <c r="X98" t="e">
        <f t="shared" si="5"/>
        <v>#N/A</v>
      </c>
      <c r="Y98">
        <f t="shared" si="6"/>
        <v>3.8097620982218104E-3</v>
      </c>
      <c r="Z98" t="e">
        <f t="shared" si="7"/>
        <v>#N/A</v>
      </c>
    </row>
    <row r="99" spans="22:26" x14ac:dyDescent="0.3">
      <c r="V99">
        <v>-3.04</v>
      </c>
      <c r="W99">
        <f t="shared" si="4"/>
        <v>3.9275536289247789E-3</v>
      </c>
      <c r="X99" t="e">
        <f t="shared" si="5"/>
        <v>#N/A</v>
      </c>
      <c r="Y99">
        <f t="shared" si="6"/>
        <v>3.9275536289247789E-3</v>
      </c>
      <c r="Z99" t="e">
        <f t="shared" si="7"/>
        <v>#N/A</v>
      </c>
    </row>
    <row r="100" spans="22:26" x14ac:dyDescent="0.3">
      <c r="V100">
        <v>-3.03</v>
      </c>
      <c r="W100">
        <f t="shared" si="4"/>
        <v>4.04858220009443E-3</v>
      </c>
      <c r="X100" t="e">
        <f t="shared" si="5"/>
        <v>#N/A</v>
      </c>
      <c r="Y100">
        <f t="shared" si="6"/>
        <v>4.04858220009443E-3</v>
      </c>
      <c r="Z100" t="e">
        <f t="shared" si="7"/>
        <v>#N/A</v>
      </c>
    </row>
    <row r="101" spans="22:26" x14ac:dyDescent="0.3">
      <c r="V101">
        <v>-3.02</v>
      </c>
      <c r="W101">
        <f t="shared" si="4"/>
        <v>4.1729229845239623E-3</v>
      </c>
      <c r="X101" t="e">
        <f t="shared" si="5"/>
        <v>#N/A</v>
      </c>
      <c r="Y101">
        <f t="shared" si="6"/>
        <v>4.1729229845239623E-3</v>
      </c>
      <c r="Z101" t="e">
        <f t="shared" si="7"/>
        <v>#N/A</v>
      </c>
    </row>
    <row r="102" spans="22:26" x14ac:dyDescent="0.3">
      <c r="V102">
        <v>-3.01</v>
      </c>
      <c r="W102">
        <f t="shared" si="4"/>
        <v>4.3006524587304498E-3</v>
      </c>
      <c r="X102" t="e">
        <f t="shared" si="5"/>
        <v>#N/A</v>
      </c>
      <c r="Y102">
        <f t="shared" si="6"/>
        <v>4.3006524587304498E-3</v>
      </c>
      <c r="Z102" t="e">
        <f t="shared" si="7"/>
        <v>#N/A</v>
      </c>
    </row>
    <row r="103" spans="22:26" x14ac:dyDescent="0.3">
      <c r="V103">
        <v>-3</v>
      </c>
      <c r="W103">
        <f t="shared" si="4"/>
        <v>4.4318484119380075E-3</v>
      </c>
      <c r="X103" t="e">
        <f t="shared" si="5"/>
        <v>#N/A</v>
      </c>
      <c r="Y103">
        <f t="shared" si="6"/>
        <v>4.4318484119380075E-3</v>
      </c>
      <c r="Z103" t="e">
        <f t="shared" si="7"/>
        <v>#N/A</v>
      </c>
    </row>
    <row r="104" spans="22:26" x14ac:dyDescent="0.3">
      <c r="V104">
        <v>-2.99</v>
      </c>
      <c r="W104">
        <f t="shared" si="4"/>
        <v>4.5665899546701444E-3</v>
      </c>
      <c r="X104" t="e">
        <f t="shared" si="5"/>
        <v>#N/A</v>
      </c>
      <c r="Y104">
        <f t="shared" si="6"/>
        <v>4.5665899546701444E-3</v>
      </c>
      <c r="Z104" t="e">
        <f t="shared" si="7"/>
        <v>#N/A</v>
      </c>
    </row>
    <row r="105" spans="22:26" x14ac:dyDescent="0.3">
      <c r="V105">
        <v>-2.98</v>
      </c>
      <c r="W105">
        <f t="shared" si="4"/>
        <v>4.7049575269339792E-3</v>
      </c>
      <c r="X105" t="e">
        <f t="shared" si="5"/>
        <v>#N/A</v>
      </c>
      <c r="Y105">
        <f t="shared" si="6"/>
        <v>4.7049575269339792E-3</v>
      </c>
      <c r="Z105" t="e">
        <f t="shared" si="7"/>
        <v>#N/A</v>
      </c>
    </row>
    <row r="106" spans="22:26" x14ac:dyDescent="0.3">
      <c r="V106">
        <v>-2.97</v>
      </c>
      <c r="W106">
        <f t="shared" si="4"/>
        <v>4.847032905978944E-3</v>
      </c>
      <c r="X106" t="e">
        <f t="shared" si="5"/>
        <v>#N/A</v>
      </c>
      <c r="Y106">
        <f t="shared" si="6"/>
        <v>4.847032905978944E-3</v>
      </c>
      <c r="Z106" t="e">
        <f t="shared" si="7"/>
        <v>#N/A</v>
      </c>
    </row>
    <row r="107" spans="22:26" x14ac:dyDescent="0.3">
      <c r="V107">
        <v>-2.96</v>
      </c>
      <c r="W107">
        <f t="shared" si="4"/>
        <v>4.9928992136123763E-3</v>
      </c>
      <c r="X107" t="e">
        <f t="shared" si="5"/>
        <v>#N/A</v>
      </c>
      <c r="Y107">
        <f t="shared" si="6"/>
        <v>4.9928992136123763E-3</v>
      </c>
      <c r="Z107" t="e">
        <f t="shared" si="7"/>
        <v>#N/A</v>
      </c>
    </row>
    <row r="108" spans="22:26" x14ac:dyDescent="0.3">
      <c r="V108">
        <v>-2.95</v>
      </c>
      <c r="W108">
        <f t="shared" si="4"/>
        <v>5.1426409230539392E-3</v>
      </c>
      <c r="X108" t="e">
        <f t="shared" si="5"/>
        <v>#N/A</v>
      </c>
      <c r="Y108">
        <f t="shared" si="6"/>
        <v>5.1426409230539392E-3</v>
      </c>
      <c r="Z108" t="e">
        <f t="shared" si="7"/>
        <v>#N/A</v>
      </c>
    </row>
    <row r="109" spans="22:26" x14ac:dyDescent="0.3">
      <c r="V109">
        <v>-2.94</v>
      </c>
      <c r="W109">
        <f t="shared" si="4"/>
        <v>5.2963438653110201E-3</v>
      </c>
      <c r="X109" t="e">
        <f t="shared" si="5"/>
        <v>#N/A</v>
      </c>
      <c r="Y109">
        <f t="shared" si="6"/>
        <v>5.2963438653110201E-3</v>
      </c>
      <c r="Z109" t="e">
        <f t="shared" si="7"/>
        <v>#N/A</v>
      </c>
    </row>
    <row r="110" spans="22:26" x14ac:dyDescent="0.3">
      <c r="V110">
        <v>-2.93</v>
      </c>
      <c r="W110">
        <f t="shared" si="4"/>
        <v>5.4540952350565454E-3</v>
      </c>
      <c r="X110" t="e">
        <f t="shared" si="5"/>
        <v>#N/A</v>
      </c>
      <c r="Y110">
        <f t="shared" si="6"/>
        <v>5.4540952350565454E-3</v>
      </c>
      <c r="Z110" t="e">
        <f t="shared" si="7"/>
        <v>#N/A</v>
      </c>
    </row>
    <row r="111" spans="22:26" x14ac:dyDescent="0.3">
      <c r="V111">
        <v>-2.92</v>
      </c>
      <c r="W111">
        <f t="shared" si="4"/>
        <v>5.615983595990969E-3</v>
      </c>
      <c r="X111" t="e">
        <f t="shared" si="5"/>
        <v>#N/A</v>
      </c>
      <c r="Y111">
        <f t="shared" si="6"/>
        <v>5.615983595990969E-3</v>
      </c>
      <c r="Z111" t="e">
        <f t="shared" si="7"/>
        <v>#N/A</v>
      </c>
    </row>
    <row r="112" spans="22:26" x14ac:dyDescent="0.3">
      <c r="V112">
        <v>-2.91</v>
      </c>
      <c r="W112">
        <f t="shared" si="4"/>
        <v>5.7820988856694729E-3</v>
      </c>
      <c r="X112" t="e">
        <f t="shared" si="5"/>
        <v>#N/A</v>
      </c>
      <c r="Y112">
        <f t="shared" si="6"/>
        <v>5.7820988856694729E-3</v>
      </c>
      <c r="Z112" t="e">
        <f t="shared" si="7"/>
        <v>#N/A</v>
      </c>
    </row>
    <row r="113" spans="22:26" x14ac:dyDescent="0.3">
      <c r="V113">
        <v>-2.9</v>
      </c>
      <c r="W113">
        <f t="shared" si="4"/>
        <v>5.9525324197758538E-3</v>
      </c>
      <c r="X113" t="e">
        <f t="shared" si="5"/>
        <v>#N/A</v>
      </c>
      <c r="Y113">
        <f t="shared" si="6"/>
        <v>5.9525324197758538E-3</v>
      </c>
      <c r="Z113" t="e">
        <f t="shared" si="7"/>
        <v>#N/A</v>
      </c>
    </row>
    <row r="114" spans="22:26" x14ac:dyDescent="0.3">
      <c r="V114">
        <v>-2.89</v>
      </c>
      <c r="W114">
        <f t="shared" si="4"/>
        <v>6.1273768958236873E-3</v>
      </c>
      <c r="X114" t="e">
        <f t="shared" si="5"/>
        <v>#N/A</v>
      </c>
      <c r="Y114">
        <f t="shared" si="6"/>
        <v>6.1273768958236873E-3</v>
      </c>
      <c r="Z114" t="e">
        <f t="shared" si="7"/>
        <v>#N/A</v>
      </c>
    </row>
    <row r="115" spans="22:26" x14ac:dyDescent="0.3">
      <c r="V115">
        <v>-2.88</v>
      </c>
      <c r="W115">
        <f t="shared" si="4"/>
        <v>6.3067263962659275E-3</v>
      </c>
      <c r="X115" t="e">
        <f t="shared" si="5"/>
        <v>#N/A</v>
      </c>
      <c r="Y115">
        <f t="shared" si="6"/>
        <v>6.3067263962659275E-3</v>
      </c>
      <c r="Z115" t="e">
        <f t="shared" si="7"/>
        <v>#N/A</v>
      </c>
    </row>
    <row r="116" spans="22:26" x14ac:dyDescent="0.3">
      <c r="V116">
        <v>-2.87</v>
      </c>
      <c r="W116">
        <f t="shared" si="4"/>
        <v>6.4906763909933643E-3</v>
      </c>
      <c r="X116" t="e">
        <f t="shared" si="5"/>
        <v>#N/A</v>
      </c>
      <c r="Y116">
        <f t="shared" si="6"/>
        <v>6.4906763909933643E-3</v>
      </c>
      <c r="Z116" t="e">
        <f t="shared" si="7"/>
        <v>#N/A</v>
      </c>
    </row>
    <row r="117" spans="22:26" x14ac:dyDescent="0.3">
      <c r="V117">
        <v>-2.86</v>
      </c>
      <c r="W117">
        <f t="shared" si="4"/>
        <v>6.6793237392026202E-3</v>
      </c>
      <c r="X117" t="e">
        <f t="shared" si="5"/>
        <v>#N/A</v>
      </c>
      <c r="Y117">
        <f t="shared" si="6"/>
        <v>6.6793237392026202E-3</v>
      </c>
      <c r="Z117" t="e">
        <f t="shared" si="7"/>
        <v>#N/A</v>
      </c>
    </row>
    <row r="118" spans="22:26" x14ac:dyDescent="0.3">
      <c r="V118">
        <v>-2.85</v>
      </c>
      <c r="W118">
        <f t="shared" si="4"/>
        <v>6.8727666906139712E-3</v>
      </c>
      <c r="X118" t="e">
        <f t="shared" si="5"/>
        <v>#N/A</v>
      </c>
      <c r="Y118">
        <f t="shared" si="6"/>
        <v>6.8727666906139712E-3</v>
      </c>
      <c r="Z118" t="e">
        <f t="shared" si="7"/>
        <v>#N/A</v>
      </c>
    </row>
    <row r="119" spans="22:26" x14ac:dyDescent="0.3">
      <c r="V119">
        <v>-2.84</v>
      </c>
      <c r="W119">
        <f t="shared" si="4"/>
        <v>7.0711048860194487E-3</v>
      </c>
      <c r="X119" t="e">
        <f t="shared" si="5"/>
        <v>#N/A</v>
      </c>
      <c r="Y119">
        <f t="shared" si="6"/>
        <v>7.0711048860194487E-3</v>
      </c>
      <c r="Z119" t="e">
        <f t="shared" si="7"/>
        <v>#N/A</v>
      </c>
    </row>
    <row r="120" spans="22:26" x14ac:dyDescent="0.3">
      <c r="V120">
        <v>-2.83</v>
      </c>
      <c r="W120">
        <f t="shared" si="4"/>
        <v>7.2744393571412182E-3</v>
      </c>
      <c r="X120" t="e">
        <f t="shared" si="5"/>
        <v>#N/A</v>
      </c>
      <c r="Y120">
        <f t="shared" si="6"/>
        <v>7.2744393571412182E-3</v>
      </c>
      <c r="Z120" t="e">
        <f t="shared" si="7"/>
        <v>#N/A</v>
      </c>
    </row>
    <row r="121" spans="22:26" x14ac:dyDescent="0.3">
      <c r="V121">
        <v>-2.82</v>
      </c>
      <c r="W121">
        <f t="shared" si="4"/>
        <v>7.4828725257805638E-3</v>
      </c>
      <c r="X121" t="e">
        <f t="shared" si="5"/>
        <v>#N/A</v>
      </c>
      <c r="Y121">
        <f t="shared" si="6"/>
        <v>7.4828725257805638E-3</v>
      </c>
      <c r="Z121" t="e">
        <f t="shared" si="7"/>
        <v>#N/A</v>
      </c>
    </row>
    <row r="122" spans="22:26" x14ac:dyDescent="0.3">
      <c r="V122">
        <v>-2.81</v>
      </c>
      <c r="W122">
        <f t="shared" si="4"/>
        <v>7.6965082022373218E-3</v>
      </c>
      <c r="X122" t="e">
        <f t="shared" si="5"/>
        <v>#N/A</v>
      </c>
      <c r="Y122">
        <f t="shared" si="6"/>
        <v>7.6965082022373218E-3</v>
      </c>
      <c r="Z122" t="e">
        <f t="shared" si="7"/>
        <v>#N/A</v>
      </c>
    </row>
    <row r="123" spans="22:26" x14ac:dyDescent="0.3">
      <c r="V123">
        <v>-2.8</v>
      </c>
      <c r="W123">
        <f t="shared" si="4"/>
        <v>7.9154515829799686E-3</v>
      </c>
      <c r="X123" t="e">
        <f t="shared" si="5"/>
        <v>#N/A</v>
      </c>
      <c r="Y123">
        <f t="shared" si="6"/>
        <v>7.9154515829799686E-3</v>
      </c>
      <c r="Z123" t="e">
        <f t="shared" si="7"/>
        <v>#N/A</v>
      </c>
    </row>
    <row r="124" spans="22:26" x14ac:dyDescent="0.3">
      <c r="V124">
        <v>-2.79</v>
      </c>
      <c r="W124">
        <f t="shared" si="4"/>
        <v>8.1398092475460215E-3</v>
      </c>
      <c r="X124" t="e">
        <f t="shared" si="5"/>
        <v>#N/A</v>
      </c>
      <c r="Y124">
        <f t="shared" si="6"/>
        <v>8.1398092475460215E-3</v>
      </c>
      <c r="Z124" t="e">
        <f t="shared" si="7"/>
        <v>#N/A</v>
      </c>
    </row>
    <row r="125" spans="22:26" x14ac:dyDescent="0.3">
      <c r="V125">
        <v>-2.78</v>
      </c>
      <c r="W125">
        <f t="shared" si="4"/>
        <v>8.369689154653033E-3</v>
      </c>
      <c r="X125" t="e">
        <f t="shared" si="5"/>
        <v>#N/A</v>
      </c>
      <c r="Y125">
        <f t="shared" si="6"/>
        <v>8.369689154653033E-3</v>
      </c>
      <c r="Z125" t="e">
        <f t="shared" si="7"/>
        <v>#N/A</v>
      </c>
    </row>
    <row r="126" spans="22:26" x14ac:dyDescent="0.3">
      <c r="V126">
        <v>-2.77</v>
      </c>
      <c r="W126">
        <f t="shared" si="4"/>
        <v>8.6052006374996715E-3</v>
      </c>
      <c r="X126" t="e">
        <f t="shared" si="5"/>
        <v>#N/A</v>
      </c>
      <c r="Y126">
        <f t="shared" si="6"/>
        <v>8.6052006374996715E-3</v>
      </c>
      <c r="Z126" t="e">
        <f t="shared" si="7"/>
        <v>#N/A</v>
      </c>
    </row>
    <row r="127" spans="22:26" x14ac:dyDescent="0.3">
      <c r="V127">
        <v>-2.76</v>
      </c>
      <c r="W127">
        <f t="shared" si="4"/>
        <v>8.8464543982372315E-3</v>
      </c>
      <c r="X127" t="e">
        <f t="shared" si="5"/>
        <v>#N/A</v>
      </c>
      <c r="Y127">
        <f t="shared" si="6"/>
        <v>8.8464543982372315E-3</v>
      </c>
      <c r="Z127" t="e">
        <f t="shared" si="7"/>
        <v>#N/A</v>
      </c>
    </row>
    <row r="128" spans="22:26" x14ac:dyDescent="0.3">
      <c r="V128">
        <v>-2.75</v>
      </c>
      <c r="W128">
        <f t="shared" si="4"/>
        <v>9.0935625015910529E-3</v>
      </c>
      <c r="X128" t="e">
        <f t="shared" si="5"/>
        <v>#N/A</v>
      </c>
      <c r="Y128">
        <f t="shared" si="6"/>
        <v>9.0935625015910529E-3</v>
      </c>
      <c r="Z128" t="e">
        <f t="shared" si="7"/>
        <v>#N/A</v>
      </c>
    </row>
    <row r="129" spans="22:26" x14ac:dyDescent="0.3">
      <c r="V129">
        <v>-2.74</v>
      </c>
      <c r="W129">
        <f t="shared" si="4"/>
        <v>9.3466383676122835E-3</v>
      </c>
      <c r="X129" t="e">
        <f t="shared" si="5"/>
        <v>#N/A</v>
      </c>
      <c r="Y129">
        <f t="shared" si="6"/>
        <v>9.3466383676122835E-3</v>
      </c>
      <c r="Z129" t="e">
        <f t="shared" si="7"/>
        <v>#N/A</v>
      </c>
    </row>
    <row r="130" spans="22:26" x14ac:dyDescent="0.3">
      <c r="V130">
        <v>-2.73</v>
      </c>
      <c r="W130">
        <f t="shared" si="4"/>
        <v>9.6057967635395872E-3</v>
      </c>
      <c r="X130" t="e">
        <f t="shared" si="5"/>
        <v>#N/A</v>
      </c>
      <c r="Y130">
        <f t="shared" si="6"/>
        <v>9.6057967635395872E-3</v>
      </c>
      <c r="Z130" t="e">
        <f t="shared" si="7"/>
        <v>#N/A</v>
      </c>
    </row>
    <row r="131" spans="22:26" x14ac:dyDescent="0.3">
      <c r="V131">
        <v>-2.72</v>
      </c>
      <c r="W131">
        <f t="shared" si="4"/>
        <v>9.8711537947511301E-3</v>
      </c>
      <c r="X131" t="e">
        <f t="shared" si="5"/>
        <v>#N/A</v>
      </c>
      <c r="Y131">
        <f t="shared" si="6"/>
        <v>9.8711537947511301E-3</v>
      </c>
      <c r="Z131" t="e">
        <f t="shared" si="7"/>
        <v>#N/A</v>
      </c>
    </row>
    <row r="132" spans="22:26" x14ac:dyDescent="0.3">
      <c r="V132">
        <v>-2.71</v>
      </c>
      <c r="W132">
        <f t="shared" ref="W132:W195" si="8">_xlfn.NORM.S.DIST(V132,0)</f>
        <v>1.0142826894787077E-2</v>
      </c>
      <c r="X132" t="e">
        <f t="shared" ref="X132:X195" si="9">IF(V132=$A$2,W132,NA())</f>
        <v>#N/A</v>
      </c>
      <c r="Y132">
        <f t="shared" ref="Y132:Y195" si="10">IF(V132&lt;=$A$2,W132,NA())</f>
        <v>1.0142826894787077E-2</v>
      </c>
      <c r="Z132" t="e">
        <f t="shared" ref="Z132:Z195" si="11">IF(ABS(V132)&lt;=$A$2,W132,NA())</f>
        <v>#N/A</v>
      </c>
    </row>
    <row r="133" spans="22:26" x14ac:dyDescent="0.3">
      <c r="V133">
        <v>-2.7</v>
      </c>
      <c r="W133">
        <f t="shared" si="8"/>
        <v>1.0420934814422592E-2</v>
      </c>
      <c r="X133" t="e">
        <f t="shared" si="9"/>
        <v>#N/A</v>
      </c>
      <c r="Y133">
        <f t="shared" si="10"/>
        <v>1.0420934814422592E-2</v>
      </c>
      <c r="Z133" t="e">
        <f t="shared" si="11"/>
        <v>#N/A</v>
      </c>
    </row>
    <row r="134" spans="22:26" x14ac:dyDescent="0.3">
      <c r="V134">
        <v>-2.69</v>
      </c>
      <c r="W134">
        <f t="shared" si="8"/>
        <v>1.0705597609772187E-2</v>
      </c>
      <c r="X134" t="e">
        <f t="shared" si="9"/>
        <v>#N/A</v>
      </c>
      <c r="Y134">
        <f t="shared" si="10"/>
        <v>1.0705597609772187E-2</v>
      </c>
      <c r="Z134" t="e">
        <f t="shared" si="11"/>
        <v>#N/A</v>
      </c>
    </row>
    <row r="135" spans="22:26" x14ac:dyDescent="0.3">
      <c r="V135">
        <v>-2.68</v>
      </c>
      <c r="W135">
        <f t="shared" si="8"/>
        <v>1.0996936629405572E-2</v>
      </c>
      <c r="X135" t="e">
        <f t="shared" si="9"/>
        <v>#N/A</v>
      </c>
      <c r="Y135">
        <f t="shared" si="10"/>
        <v>1.0996936629405572E-2</v>
      </c>
      <c r="Z135" t="e">
        <f t="shared" si="11"/>
        <v>#N/A</v>
      </c>
    </row>
    <row r="136" spans="22:26" x14ac:dyDescent="0.3">
      <c r="V136">
        <v>-2.67</v>
      </c>
      <c r="W136">
        <f t="shared" si="8"/>
        <v>1.1295074500456135E-2</v>
      </c>
      <c r="X136" t="e">
        <f t="shared" si="9"/>
        <v>#N/A</v>
      </c>
      <c r="Y136">
        <f t="shared" si="10"/>
        <v>1.1295074500456135E-2</v>
      </c>
      <c r="Z136" t="e">
        <f t="shared" si="11"/>
        <v>#N/A</v>
      </c>
    </row>
    <row r="137" spans="22:26" x14ac:dyDescent="0.3">
      <c r="V137">
        <v>-2.66</v>
      </c>
      <c r="W137">
        <f t="shared" si="8"/>
        <v>1.1600135113702561E-2</v>
      </c>
      <c r="X137" t="e">
        <f t="shared" si="9"/>
        <v>#N/A</v>
      </c>
      <c r="Y137">
        <f t="shared" si="10"/>
        <v>1.1600135113702561E-2</v>
      </c>
      <c r="Z137" t="e">
        <f t="shared" si="11"/>
        <v>#N/A</v>
      </c>
    </row>
    <row r="138" spans="22:26" x14ac:dyDescent="0.3">
      <c r="V138">
        <v>-2.65</v>
      </c>
      <c r="W138">
        <f t="shared" si="8"/>
        <v>1.1912243607605179E-2</v>
      </c>
      <c r="X138" t="e">
        <f t="shared" si="9"/>
        <v>#N/A</v>
      </c>
      <c r="Y138">
        <f t="shared" si="10"/>
        <v>1.1912243607605179E-2</v>
      </c>
      <c r="Z138" t="e">
        <f t="shared" si="11"/>
        <v>#N/A</v>
      </c>
    </row>
    <row r="139" spans="22:26" x14ac:dyDescent="0.3">
      <c r="V139">
        <v>-2.64</v>
      </c>
      <c r="W139">
        <f t="shared" si="8"/>
        <v>1.2231526351277971E-2</v>
      </c>
      <c r="X139" t="e">
        <f t="shared" si="9"/>
        <v>#N/A</v>
      </c>
      <c r="Y139">
        <f t="shared" si="10"/>
        <v>1.2231526351277971E-2</v>
      </c>
      <c r="Z139" t="e">
        <f t="shared" si="11"/>
        <v>#N/A</v>
      </c>
    </row>
    <row r="140" spans="22:26" x14ac:dyDescent="0.3">
      <c r="V140">
        <v>-2.63</v>
      </c>
      <c r="W140">
        <f t="shared" si="8"/>
        <v>1.2558110926378211E-2</v>
      </c>
      <c r="X140" t="e">
        <f t="shared" si="9"/>
        <v>#N/A</v>
      </c>
      <c r="Y140">
        <f t="shared" si="10"/>
        <v>1.2558110926378211E-2</v>
      </c>
      <c r="Z140" t="e">
        <f t="shared" si="11"/>
        <v>#N/A</v>
      </c>
    </row>
    <row r="141" spans="22:26" x14ac:dyDescent="0.3">
      <c r="V141">
        <v>-2.62</v>
      </c>
      <c r="W141">
        <f t="shared" si="8"/>
        <v>1.2892126107895304E-2</v>
      </c>
      <c r="X141" t="e">
        <f t="shared" si="9"/>
        <v>#N/A</v>
      </c>
      <c r="Y141">
        <f t="shared" si="10"/>
        <v>1.2892126107895304E-2</v>
      </c>
      <c r="Z141" t="e">
        <f t="shared" si="11"/>
        <v>#N/A</v>
      </c>
    </row>
    <row r="142" spans="22:26" x14ac:dyDescent="0.3">
      <c r="V142">
        <v>-2.61</v>
      </c>
      <c r="W142">
        <f t="shared" si="8"/>
        <v>1.3233701843821374E-2</v>
      </c>
      <c r="X142" t="e">
        <f t="shared" si="9"/>
        <v>#N/A</v>
      </c>
      <c r="Y142">
        <f t="shared" si="10"/>
        <v>1.3233701843821374E-2</v>
      </c>
      <c r="Z142" t="e">
        <f t="shared" si="11"/>
        <v>#N/A</v>
      </c>
    </row>
    <row r="143" spans="22:26" x14ac:dyDescent="0.3">
      <c r="V143">
        <v>-2.6</v>
      </c>
      <c r="W143">
        <f t="shared" si="8"/>
        <v>1.3582969233685613E-2</v>
      </c>
      <c r="X143" t="e">
        <f t="shared" si="9"/>
        <v>#N/A</v>
      </c>
      <c r="Y143">
        <f t="shared" si="10"/>
        <v>1.3582969233685613E-2</v>
      </c>
      <c r="Z143" t="e">
        <f t="shared" si="11"/>
        <v>#N/A</v>
      </c>
    </row>
    <row r="144" spans="22:26" x14ac:dyDescent="0.3">
      <c r="V144">
        <v>-2.59</v>
      </c>
      <c r="W144">
        <f t="shared" si="8"/>
        <v>1.3940060505935825E-2</v>
      </c>
      <c r="X144" t="e">
        <f t="shared" si="9"/>
        <v>#N/A</v>
      </c>
      <c r="Y144">
        <f t="shared" si="10"/>
        <v>1.3940060505935825E-2</v>
      </c>
      <c r="Z144" t="e">
        <f t="shared" si="11"/>
        <v>#N/A</v>
      </c>
    </row>
    <row r="145" spans="22:26" x14ac:dyDescent="0.3">
      <c r="V145">
        <v>-2.58</v>
      </c>
      <c r="W145">
        <f t="shared" si="8"/>
        <v>1.430510899414969E-2</v>
      </c>
      <c r="X145" t="e">
        <f t="shared" si="9"/>
        <v>#N/A</v>
      </c>
      <c r="Y145">
        <f t="shared" si="10"/>
        <v>1.430510899414969E-2</v>
      </c>
      <c r="Z145" t="e">
        <f t="shared" si="11"/>
        <v>#N/A</v>
      </c>
    </row>
    <row r="146" spans="22:26" x14ac:dyDescent="0.3">
      <c r="V146">
        <v>-2.57</v>
      </c>
      <c r="W146">
        <f t="shared" si="8"/>
        <v>1.4678249112060044E-2</v>
      </c>
      <c r="X146" t="e">
        <f t="shared" si="9"/>
        <v>#N/A</v>
      </c>
      <c r="Y146">
        <f t="shared" si="10"/>
        <v>1.4678249112060044E-2</v>
      </c>
      <c r="Z146" t="e">
        <f t="shared" si="11"/>
        <v>#N/A</v>
      </c>
    </row>
    <row r="147" spans="22:26" x14ac:dyDescent="0.3">
      <c r="V147">
        <v>-2.56</v>
      </c>
      <c r="W147">
        <f t="shared" si="8"/>
        <v>1.5059616327377449E-2</v>
      </c>
      <c r="X147" t="e">
        <f t="shared" si="9"/>
        <v>#N/A</v>
      </c>
      <c r="Y147">
        <f t="shared" si="10"/>
        <v>1.5059616327377449E-2</v>
      </c>
      <c r="Z147" t="e">
        <f t="shared" si="11"/>
        <v>#N/A</v>
      </c>
    </row>
    <row r="148" spans="22:26" x14ac:dyDescent="0.3">
      <c r="V148">
        <v>-2.5499999999999998</v>
      </c>
      <c r="W148">
        <f t="shared" si="8"/>
        <v>1.5449347134395174E-2</v>
      </c>
      <c r="X148" t="e">
        <f t="shared" si="9"/>
        <v>#N/A</v>
      </c>
      <c r="Y148">
        <f t="shared" si="10"/>
        <v>1.5449347134395174E-2</v>
      </c>
      <c r="Z148" t="e">
        <f t="shared" si="11"/>
        <v>#N/A</v>
      </c>
    </row>
    <row r="149" spans="22:26" x14ac:dyDescent="0.3">
      <c r="V149">
        <v>-2.54</v>
      </c>
      <c r="W149">
        <f t="shared" si="8"/>
        <v>1.5847579025360818E-2</v>
      </c>
      <c r="X149" t="e">
        <f t="shared" si="9"/>
        <v>#N/A</v>
      </c>
      <c r="Y149">
        <f t="shared" si="10"/>
        <v>1.5847579025360818E-2</v>
      </c>
      <c r="Z149" t="e">
        <f t="shared" si="11"/>
        <v>#N/A</v>
      </c>
    </row>
    <row r="150" spans="22:26" x14ac:dyDescent="0.3">
      <c r="V150">
        <v>-2.5299999999999998</v>
      </c>
      <c r="W150">
        <f t="shared" si="8"/>
        <v>1.6254450460600506E-2</v>
      </c>
      <c r="X150" t="e">
        <f t="shared" si="9"/>
        <v>#N/A</v>
      </c>
      <c r="Y150">
        <f t="shared" si="10"/>
        <v>1.6254450460600506E-2</v>
      </c>
      <c r="Z150" t="e">
        <f t="shared" si="11"/>
        <v>#N/A</v>
      </c>
    </row>
    <row r="151" spans="22:26" x14ac:dyDescent="0.3">
      <c r="V151">
        <v>-2.52</v>
      </c>
      <c r="W151">
        <f t="shared" si="8"/>
        <v>1.6670100837381057E-2</v>
      </c>
      <c r="X151" t="e">
        <f t="shared" si="9"/>
        <v>#N/A</v>
      </c>
      <c r="Y151">
        <f t="shared" si="10"/>
        <v>1.6670100837381057E-2</v>
      </c>
      <c r="Z151" t="e">
        <f t="shared" si="11"/>
        <v>#N/A</v>
      </c>
    </row>
    <row r="152" spans="22:26" x14ac:dyDescent="0.3">
      <c r="V152">
        <v>-2.5099999999999998</v>
      </c>
      <c r="W152">
        <f t="shared" si="8"/>
        <v>1.7094670457496956E-2</v>
      </c>
      <c r="X152" t="e">
        <f t="shared" si="9"/>
        <v>#N/A</v>
      </c>
      <c r="Y152">
        <f t="shared" si="10"/>
        <v>1.7094670457496956E-2</v>
      </c>
      <c r="Z152" t="e">
        <f t="shared" si="11"/>
        <v>#N/A</v>
      </c>
    </row>
    <row r="153" spans="22:26" x14ac:dyDescent="0.3">
      <c r="V153">
        <v>-2.5</v>
      </c>
      <c r="W153">
        <f t="shared" si="8"/>
        <v>1.752830049356854E-2</v>
      </c>
      <c r="X153" t="e">
        <f t="shared" si="9"/>
        <v>#N/A</v>
      </c>
      <c r="Y153">
        <f t="shared" si="10"/>
        <v>1.752830049356854E-2</v>
      </c>
      <c r="Z153" t="e">
        <f t="shared" si="11"/>
        <v>#N/A</v>
      </c>
    </row>
    <row r="154" spans="22:26" x14ac:dyDescent="0.3">
      <c r="V154">
        <v>-2.4900000000000002</v>
      </c>
      <c r="W154">
        <f t="shared" si="8"/>
        <v>1.7971132954039633E-2</v>
      </c>
      <c r="X154" t="e">
        <f t="shared" si="9"/>
        <v>#N/A</v>
      </c>
      <c r="Y154">
        <f t="shared" si="10"/>
        <v>1.7971132954039633E-2</v>
      </c>
      <c r="Z154" t="e">
        <f t="shared" si="11"/>
        <v>#N/A</v>
      </c>
    </row>
    <row r="155" spans="22:26" x14ac:dyDescent="0.3">
      <c r="V155">
        <v>-2.48</v>
      </c>
      <c r="W155">
        <f t="shared" si="8"/>
        <v>1.8423310646862048E-2</v>
      </c>
      <c r="X155" t="e">
        <f t="shared" si="9"/>
        <v>#N/A</v>
      </c>
      <c r="Y155">
        <f t="shared" si="10"/>
        <v>1.8423310646862048E-2</v>
      </c>
      <c r="Z155" t="e">
        <f t="shared" si="11"/>
        <v>#N/A</v>
      </c>
    </row>
    <row r="156" spans="22:26" x14ac:dyDescent="0.3">
      <c r="V156">
        <v>-2.4700000000000002</v>
      </c>
      <c r="W156">
        <f t="shared" si="8"/>
        <v>1.8884977141856163E-2</v>
      </c>
      <c r="X156" t="e">
        <f t="shared" si="9"/>
        <v>#N/A</v>
      </c>
      <c r="Y156">
        <f t="shared" si="10"/>
        <v>1.8884977141856163E-2</v>
      </c>
      <c r="Z156" t="e">
        <f t="shared" si="11"/>
        <v>#N/A</v>
      </c>
    </row>
    <row r="157" spans="22:26" x14ac:dyDescent="0.3">
      <c r="V157">
        <v>-2.46</v>
      </c>
      <c r="W157">
        <f t="shared" si="8"/>
        <v>1.9356276731736961E-2</v>
      </c>
      <c r="X157" t="e">
        <f t="shared" si="9"/>
        <v>#N/A</v>
      </c>
      <c r="Y157">
        <f t="shared" si="10"/>
        <v>1.9356276731736961E-2</v>
      </c>
      <c r="Z157" t="e">
        <f t="shared" si="11"/>
        <v>#N/A</v>
      </c>
    </row>
    <row r="158" spans="22:26" x14ac:dyDescent="0.3">
      <c r="V158">
        <v>-2.4500000000000002</v>
      </c>
      <c r="W158">
        <f t="shared" si="8"/>
        <v>1.9837354391795313E-2</v>
      </c>
      <c r="X158" t="e">
        <f t="shared" si="9"/>
        <v>#N/A</v>
      </c>
      <c r="Y158">
        <f t="shared" si="10"/>
        <v>1.9837354391795313E-2</v>
      </c>
      <c r="Z158" t="e">
        <f t="shared" si="11"/>
        <v>#N/A</v>
      </c>
    </row>
    <row r="159" spans="22:26" x14ac:dyDescent="0.3">
      <c r="V159">
        <v>-2.44</v>
      </c>
      <c r="W159">
        <f t="shared" si="8"/>
        <v>2.0328355738225837E-2</v>
      </c>
      <c r="X159" t="e">
        <f t="shared" si="9"/>
        <v>#N/A</v>
      </c>
      <c r="Y159">
        <f t="shared" si="10"/>
        <v>2.0328355738225837E-2</v>
      </c>
      <c r="Z159" t="e">
        <f t="shared" si="11"/>
        <v>#N/A</v>
      </c>
    </row>
    <row r="160" spans="22:26" x14ac:dyDescent="0.3">
      <c r="V160">
        <v>-2.4300000000000002</v>
      </c>
      <c r="W160">
        <f t="shared" si="8"/>
        <v>2.0829426985092186E-2</v>
      </c>
      <c r="X160" t="e">
        <f t="shared" si="9"/>
        <v>#N/A</v>
      </c>
      <c r="Y160">
        <f t="shared" si="10"/>
        <v>2.0829426985092186E-2</v>
      </c>
      <c r="Z160" t="e">
        <f t="shared" si="11"/>
        <v>#N/A</v>
      </c>
    </row>
    <row r="161" spans="22:26" x14ac:dyDescent="0.3">
      <c r="V161">
        <v>-2.42</v>
      </c>
      <c r="W161">
        <f t="shared" si="8"/>
        <v>2.1340714899922782E-2</v>
      </c>
      <c r="X161" t="e">
        <f t="shared" si="9"/>
        <v>#N/A</v>
      </c>
      <c r="Y161">
        <f t="shared" si="10"/>
        <v>2.1340714899922782E-2</v>
      </c>
      <c r="Z161" t="e">
        <f t="shared" si="11"/>
        <v>#N/A</v>
      </c>
    </row>
    <row r="162" spans="22:26" x14ac:dyDescent="0.3">
      <c r="V162">
        <v>-2.41</v>
      </c>
      <c r="W162">
        <f t="shared" si="8"/>
        <v>2.1862366757929387E-2</v>
      </c>
      <c r="X162" t="e">
        <f t="shared" si="9"/>
        <v>#N/A</v>
      </c>
      <c r="Y162">
        <f t="shared" si="10"/>
        <v>2.1862366757929387E-2</v>
      </c>
      <c r="Z162" t="e">
        <f t="shared" si="11"/>
        <v>#N/A</v>
      </c>
    </row>
    <row r="163" spans="22:26" x14ac:dyDescent="0.3">
      <c r="V163">
        <v>-2.4</v>
      </c>
      <c r="W163">
        <f t="shared" si="8"/>
        <v>2.2394530294842899E-2</v>
      </c>
      <c r="X163" t="e">
        <f t="shared" si="9"/>
        <v>#N/A</v>
      </c>
      <c r="Y163">
        <f t="shared" si="10"/>
        <v>2.2394530294842899E-2</v>
      </c>
      <c r="Z163" t="e">
        <f t="shared" si="11"/>
        <v>#N/A</v>
      </c>
    </row>
    <row r="164" spans="22:26" x14ac:dyDescent="0.3">
      <c r="V164">
        <v>-2.39</v>
      </c>
      <c r="W164">
        <f t="shared" si="8"/>
        <v>2.2937353658360693E-2</v>
      </c>
      <c r="X164" t="e">
        <f t="shared" si="9"/>
        <v>#N/A</v>
      </c>
      <c r="Y164">
        <f t="shared" si="10"/>
        <v>2.2937353658360693E-2</v>
      </c>
      <c r="Z164" t="e">
        <f t="shared" si="11"/>
        <v>#N/A</v>
      </c>
    </row>
    <row r="165" spans="22:26" x14ac:dyDescent="0.3">
      <c r="V165">
        <v>-2.38</v>
      </c>
      <c r="W165">
        <f t="shared" si="8"/>
        <v>2.3490985358201363E-2</v>
      </c>
      <c r="X165" t="e">
        <f t="shared" si="9"/>
        <v>#N/A</v>
      </c>
      <c r="Y165">
        <f t="shared" si="10"/>
        <v>2.3490985358201363E-2</v>
      </c>
      <c r="Z165" t="e">
        <f t="shared" si="11"/>
        <v>#N/A</v>
      </c>
    </row>
    <row r="166" spans="22:26" x14ac:dyDescent="0.3">
      <c r="V166">
        <v>-2.37</v>
      </c>
      <c r="W166">
        <f t="shared" si="8"/>
        <v>2.4055574214762971E-2</v>
      </c>
      <c r="X166" t="e">
        <f t="shared" si="9"/>
        <v>#N/A</v>
      </c>
      <c r="Y166">
        <f t="shared" si="10"/>
        <v>2.4055574214762971E-2</v>
      </c>
      <c r="Z166" t="e">
        <f t="shared" si="11"/>
        <v>#N/A</v>
      </c>
    </row>
    <row r="167" spans="22:26" x14ac:dyDescent="0.3">
      <c r="V167">
        <v>-2.36</v>
      </c>
      <c r="W167">
        <f t="shared" si="8"/>
        <v>2.4631269306382507E-2</v>
      </c>
      <c r="X167" t="e">
        <f t="shared" si="9"/>
        <v>#N/A</v>
      </c>
      <c r="Y167">
        <f t="shared" si="10"/>
        <v>2.4631269306382507E-2</v>
      </c>
      <c r="Z167" t="e">
        <f t="shared" si="11"/>
        <v>#N/A</v>
      </c>
    </row>
    <row r="168" spans="22:26" x14ac:dyDescent="0.3">
      <c r="V168">
        <v>-2.35</v>
      </c>
      <c r="W168">
        <f t="shared" si="8"/>
        <v>2.5218219915194382E-2</v>
      </c>
      <c r="X168" t="e">
        <f t="shared" si="9"/>
        <v>#N/A</v>
      </c>
      <c r="Y168">
        <f t="shared" si="10"/>
        <v>2.5218219915194382E-2</v>
      </c>
      <c r="Z168" t="e">
        <f t="shared" si="11"/>
        <v>#N/A</v>
      </c>
    </row>
    <row r="169" spans="22:26" x14ac:dyDescent="0.3">
      <c r="V169">
        <v>-2.34</v>
      </c>
      <c r="W169">
        <f t="shared" si="8"/>
        <v>2.581657547158769E-2</v>
      </c>
      <c r="X169" t="e">
        <f t="shared" si="9"/>
        <v>#N/A</v>
      </c>
      <c r="Y169">
        <f t="shared" si="10"/>
        <v>2.581657547158769E-2</v>
      </c>
      <c r="Z169" t="e">
        <f t="shared" si="11"/>
        <v>#N/A</v>
      </c>
    </row>
    <row r="170" spans="22:26" x14ac:dyDescent="0.3">
      <c r="V170">
        <v>-2.33</v>
      </c>
      <c r="W170">
        <f t="shared" si="8"/>
        <v>2.6426485497261721E-2</v>
      </c>
      <c r="X170" t="e">
        <f t="shared" si="9"/>
        <v>#N/A</v>
      </c>
      <c r="Y170">
        <f t="shared" si="10"/>
        <v>2.6426485497261721E-2</v>
      </c>
      <c r="Z170" t="e">
        <f t="shared" si="11"/>
        <v>#N/A</v>
      </c>
    </row>
    <row r="171" spans="22:26" x14ac:dyDescent="0.3">
      <c r="V171">
        <v>-2.3199999999999998</v>
      </c>
      <c r="W171">
        <f t="shared" si="8"/>
        <v>2.7048099546881785E-2</v>
      </c>
      <c r="X171" t="e">
        <f t="shared" si="9"/>
        <v>#N/A</v>
      </c>
      <c r="Y171">
        <f t="shared" si="10"/>
        <v>2.7048099546881785E-2</v>
      </c>
      <c r="Z171" t="e">
        <f t="shared" si="11"/>
        <v>#N/A</v>
      </c>
    </row>
    <row r="172" spans="22:26" x14ac:dyDescent="0.3">
      <c r="V172">
        <v>-2.31</v>
      </c>
      <c r="W172">
        <f t="shared" si="8"/>
        <v>2.7681567148336573E-2</v>
      </c>
      <c r="X172" t="e">
        <f t="shared" si="9"/>
        <v>#N/A</v>
      </c>
      <c r="Y172">
        <f t="shared" si="10"/>
        <v>2.7681567148336573E-2</v>
      </c>
      <c r="Z172" t="e">
        <f t="shared" si="11"/>
        <v>#N/A</v>
      </c>
    </row>
    <row r="173" spans="22:26" x14ac:dyDescent="0.3">
      <c r="V173">
        <v>-2.2999999999999998</v>
      </c>
      <c r="W173">
        <f t="shared" si="8"/>
        <v>2.8327037741601186E-2</v>
      </c>
      <c r="X173" t="e">
        <f t="shared" si="9"/>
        <v>#N/A</v>
      </c>
      <c r="Y173">
        <f t="shared" si="10"/>
        <v>2.8327037741601186E-2</v>
      </c>
      <c r="Z173" t="e">
        <f t="shared" si="11"/>
        <v>#N/A</v>
      </c>
    </row>
    <row r="174" spans="22:26" x14ac:dyDescent="0.3">
      <c r="V174">
        <v>-2.29</v>
      </c>
      <c r="W174">
        <f t="shared" si="8"/>
        <v>2.8984660616209412E-2</v>
      </c>
      <c r="X174" t="e">
        <f t="shared" si="9"/>
        <v>#N/A</v>
      </c>
      <c r="Y174">
        <f t="shared" si="10"/>
        <v>2.8984660616209412E-2</v>
      </c>
      <c r="Z174" t="e">
        <f t="shared" si="11"/>
        <v>#N/A</v>
      </c>
    </row>
    <row r="175" spans="22:26" x14ac:dyDescent="0.3">
      <c r="V175">
        <v>-2.2799999999999998</v>
      </c>
      <c r="W175">
        <f t="shared" si="8"/>
        <v>2.9654584847341278E-2</v>
      </c>
      <c r="X175" t="e">
        <f t="shared" si="9"/>
        <v>#N/A</v>
      </c>
      <c r="Y175">
        <f t="shared" si="10"/>
        <v>2.9654584847341278E-2</v>
      </c>
      <c r="Z175" t="e">
        <f t="shared" si="11"/>
        <v>#N/A</v>
      </c>
    </row>
    <row r="176" spans="22:26" x14ac:dyDescent="0.3">
      <c r="V176">
        <v>-2.27</v>
      </c>
      <c r="W176">
        <f t="shared" si="8"/>
        <v>3.0336959230531636E-2</v>
      </c>
      <c r="X176" t="e">
        <f t="shared" si="9"/>
        <v>#N/A</v>
      </c>
      <c r="Y176">
        <f t="shared" si="10"/>
        <v>3.0336959230531636E-2</v>
      </c>
      <c r="Z176" t="e">
        <f t="shared" si="11"/>
        <v>#N/A</v>
      </c>
    </row>
    <row r="177" spans="22:26" x14ac:dyDescent="0.3">
      <c r="V177">
        <v>-2.2599999999999998</v>
      </c>
      <c r="W177">
        <f t="shared" si="8"/>
        <v>3.103193221500827E-2</v>
      </c>
      <c r="X177" t="e">
        <f t="shared" si="9"/>
        <v>#N/A</v>
      </c>
      <c r="Y177">
        <f t="shared" si="10"/>
        <v>3.103193221500827E-2</v>
      </c>
      <c r="Z177" t="e">
        <f t="shared" si="11"/>
        <v>#N/A</v>
      </c>
    </row>
    <row r="178" spans="22:26" x14ac:dyDescent="0.3">
      <c r="V178">
        <v>-2.25</v>
      </c>
      <c r="W178">
        <f t="shared" si="8"/>
        <v>3.1739651835667418E-2</v>
      </c>
      <c r="X178" t="e">
        <f t="shared" si="9"/>
        <v>#N/A</v>
      </c>
      <c r="Y178">
        <f t="shared" si="10"/>
        <v>3.1739651835667418E-2</v>
      </c>
      <c r="Z178" t="e">
        <f t="shared" si="11"/>
        <v>#N/A</v>
      </c>
    </row>
    <row r="179" spans="22:26" x14ac:dyDescent="0.3">
      <c r="V179">
        <v>-2.2400000000000002</v>
      </c>
      <c r="W179">
        <f t="shared" si="8"/>
        <v>3.2460265643697445E-2</v>
      </c>
      <c r="X179" t="e">
        <f t="shared" si="9"/>
        <v>#N/A</v>
      </c>
      <c r="Y179">
        <f t="shared" si="10"/>
        <v>3.2460265643697445E-2</v>
      </c>
      <c r="Z179" t="e">
        <f t="shared" si="11"/>
        <v>#N/A</v>
      </c>
    </row>
    <row r="180" spans="22:26" x14ac:dyDescent="0.3">
      <c r="V180">
        <v>-2.23</v>
      </c>
      <c r="W180">
        <f t="shared" si="8"/>
        <v>3.3193920635861122E-2</v>
      </c>
      <c r="X180" t="e">
        <f t="shared" si="9"/>
        <v>#N/A</v>
      </c>
      <c r="Y180">
        <f t="shared" si="10"/>
        <v>3.3193920635861122E-2</v>
      </c>
      <c r="Z180" t="e">
        <f t="shared" si="11"/>
        <v>#N/A</v>
      </c>
    </row>
    <row r="181" spans="22:26" x14ac:dyDescent="0.3">
      <c r="V181">
        <v>-2.2200000000000002</v>
      </c>
      <c r="W181">
        <f t="shared" si="8"/>
        <v>3.3940763182449186E-2</v>
      </c>
      <c r="X181" t="e">
        <f t="shared" si="9"/>
        <v>#N/A</v>
      </c>
      <c r="Y181">
        <f t="shared" si="10"/>
        <v>3.3940763182449186E-2</v>
      </c>
      <c r="Z181" t="e">
        <f t="shared" si="11"/>
        <v>#N/A</v>
      </c>
    </row>
    <row r="182" spans="22:26" x14ac:dyDescent="0.3">
      <c r="V182">
        <v>-2.21</v>
      </c>
      <c r="W182">
        <f t="shared" si="8"/>
        <v>3.470093895391882E-2</v>
      </c>
      <c r="X182" t="e">
        <f t="shared" si="9"/>
        <v>#N/A</v>
      </c>
      <c r="Y182">
        <f t="shared" si="10"/>
        <v>3.470093895391882E-2</v>
      </c>
      <c r="Z182" t="e">
        <f t="shared" si="11"/>
        <v>#N/A</v>
      </c>
    </row>
    <row r="183" spans="22:26" x14ac:dyDescent="0.3">
      <c r="V183">
        <v>-2.2000000000000002</v>
      </c>
      <c r="W183">
        <f t="shared" si="8"/>
        <v>3.5474592846231424E-2</v>
      </c>
      <c r="X183" t="e">
        <f t="shared" si="9"/>
        <v>#N/A</v>
      </c>
      <c r="Y183">
        <f t="shared" si="10"/>
        <v>3.5474592846231424E-2</v>
      </c>
      <c r="Z183" t="e">
        <f t="shared" si="11"/>
        <v>#N/A</v>
      </c>
    </row>
    <row r="184" spans="22:26" x14ac:dyDescent="0.3">
      <c r="V184">
        <v>-2.19</v>
      </c>
      <c r="W184">
        <f t="shared" si="8"/>
        <v>3.6261868904906222E-2</v>
      </c>
      <c r="X184" t="e">
        <f t="shared" si="9"/>
        <v>#N/A</v>
      </c>
      <c r="Y184">
        <f t="shared" si="10"/>
        <v>3.6261868904906222E-2</v>
      </c>
      <c r="Z184" t="e">
        <f t="shared" si="11"/>
        <v>#N/A</v>
      </c>
    </row>
    <row r="185" spans="22:26" x14ac:dyDescent="0.3">
      <c r="V185">
        <v>-2.1800000000000002</v>
      </c>
      <c r="W185">
        <f t="shared" si="8"/>
        <v>3.7062910247806474E-2</v>
      </c>
      <c r="X185" t="e">
        <f t="shared" si="9"/>
        <v>#N/A</v>
      </c>
      <c r="Y185">
        <f t="shared" si="10"/>
        <v>3.7062910247806474E-2</v>
      </c>
      <c r="Z185" t="e">
        <f t="shared" si="11"/>
        <v>#N/A</v>
      </c>
    </row>
    <row r="186" spans="22:26" x14ac:dyDescent="0.3">
      <c r="V186">
        <v>-2.17</v>
      </c>
      <c r="W186">
        <f t="shared" si="8"/>
        <v>3.7877858986677483E-2</v>
      </c>
      <c r="X186" t="e">
        <f t="shared" si="9"/>
        <v>#N/A</v>
      </c>
      <c r="Y186">
        <f t="shared" si="10"/>
        <v>3.7877858986677483E-2</v>
      </c>
      <c r="Z186" t="e">
        <f t="shared" si="11"/>
        <v>#N/A</v>
      </c>
    </row>
    <row r="187" spans="22:26" x14ac:dyDescent="0.3">
      <c r="V187">
        <v>-2.16</v>
      </c>
      <c r="W187">
        <f t="shared" si="8"/>
        <v>3.8706856147455608E-2</v>
      </c>
      <c r="X187" t="e">
        <f t="shared" si="9"/>
        <v>#N/A</v>
      </c>
      <c r="Y187">
        <f t="shared" si="10"/>
        <v>3.8706856147455608E-2</v>
      </c>
      <c r="Z187" t="e">
        <f t="shared" si="11"/>
        <v>#N/A</v>
      </c>
    </row>
    <row r="188" spans="22:26" x14ac:dyDescent="0.3">
      <c r="V188">
        <v>-2.15</v>
      </c>
      <c r="W188">
        <f t="shared" si="8"/>
        <v>3.955004158937022E-2</v>
      </c>
      <c r="X188" t="e">
        <f t="shared" si="9"/>
        <v>#N/A</v>
      </c>
      <c r="Y188">
        <f t="shared" si="10"/>
        <v>3.955004158937022E-2</v>
      </c>
      <c r="Z188" t="e">
        <f t="shared" si="11"/>
        <v>#N/A</v>
      </c>
    </row>
    <row r="189" spans="22:26" x14ac:dyDescent="0.3">
      <c r="V189">
        <v>-2.14</v>
      </c>
      <c r="W189">
        <f t="shared" si="8"/>
        <v>4.0407553922860308E-2</v>
      </c>
      <c r="X189" t="e">
        <f t="shared" si="9"/>
        <v>#N/A</v>
      </c>
      <c r="Y189">
        <f t="shared" si="10"/>
        <v>4.0407553922860308E-2</v>
      </c>
      <c r="Z189" t="e">
        <f t="shared" si="11"/>
        <v>#N/A</v>
      </c>
    </row>
    <row r="190" spans="22:26" x14ac:dyDescent="0.3">
      <c r="V190">
        <v>-2.13</v>
      </c>
      <c r="W190">
        <f t="shared" si="8"/>
        <v>4.1279530426330417E-2</v>
      </c>
      <c r="X190" t="e">
        <f t="shared" si="9"/>
        <v>#N/A</v>
      </c>
      <c r="Y190">
        <f t="shared" si="10"/>
        <v>4.1279530426330417E-2</v>
      </c>
      <c r="Z190" t="e">
        <f t="shared" si="11"/>
        <v>#N/A</v>
      </c>
    </row>
    <row r="191" spans="22:26" x14ac:dyDescent="0.3">
      <c r="V191">
        <v>-2.12</v>
      </c>
      <c r="W191">
        <f t="shared" si="8"/>
        <v>4.2166106961770311E-2</v>
      </c>
      <c r="X191" t="e">
        <f t="shared" si="9"/>
        <v>#N/A</v>
      </c>
      <c r="Y191">
        <f t="shared" si="10"/>
        <v>4.2166106961770311E-2</v>
      </c>
      <c r="Z191" t="e">
        <f t="shared" si="11"/>
        <v>#N/A</v>
      </c>
    </row>
    <row r="192" spans="22:26" x14ac:dyDescent="0.3">
      <c r="V192">
        <v>-2.11</v>
      </c>
      <c r="W192">
        <f t="shared" si="8"/>
        <v>4.3067417889265734E-2</v>
      </c>
      <c r="X192" t="e">
        <f t="shared" si="9"/>
        <v>#N/A</v>
      </c>
      <c r="Y192">
        <f t="shared" si="10"/>
        <v>4.3067417889265734E-2</v>
      </c>
      <c r="Z192" t="e">
        <f t="shared" si="11"/>
        <v>#N/A</v>
      </c>
    </row>
    <row r="193" spans="22:26" x14ac:dyDescent="0.3">
      <c r="V193">
        <v>-2.1</v>
      </c>
      <c r="W193">
        <f t="shared" si="8"/>
        <v>4.3983595980427191E-2</v>
      </c>
      <c r="X193" t="e">
        <f t="shared" si="9"/>
        <v>#N/A</v>
      </c>
      <c r="Y193">
        <f t="shared" si="10"/>
        <v>4.3983595980427191E-2</v>
      </c>
      <c r="Z193" t="e">
        <f t="shared" si="11"/>
        <v>#N/A</v>
      </c>
    </row>
    <row r="194" spans="22:26" x14ac:dyDescent="0.3">
      <c r="V194">
        <v>-2.09</v>
      </c>
      <c r="W194">
        <f t="shared" si="8"/>
        <v>4.49147723307671E-2</v>
      </c>
      <c r="X194" t="e">
        <f t="shared" si="9"/>
        <v>#N/A</v>
      </c>
      <c r="Y194">
        <f t="shared" si="10"/>
        <v>4.49147723307671E-2</v>
      </c>
      <c r="Z194" t="e">
        <f t="shared" si="11"/>
        <v>#N/A</v>
      </c>
    </row>
    <row r="195" spans="22:26" x14ac:dyDescent="0.3">
      <c r="V195">
        <v>-2.08</v>
      </c>
      <c r="W195">
        <f t="shared" si="8"/>
        <v>4.5861076271054887E-2</v>
      </c>
      <c r="X195" t="e">
        <f t="shared" si="9"/>
        <v>#N/A</v>
      </c>
      <c r="Y195">
        <f t="shared" si="10"/>
        <v>4.5861076271054887E-2</v>
      </c>
      <c r="Z195" t="e">
        <f t="shared" si="11"/>
        <v>#N/A</v>
      </c>
    </row>
    <row r="196" spans="22:26" x14ac:dyDescent="0.3">
      <c r="V196">
        <v>-2.0699999999999998</v>
      </c>
      <c r="W196">
        <f t="shared" ref="W196:W259" si="12">_xlfn.NORM.S.DIST(V196,0)</f>
        <v>4.6822635277683163E-2</v>
      </c>
      <c r="X196" t="e">
        <f t="shared" ref="X196:X259" si="13">IF(V196=$A$2,W196,NA())</f>
        <v>#N/A</v>
      </c>
      <c r="Y196">
        <f t="shared" ref="Y196:Y259" si="14">IF(V196&lt;=$A$2,W196,NA())</f>
        <v>4.6822635277683163E-2</v>
      </c>
      <c r="Z196" t="e">
        <f t="shared" ref="Z196:Z259" si="15">IF(ABS(V196)&lt;=$A$2,W196,NA())</f>
        <v>#N/A</v>
      </c>
    </row>
    <row r="197" spans="22:26" x14ac:dyDescent="0.3">
      <c r="V197">
        <v>-2.06</v>
      </c>
      <c r="W197">
        <f t="shared" si="12"/>
        <v>4.7799574882077034E-2</v>
      </c>
      <c r="X197" t="e">
        <f t="shared" si="13"/>
        <v>#N/A</v>
      </c>
      <c r="Y197">
        <f t="shared" si="14"/>
        <v>4.7799574882077034E-2</v>
      </c>
      <c r="Z197" t="e">
        <f t="shared" si="15"/>
        <v>#N/A</v>
      </c>
    </row>
    <row r="198" spans="22:26" x14ac:dyDescent="0.3">
      <c r="V198">
        <v>-2.0499999999999998</v>
      </c>
      <c r="W198">
        <f t="shared" si="12"/>
        <v>4.8792018579182764E-2</v>
      </c>
      <c r="X198" t="e">
        <f t="shared" si="13"/>
        <v>#N/A</v>
      </c>
      <c r="Y198">
        <f t="shared" si="14"/>
        <v>4.8792018579182764E-2</v>
      </c>
      <c r="Z198" t="e">
        <f t="shared" si="15"/>
        <v>#N/A</v>
      </c>
    </row>
    <row r="199" spans="22:26" x14ac:dyDescent="0.3">
      <c r="V199">
        <v>-2.04</v>
      </c>
      <c r="W199">
        <f t="shared" si="12"/>
        <v>4.9800087735070775E-2</v>
      </c>
      <c r="X199" t="e">
        <f t="shared" si="13"/>
        <v>#N/A</v>
      </c>
      <c r="Y199">
        <f t="shared" si="14"/>
        <v>4.9800087735070775E-2</v>
      </c>
      <c r="Z199" t="e">
        <f t="shared" si="15"/>
        <v>#N/A</v>
      </c>
    </row>
    <row r="200" spans="22:26" x14ac:dyDescent="0.3">
      <c r="V200">
        <v>-2.0299999999999998</v>
      </c>
      <c r="W200">
        <f t="shared" si="12"/>
        <v>5.0823901493691204E-2</v>
      </c>
      <c r="X200" t="e">
        <f t="shared" si="13"/>
        <v>#N/A</v>
      </c>
      <c r="Y200">
        <f t="shared" si="14"/>
        <v>5.0823901493691204E-2</v>
      </c>
      <c r="Z200" t="e">
        <f t="shared" si="15"/>
        <v>#N/A</v>
      </c>
    </row>
    <row r="201" spans="22:26" x14ac:dyDescent="0.3">
      <c r="V201">
        <v>-2.02</v>
      </c>
      <c r="W201">
        <f t="shared" si="12"/>
        <v>5.1863576682820565E-2</v>
      </c>
      <c r="X201" t="e">
        <f t="shared" si="13"/>
        <v>#N/A</v>
      </c>
      <c r="Y201">
        <f t="shared" si="14"/>
        <v>5.1863576682820565E-2</v>
      </c>
      <c r="Z201" t="e">
        <f t="shared" si="15"/>
        <v>#N/A</v>
      </c>
    </row>
    <row r="202" spans="22:26" x14ac:dyDescent="0.3">
      <c r="V202">
        <v>-2.0099999999999998</v>
      </c>
      <c r="W202">
        <f t="shared" si="12"/>
        <v>5.2919227719240312E-2</v>
      </c>
      <c r="X202" t="e">
        <f t="shared" si="13"/>
        <v>#N/A</v>
      </c>
      <c r="Y202">
        <f t="shared" si="14"/>
        <v>5.2919227719240312E-2</v>
      </c>
      <c r="Z202" t="e">
        <f t="shared" si="15"/>
        <v>#N/A</v>
      </c>
    </row>
    <row r="203" spans="22:26" x14ac:dyDescent="0.3">
      <c r="V203">
        <v>-2</v>
      </c>
      <c r="W203">
        <f t="shared" si="12"/>
        <v>5.3990966513188063E-2</v>
      </c>
      <c r="X203" t="e">
        <f t="shared" si="13"/>
        <v>#N/A</v>
      </c>
      <c r="Y203">
        <f t="shared" si="14"/>
        <v>5.3990966513188063E-2</v>
      </c>
      <c r="Z203" t="e">
        <f t="shared" si="15"/>
        <v>#N/A</v>
      </c>
    </row>
    <row r="204" spans="22:26" x14ac:dyDescent="0.3">
      <c r="V204">
        <v>-1.99</v>
      </c>
      <c r="W204">
        <f t="shared" si="12"/>
        <v>5.5078902372125767E-2</v>
      </c>
      <c r="X204" t="e">
        <f t="shared" si="13"/>
        <v>#N/A</v>
      </c>
      <c r="Y204">
        <f t="shared" si="14"/>
        <v>5.5078902372125767E-2</v>
      </c>
      <c r="Z204" t="e">
        <f t="shared" si="15"/>
        <v>#N/A</v>
      </c>
    </row>
    <row r="205" spans="22:26" x14ac:dyDescent="0.3">
      <c r="V205">
        <v>-1.98</v>
      </c>
      <c r="W205">
        <f t="shared" si="12"/>
        <v>5.6183141903868049E-2</v>
      </c>
      <c r="X205" t="e">
        <f t="shared" si="13"/>
        <v>#N/A</v>
      </c>
      <c r="Y205">
        <f t="shared" si="14"/>
        <v>5.6183141903868049E-2</v>
      </c>
      <c r="Z205" t="e">
        <f t="shared" si="15"/>
        <v>#N/A</v>
      </c>
    </row>
    <row r="206" spans="22:26" x14ac:dyDescent="0.3">
      <c r="V206">
        <v>-1.97</v>
      </c>
      <c r="W206">
        <f t="shared" si="12"/>
        <v>5.7303788919117131E-2</v>
      </c>
      <c r="X206" t="e">
        <f t="shared" si="13"/>
        <v>#N/A</v>
      </c>
      <c r="Y206">
        <f t="shared" si="14"/>
        <v>5.7303788919117131E-2</v>
      </c>
      <c r="Z206" t="e">
        <f t="shared" si="15"/>
        <v>#N/A</v>
      </c>
    </row>
    <row r="207" spans="22:26" x14ac:dyDescent="0.3">
      <c r="V207">
        <v>-1.96</v>
      </c>
      <c r="W207">
        <f t="shared" si="12"/>
        <v>5.8440944333451469E-2</v>
      </c>
      <c r="X207" t="e">
        <f t="shared" si="13"/>
        <v>#N/A</v>
      </c>
      <c r="Y207">
        <f t="shared" si="14"/>
        <v>5.8440944333451469E-2</v>
      </c>
      <c r="Z207">
        <f t="shared" si="15"/>
        <v>5.8440944333451469E-2</v>
      </c>
    </row>
    <row r="208" spans="22:26" x14ac:dyDescent="0.3">
      <c r="V208">
        <v>-1.95</v>
      </c>
      <c r="W208">
        <f t="shared" si="12"/>
        <v>5.9594706068816075E-2</v>
      </c>
      <c r="X208" t="e">
        <f t="shared" si="13"/>
        <v>#N/A</v>
      </c>
      <c r="Y208">
        <f t="shared" si="14"/>
        <v>5.9594706068816075E-2</v>
      </c>
      <c r="Z208">
        <f t="shared" si="15"/>
        <v>5.9594706068816075E-2</v>
      </c>
    </row>
    <row r="209" spans="22:26" x14ac:dyDescent="0.3">
      <c r="V209">
        <v>-1.94</v>
      </c>
      <c r="W209">
        <f t="shared" si="12"/>
        <v>6.0765168954564776E-2</v>
      </c>
      <c r="X209" t="e">
        <f t="shared" si="13"/>
        <v>#N/A</v>
      </c>
      <c r="Y209">
        <f t="shared" si="14"/>
        <v>6.0765168954564776E-2</v>
      </c>
      <c r="Z209">
        <f t="shared" si="15"/>
        <v>6.0765168954564776E-2</v>
      </c>
    </row>
    <row r="210" spans="22:26" x14ac:dyDescent="0.3">
      <c r="V210">
        <v>-1.93</v>
      </c>
      <c r="W210">
        <f t="shared" si="12"/>
        <v>6.1952424628105164E-2</v>
      </c>
      <c r="X210" t="e">
        <f t="shared" si="13"/>
        <v>#N/A</v>
      </c>
      <c r="Y210">
        <f t="shared" si="14"/>
        <v>6.1952424628105164E-2</v>
      </c>
      <c r="Z210">
        <f t="shared" si="15"/>
        <v>6.1952424628105164E-2</v>
      </c>
    </row>
    <row r="211" spans="22:26" x14ac:dyDescent="0.3">
      <c r="V211">
        <v>-1.92</v>
      </c>
      <c r="W211">
        <f t="shared" si="12"/>
        <v>6.3156561435198655E-2</v>
      </c>
      <c r="X211" t="e">
        <f t="shared" si="13"/>
        <v>#N/A</v>
      </c>
      <c r="Y211">
        <f t="shared" si="14"/>
        <v>6.3156561435198655E-2</v>
      </c>
      <c r="Z211">
        <f t="shared" si="15"/>
        <v>6.3156561435198655E-2</v>
      </c>
    </row>
    <row r="212" spans="22:26" x14ac:dyDescent="0.3">
      <c r="V212">
        <v>-1.91</v>
      </c>
      <c r="W212">
        <f t="shared" si="12"/>
        <v>6.4377664329969359E-2</v>
      </c>
      <c r="X212" t="e">
        <f t="shared" si="13"/>
        <v>#N/A</v>
      </c>
      <c r="Y212">
        <f t="shared" si="14"/>
        <v>6.4377664329969359E-2</v>
      </c>
      <c r="Z212">
        <f t="shared" si="15"/>
        <v>6.4377664329969359E-2</v>
      </c>
    </row>
    <row r="213" spans="22:26" x14ac:dyDescent="0.3">
      <c r="V213">
        <v>-1.9</v>
      </c>
      <c r="W213">
        <f t="shared" si="12"/>
        <v>6.5615814774676595E-2</v>
      </c>
      <c r="X213" t="e">
        <f t="shared" si="13"/>
        <v>#N/A</v>
      </c>
      <c r="Y213">
        <f t="shared" si="14"/>
        <v>6.5615814774676595E-2</v>
      </c>
      <c r="Z213">
        <f t="shared" si="15"/>
        <v>6.5615814774676595E-2</v>
      </c>
    </row>
    <row r="214" spans="22:26" x14ac:dyDescent="0.3">
      <c r="V214">
        <v>-1.89</v>
      </c>
      <c r="W214">
        <f t="shared" si="12"/>
        <v>6.6871090639307157E-2</v>
      </c>
      <c r="X214" t="e">
        <f t="shared" si="13"/>
        <v>#N/A</v>
      </c>
      <c r="Y214">
        <f t="shared" si="14"/>
        <v>6.6871090639307157E-2</v>
      </c>
      <c r="Z214">
        <f t="shared" si="15"/>
        <v>6.6871090639307157E-2</v>
      </c>
    </row>
    <row r="215" spans="22:26" x14ac:dyDescent="0.3">
      <c r="V215">
        <v>-1.88</v>
      </c>
      <c r="W215">
        <f t="shared" si="12"/>
        <v>6.8143566101044578E-2</v>
      </c>
      <c r="X215" t="e">
        <f t="shared" si="13"/>
        <v>#N/A</v>
      </c>
      <c r="Y215">
        <f t="shared" si="14"/>
        <v>6.8143566101044578E-2</v>
      </c>
      <c r="Z215">
        <f t="shared" si="15"/>
        <v>6.8143566101044578E-2</v>
      </c>
    </row>
    <row r="216" spans="22:26" x14ac:dyDescent="0.3">
      <c r="V216">
        <v>-1.87</v>
      </c>
      <c r="W216">
        <f t="shared" si="12"/>
        <v>6.9433311543674187E-2</v>
      </c>
      <c r="X216" t="e">
        <f t="shared" si="13"/>
        <v>#N/A</v>
      </c>
      <c r="Y216">
        <f t="shared" si="14"/>
        <v>6.9433311543674187E-2</v>
      </c>
      <c r="Z216">
        <f t="shared" si="15"/>
        <v>6.9433311543674187E-2</v>
      </c>
    </row>
    <row r="217" spans="22:26" x14ac:dyDescent="0.3">
      <c r="V217">
        <v>-1.86</v>
      </c>
      <c r="W217">
        <f t="shared" si="12"/>
        <v>7.074039345698338E-2</v>
      </c>
      <c r="X217" t="e">
        <f t="shared" si="13"/>
        <v>#N/A</v>
      </c>
      <c r="Y217">
        <f t="shared" si="14"/>
        <v>7.074039345698338E-2</v>
      </c>
      <c r="Z217">
        <f t="shared" si="15"/>
        <v>7.074039345698338E-2</v>
      </c>
    </row>
    <row r="218" spans="22:26" x14ac:dyDescent="0.3">
      <c r="V218">
        <v>-1.85</v>
      </c>
      <c r="W218">
        <f t="shared" si="12"/>
        <v>7.2064874336217985E-2</v>
      </c>
      <c r="X218" t="e">
        <f t="shared" si="13"/>
        <v>#N/A</v>
      </c>
      <c r="Y218">
        <f t="shared" si="14"/>
        <v>7.2064874336217985E-2</v>
      </c>
      <c r="Z218">
        <f t="shared" si="15"/>
        <v>7.2064874336217985E-2</v>
      </c>
    </row>
    <row r="219" spans="22:26" x14ac:dyDescent="0.3">
      <c r="V219">
        <v>-1.84</v>
      </c>
      <c r="W219">
        <f t="shared" si="12"/>
        <v>7.3406812581656891E-2</v>
      </c>
      <c r="X219" t="e">
        <f t="shared" si="13"/>
        <v>#N/A</v>
      </c>
      <c r="Y219">
        <f t="shared" si="14"/>
        <v>7.3406812581656891E-2</v>
      </c>
      <c r="Z219">
        <f t="shared" si="15"/>
        <v>7.3406812581656891E-2</v>
      </c>
    </row>
    <row r="220" spans="22:26" x14ac:dyDescent="0.3">
      <c r="V220">
        <v>-1.83</v>
      </c>
      <c r="W220">
        <f t="shared" si="12"/>
        <v>7.4766262398367603E-2</v>
      </c>
      <c r="X220" t="e">
        <f t="shared" si="13"/>
        <v>#N/A</v>
      </c>
      <c r="Y220">
        <f t="shared" si="14"/>
        <v>7.4766262398367603E-2</v>
      </c>
      <c r="Z220">
        <f t="shared" si="15"/>
        <v>7.4766262398367603E-2</v>
      </c>
    </row>
    <row r="221" spans="22:26" x14ac:dyDescent="0.3">
      <c r="V221">
        <v>-1.82</v>
      </c>
      <c r="W221">
        <f t="shared" si="12"/>
        <v>7.6143273696207311E-2</v>
      </c>
      <c r="X221" t="e">
        <f t="shared" si="13"/>
        <v>#N/A</v>
      </c>
      <c r="Y221">
        <f t="shared" si="14"/>
        <v>7.6143273696207311E-2</v>
      </c>
      <c r="Z221">
        <f t="shared" si="15"/>
        <v>7.6143273696207311E-2</v>
      </c>
    </row>
    <row r="222" spans="22:26" x14ac:dyDescent="0.3">
      <c r="V222">
        <v>-1.81</v>
      </c>
      <c r="W222">
        <f t="shared" si="12"/>
        <v>7.7537891990133986E-2</v>
      </c>
      <c r="X222" t="e">
        <f t="shared" si="13"/>
        <v>#N/A</v>
      </c>
      <c r="Y222">
        <f t="shared" si="14"/>
        <v>7.7537891990133986E-2</v>
      </c>
      <c r="Z222">
        <f t="shared" si="15"/>
        <v>7.7537891990133986E-2</v>
      </c>
    </row>
    <row r="223" spans="22:26" x14ac:dyDescent="0.3">
      <c r="V223">
        <v>-1.8</v>
      </c>
      <c r="W223">
        <f t="shared" si="12"/>
        <v>7.8950158300894149E-2</v>
      </c>
      <c r="X223" t="e">
        <f t="shared" si="13"/>
        <v>#N/A</v>
      </c>
      <c r="Y223">
        <f t="shared" si="14"/>
        <v>7.8950158300894149E-2</v>
      </c>
      <c r="Z223">
        <f t="shared" si="15"/>
        <v>7.8950158300894149E-2</v>
      </c>
    </row>
    <row r="224" spans="22:26" x14ac:dyDescent="0.3">
      <c r="V224">
        <v>-1.79</v>
      </c>
      <c r="W224">
        <f t="shared" si="12"/>
        <v>8.038010905615417E-2</v>
      </c>
      <c r="X224" t="e">
        <f t="shared" si="13"/>
        <v>#N/A</v>
      </c>
      <c r="Y224">
        <f t="shared" si="14"/>
        <v>8.038010905615417E-2</v>
      </c>
      <c r="Z224">
        <f t="shared" si="15"/>
        <v>8.038010905615417E-2</v>
      </c>
    </row>
    <row r="225" spans="22:26" x14ac:dyDescent="0.3">
      <c r="V225">
        <v>-1.78</v>
      </c>
      <c r="W225">
        <f t="shared" si="12"/>
        <v>8.1827775992142804E-2</v>
      </c>
      <c r="X225" t="e">
        <f t="shared" si="13"/>
        <v>#N/A</v>
      </c>
      <c r="Y225">
        <f t="shared" si="14"/>
        <v>8.1827775992142804E-2</v>
      </c>
      <c r="Z225">
        <f t="shared" si="15"/>
        <v>8.1827775992142804E-2</v>
      </c>
    </row>
    <row r="226" spans="22:26" x14ac:dyDescent="0.3">
      <c r="V226">
        <v>-1.77</v>
      </c>
      <c r="W226">
        <f t="shared" si="12"/>
        <v>8.3293186055874463E-2</v>
      </c>
      <c r="X226" t="e">
        <f t="shared" si="13"/>
        <v>#N/A</v>
      </c>
      <c r="Y226">
        <f t="shared" si="14"/>
        <v>8.3293186055874463E-2</v>
      </c>
      <c r="Z226">
        <f t="shared" si="15"/>
        <v>8.3293186055874463E-2</v>
      </c>
    </row>
    <row r="227" spans="22:26" x14ac:dyDescent="0.3">
      <c r="V227">
        <v>-1.76</v>
      </c>
      <c r="W227">
        <f t="shared" si="12"/>
        <v>8.4776361308022227E-2</v>
      </c>
      <c r="X227" t="e">
        <f t="shared" si="13"/>
        <v>#N/A</v>
      </c>
      <c r="Y227">
        <f t="shared" si="14"/>
        <v>8.4776361308022227E-2</v>
      </c>
      <c r="Z227">
        <f t="shared" si="15"/>
        <v>8.4776361308022227E-2</v>
      </c>
    </row>
    <row r="228" spans="22:26" x14ac:dyDescent="0.3">
      <c r="V228">
        <v>-1.75</v>
      </c>
      <c r="W228">
        <f t="shared" si="12"/>
        <v>8.6277318826511532E-2</v>
      </c>
      <c r="X228" t="e">
        <f t="shared" si="13"/>
        <v>#N/A</v>
      </c>
      <c r="Y228">
        <f t="shared" si="14"/>
        <v>8.6277318826511532E-2</v>
      </c>
      <c r="Z228">
        <f t="shared" si="15"/>
        <v>8.6277318826511532E-2</v>
      </c>
    </row>
    <row r="229" spans="22:26" x14ac:dyDescent="0.3">
      <c r="V229">
        <v>-1.74</v>
      </c>
      <c r="W229">
        <f t="shared" si="12"/>
        <v>8.7796070610905622E-2</v>
      </c>
      <c r="X229" t="e">
        <f t="shared" si="13"/>
        <v>#N/A</v>
      </c>
      <c r="Y229">
        <f t="shared" si="14"/>
        <v>8.7796070610905622E-2</v>
      </c>
      <c r="Z229">
        <f t="shared" si="15"/>
        <v>8.7796070610905622E-2</v>
      </c>
    </row>
    <row r="230" spans="22:26" x14ac:dyDescent="0.3">
      <c r="V230">
        <v>-1.73</v>
      </c>
      <c r="W230">
        <f t="shared" si="12"/>
        <v>8.9332623487655E-2</v>
      </c>
      <c r="X230" t="e">
        <f t="shared" si="13"/>
        <v>#N/A</v>
      </c>
      <c r="Y230">
        <f t="shared" si="14"/>
        <v>8.9332623487655E-2</v>
      </c>
      <c r="Z230">
        <f t="shared" si="15"/>
        <v>8.9332623487655E-2</v>
      </c>
    </row>
    <row r="231" spans="22:26" x14ac:dyDescent="0.3">
      <c r="V231">
        <v>-1.72</v>
      </c>
      <c r="W231">
        <f t="shared" si="12"/>
        <v>9.0886979016282871E-2</v>
      </c>
      <c r="X231" t="e">
        <f t="shared" si="13"/>
        <v>#N/A</v>
      </c>
      <c r="Y231">
        <f t="shared" si="14"/>
        <v>9.0886979016282871E-2</v>
      </c>
      <c r="Z231">
        <f t="shared" si="15"/>
        <v>9.0886979016282871E-2</v>
      </c>
    </row>
    <row r="232" spans="22:26" x14ac:dyDescent="0.3">
      <c r="V232">
        <v>-1.71</v>
      </c>
      <c r="W232">
        <f t="shared" si="12"/>
        <v>9.2459133396580684E-2</v>
      </c>
      <c r="X232" t="e">
        <f t="shared" si="13"/>
        <v>#N/A</v>
      </c>
      <c r="Y232">
        <f t="shared" si="14"/>
        <v>9.2459133396580684E-2</v>
      </c>
      <c r="Z232">
        <f t="shared" si="15"/>
        <v>9.2459133396580684E-2</v>
      </c>
    </row>
    <row r="233" spans="22:26" x14ac:dyDescent="0.3">
      <c r="V233">
        <v>-1.7</v>
      </c>
      <c r="W233">
        <f t="shared" si="12"/>
        <v>9.4049077376886947E-2</v>
      </c>
      <c r="X233" t="e">
        <f t="shared" si="13"/>
        <v>#N/A</v>
      </c>
      <c r="Y233">
        <f t="shared" si="14"/>
        <v>9.4049077376886947E-2</v>
      </c>
      <c r="Z233">
        <f t="shared" si="15"/>
        <v>9.4049077376886947E-2</v>
      </c>
    </row>
    <row r="234" spans="22:26" x14ac:dyDescent="0.3">
      <c r="V234">
        <v>-1.69</v>
      </c>
      <c r="W234">
        <f t="shared" si="12"/>
        <v>9.5656796163524016E-2</v>
      </c>
      <c r="X234" t="e">
        <f t="shared" si="13"/>
        <v>#N/A</v>
      </c>
      <c r="Y234">
        <f t="shared" si="14"/>
        <v>9.5656796163524016E-2</v>
      </c>
      <c r="Z234">
        <f t="shared" si="15"/>
        <v>9.5656796163524016E-2</v>
      </c>
    </row>
    <row r="235" spans="22:26" x14ac:dyDescent="0.3">
      <c r="V235">
        <v>-1.68</v>
      </c>
      <c r="W235">
        <f t="shared" si="12"/>
        <v>9.7282269331467511E-2</v>
      </c>
      <c r="X235" t="e">
        <f t="shared" si="13"/>
        <v>#N/A</v>
      </c>
      <c r="Y235">
        <f t="shared" si="14"/>
        <v>9.7282269331467511E-2</v>
      </c>
      <c r="Z235">
        <f t="shared" si="15"/>
        <v>9.7282269331467511E-2</v>
      </c>
    </row>
    <row r="236" spans="22:26" x14ac:dyDescent="0.3">
      <c r="V236">
        <v>-1.67</v>
      </c>
      <c r="W236">
        <f t="shared" si="12"/>
        <v>9.8925470736323712E-2</v>
      </c>
      <c r="X236" t="e">
        <f t="shared" si="13"/>
        <v>#N/A</v>
      </c>
      <c r="Y236">
        <f t="shared" si="14"/>
        <v>9.8925470736323712E-2</v>
      </c>
      <c r="Z236">
        <f t="shared" si="15"/>
        <v>9.8925470736323712E-2</v>
      </c>
    </row>
    <row r="237" spans="22:26" x14ac:dyDescent="0.3">
      <c r="V237">
        <v>-1.66</v>
      </c>
      <c r="W237">
        <f t="shared" si="12"/>
        <v>0.10058636842769057</v>
      </c>
      <c r="X237" t="e">
        <f t="shared" si="13"/>
        <v>#N/A</v>
      </c>
      <c r="Y237">
        <f t="shared" si="14"/>
        <v>0.10058636842769057</v>
      </c>
      <c r="Z237">
        <f t="shared" si="15"/>
        <v>0.10058636842769057</v>
      </c>
    </row>
    <row r="238" spans="22:26" x14ac:dyDescent="0.3">
      <c r="V238">
        <v>-1.65</v>
      </c>
      <c r="W238">
        <f t="shared" si="12"/>
        <v>0.10226492456397804</v>
      </c>
      <c r="X238" t="e">
        <f t="shared" si="13"/>
        <v>#N/A</v>
      </c>
      <c r="Y238">
        <f t="shared" si="14"/>
        <v>0.10226492456397804</v>
      </c>
      <c r="Z238">
        <f t="shared" si="15"/>
        <v>0.10226492456397804</v>
      </c>
    </row>
    <row r="239" spans="22:26" x14ac:dyDescent="0.3">
      <c r="V239">
        <v>-1.64</v>
      </c>
      <c r="W239">
        <f t="shared" si="12"/>
        <v>0.10396109532876423</v>
      </c>
      <c r="X239" t="e">
        <f t="shared" si="13"/>
        <v>#N/A</v>
      </c>
      <c r="Y239">
        <f t="shared" si="14"/>
        <v>0.10396109532876423</v>
      </c>
      <c r="Z239">
        <f t="shared" si="15"/>
        <v>0.10396109532876423</v>
      </c>
    </row>
    <row r="240" spans="22:26" x14ac:dyDescent="0.3">
      <c r="V240">
        <v>-1.63</v>
      </c>
      <c r="W240">
        <f t="shared" si="12"/>
        <v>0.10567483084876363</v>
      </c>
      <c r="X240" t="e">
        <f t="shared" si="13"/>
        <v>#N/A</v>
      </c>
      <c r="Y240">
        <f t="shared" si="14"/>
        <v>0.10567483084876363</v>
      </c>
      <c r="Z240">
        <f t="shared" si="15"/>
        <v>0.10567483084876363</v>
      </c>
    </row>
    <row r="241" spans="22:26" x14ac:dyDescent="0.3">
      <c r="V241">
        <v>-1.62</v>
      </c>
      <c r="W241">
        <f t="shared" si="12"/>
        <v>0.1074060751134838</v>
      </c>
      <c r="X241" t="e">
        <f t="shared" si="13"/>
        <v>#N/A</v>
      </c>
      <c r="Y241">
        <f t="shared" si="14"/>
        <v>0.1074060751134838</v>
      </c>
      <c r="Z241">
        <f t="shared" si="15"/>
        <v>0.1074060751134838</v>
      </c>
    </row>
    <row r="242" spans="22:26" x14ac:dyDescent="0.3">
      <c r="V242">
        <v>-1.61</v>
      </c>
      <c r="W242">
        <f t="shared" si="12"/>
        <v>0.10915476589664735</v>
      </c>
      <c r="X242" t="e">
        <f t="shared" si="13"/>
        <v>#N/A</v>
      </c>
      <c r="Y242">
        <f t="shared" si="14"/>
        <v>0.10915476589664735</v>
      </c>
      <c r="Z242">
        <f t="shared" si="15"/>
        <v>0.10915476589664735</v>
      </c>
    </row>
    <row r="243" spans="22:26" x14ac:dyDescent="0.3">
      <c r="V243">
        <v>-1.6</v>
      </c>
      <c r="W243">
        <f t="shared" si="12"/>
        <v>0.11092083467945554</v>
      </c>
      <c r="X243" t="e">
        <f t="shared" si="13"/>
        <v>#N/A</v>
      </c>
      <c r="Y243">
        <f t="shared" si="14"/>
        <v>0.11092083467945554</v>
      </c>
      <c r="Z243">
        <f t="shared" si="15"/>
        <v>0.11092083467945554</v>
      </c>
    </row>
    <row r="244" spans="22:26" x14ac:dyDescent="0.3">
      <c r="V244">
        <v>-1.59</v>
      </c>
      <c r="W244">
        <f t="shared" si="12"/>
        <v>0.11270420657577056</v>
      </c>
      <c r="X244" t="e">
        <f t="shared" si="13"/>
        <v>#N/A</v>
      </c>
      <c r="Y244">
        <f t="shared" si="14"/>
        <v>0.11270420657577056</v>
      </c>
      <c r="Z244">
        <f t="shared" si="15"/>
        <v>0.11270420657577056</v>
      </c>
    </row>
    <row r="245" spans="22:26" x14ac:dyDescent="0.3">
      <c r="V245">
        <v>-1.58</v>
      </c>
      <c r="W245">
        <f t="shared" si="12"/>
        <v>0.11450480025929236</v>
      </c>
      <c r="X245" t="e">
        <f t="shared" si="13"/>
        <v>#N/A</v>
      </c>
      <c r="Y245">
        <f t="shared" si="14"/>
        <v>0.11450480025929236</v>
      </c>
      <c r="Z245">
        <f t="shared" si="15"/>
        <v>0.11450480025929236</v>
      </c>
    </row>
    <row r="246" spans="22:26" x14ac:dyDescent="0.3">
      <c r="V246">
        <v>-1.57</v>
      </c>
      <c r="W246">
        <f t="shared" si="12"/>
        <v>0.11632252789280709</v>
      </c>
      <c r="X246" t="e">
        <f t="shared" si="13"/>
        <v>#N/A</v>
      </c>
      <c r="Y246">
        <f t="shared" si="14"/>
        <v>0.11632252789280709</v>
      </c>
      <c r="Z246">
        <f t="shared" si="15"/>
        <v>0.11632252789280709</v>
      </c>
    </row>
    <row r="247" spans="22:26" x14ac:dyDescent="0.3">
      <c r="V247">
        <v>-1.56</v>
      </c>
      <c r="W247">
        <f t="shared" si="12"/>
        <v>0.11815729505958227</v>
      </c>
      <c r="X247" t="e">
        <f t="shared" si="13"/>
        <v>#N/A</v>
      </c>
      <c r="Y247">
        <f t="shared" si="14"/>
        <v>0.11815729505958227</v>
      </c>
      <c r="Z247">
        <f t="shared" si="15"/>
        <v>0.11815729505958227</v>
      </c>
    </row>
    <row r="248" spans="22:26" x14ac:dyDescent="0.3">
      <c r="V248">
        <v>-1.55</v>
      </c>
      <c r="W248">
        <f t="shared" si="12"/>
        <v>0.12000900069698558</v>
      </c>
      <c r="X248" t="e">
        <f t="shared" si="13"/>
        <v>#N/A</v>
      </c>
      <c r="Y248">
        <f t="shared" si="14"/>
        <v>0.12000900069698558</v>
      </c>
      <c r="Z248">
        <f t="shared" si="15"/>
        <v>0.12000900069698558</v>
      </c>
    </row>
    <row r="249" spans="22:26" x14ac:dyDescent="0.3">
      <c r="V249">
        <v>-1.54</v>
      </c>
      <c r="W249">
        <f t="shared" si="12"/>
        <v>0.12187753703240178</v>
      </c>
      <c r="X249" t="e">
        <f t="shared" si="13"/>
        <v>#N/A</v>
      </c>
      <c r="Y249">
        <f t="shared" si="14"/>
        <v>0.12187753703240178</v>
      </c>
      <c r="Z249">
        <f t="shared" si="15"/>
        <v>0.12187753703240178</v>
      </c>
    </row>
    <row r="250" spans="22:26" x14ac:dyDescent="0.3">
      <c r="V250">
        <v>-1.53</v>
      </c>
      <c r="W250">
        <f t="shared" si="12"/>
        <v>0.12376278952152313</v>
      </c>
      <c r="X250" t="e">
        <f t="shared" si="13"/>
        <v>#N/A</v>
      </c>
      <c r="Y250">
        <f t="shared" si="14"/>
        <v>0.12376278952152313</v>
      </c>
      <c r="Z250">
        <f t="shared" si="15"/>
        <v>0.12376278952152313</v>
      </c>
    </row>
    <row r="251" spans="22:26" x14ac:dyDescent="0.3">
      <c r="V251">
        <v>-1.52</v>
      </c>
      <c r="W251">
        <f t="shared" si="12"/>
        <v>0.12566463678908815</v>
      </c>
      <c r="X251" t="e">
        <f t="shared" si="13"/>
        <v>#N/A</v>
      </c>
      <c r="Y251">
        <f t="shared" si="14"/>
        <v>0.12566463678908815</v>
      </c>
      <c r="Z251">
        <f t="shared" si="15"/>
        <v>0.12566463678908815</v>
      </c>
    </row>
    <row r="252" spans="22:26" x14ac:dyDescent="0.3">
      <c r="V252">
        <v>-1.51</v>
      </c>
      <c r="W252">
        <f t="shared" si="12"/>
        <v>0.12758295057214186</v>
      </c>
      <c r="X252" t="e">
        <f t="shared" si="13"/>
        <v>#N/A</v>
      </c>
      <c r="Y252">
        <f t="shared" si="14"/>
        <v>0.12758295057214186</v>
      </c>
      <c r="Z252">
        <f t="shared" si="15"/>
        <v>0.12758295057214186</v>
      </c>
    </row>
    <row r="253" spans="22:26" x14ac:dyDescent="0.3">
      <c r="V253">
        <v>-1.5</v>
      </c>
      <c r="W253">
        <f t="shared" si="12"/>
        <v>0.12951759566589174</v>
      </c>
      <c r="X253" t="e">
        <f t="shared" si="13"/>
        <v>#N/A</v>
      </c>
      <c r="Y253">
        <f t="shared" si="14"/>
        <v>0.12951759566589174</v>
      </c>
      <c r="Z253">
        <f t="shared" si="15"/>
        <v>0.12951759566589174</v>
      </c>
    </row>
    <row r="254" spans="22:26" x14ac:dyDescent="0.3">
      <c r="V254">
        <v>-1.49</v>
      </c>
      <c r="W254">
        <f t="shared" si="12"/>
        <v>0.13146842987223104</v>
      </c>
      <c r="X254" t="e">
        <f t="shared" si="13"/>
        <v>#N/A</v>
      </c>
      <c r="Y254">
        <f t="shared" si="14"/>
        <v>0.13146842987223104</v>
      </c>
      <c r="Z254">
        <f t="shared" si="15"/>
        <v>0.13146842987223104</v>
      </c>
    </row>
    <row r="255" spans="22:26" x14ac:dyDescent="0.3">
      <c r="V255">
        <v>-1.48</v>
      </c>
      <c r="W255">
        <f t="shared" si="12"/>
        <v>0.13343530395100231</v>
      </c>
      <c r="X255" t="e">
        <f t="shared" si="13"/>
        <v>#N/A</v>
      </c>
      <c r="Y255">
        <f t="shared" si="14"/>
        <v>0.13343530395100231</v>
      </c>
      <c r="Z255">
        <f t="shared" si="15"/>
        <v>0.13343530395100231</v>
      </c>
    </row>
    <row r="256" spans="22:26" x14ac:dyDescent="0.3">
      <c r="V256">
        <v>-1.47</v>
      </c>
      <c r="W256">
        <f t="shared" si="12"/>
        <v>0.1354180615740713</v>
      </c>
      <c r="X256" t="e">
        <f t="shared" si="13"/>
        <v>#N/A</v>
      </c>
      <c r="Y256">
        <f t="shared" si="14"/>
        <v>0.1354180615740713</v>
      </c>
      <c r="Z256">
        <f t="shared" si="15"/>
        <v>0.1354180615740713</v>
      </c>
    </row>
    <row r="257" spans="22:26" x14ac:dyDescent="0.3">
      <c r="V257">
        <v>-1.46</v>
      </c>
      <c r="W257">
        <f t="shared" si="12"/>
        <v>0.13741653928228179</v>
      </c>
      <c r="X257" t="e">
        <f t="shared" si="13"/>
        <v>#N/A</v>
      </c>
      <c r="Y257">
        <f t="shared" si="14"/>
        <v>0.13741653928228179</v>
      </c>
      <c r="Z257">
        <f t="shared" si="15"/>
        <v>0.13741653928228179</v>
      </c>
    </row>
    <row r="258" spans="22:26" x14ac:dyDescent="0.3">
      <c r="V258">
        <v>-1.45</v>
      </c>
      <c r="W258">
        <f t="shared" si="12"/>
        <v>0.13943056644536028</v>
      </c>
      <c r="X258" t="e">
        <f t="shared" si="13"/>
        <v>#N/A</v>
      </c>
      <c r="Y258">
        <f t="shared" si="14"/>
        <v>0.13943056644536028</v>
      </c>
      <c r="Z258">
        <f t="shared" si="15"/>
        <v>0.13943056644536028</v>
      </c>
    </row>
    <row r="259" spans="22:26" x14ac:dyDescent="0.3">
      <c r="V259">
        <v>-1.44</v>
      </c>
      <c r="W259">
        <f t="shared" si="12"/>
        <v>0.14145996522483878</v>
      </c>
      <c r="X259" t="e">
        <f t="shared" si="13"/>
        <v>#N/A</v>
      </c>
      <c r="Y259">
        <f t="shared" si="14"/>
        <v>0.14145996522483878</v>
      </c>
      <c r="Z259">
        <f t="shared" si="15"/>
        <v>0.14145996522483878</v>
      </c>
    </row>
    <row r="260" spans="22:26" x14ac:dyDescent="0.3">
      <c r="V260">
        <v>-1.43</v>
      </c>
      <c r="W260">
        <f t="shared" ref="W260:W323" si="16">_xlfn.NORM.S.DIST(V260,0)</f>
        <v>0.14350455054006242</v>
      </c>
      <c r="X260" t="e">
        <f t="shared" ref="X260:X323" si="17">IF(V260=$A$2,W260,NA())</f>
        <v>#N/A</v>
      </c>
      <c r="Y260">
        <f t="shared" ref="Y260:Y323" si="18">IF(V260&lt;=$A$2,W260,NA())</f>
        <v>0.14350455054006242</v>
      </c>
      <c r="Z260">
        <f t="shared" ref="Z260:Z323" si="19">IF(ABS(V260)&lt;=$A$2,W260,NA())</f>
        <v>0.14350455054006242</v>
      </c>
    </row>
    <row r="261" spans="22:26" x14ac:dyDescent="0.3">
      <c r="V261">
        <v>-1.42</v>
      </c>
      <c r="W261">
        <f t="shared" si="16"/>
        <v>0.14556413003734761</v>
      </c>
      <c r="X261" t="e">
        <f t="shared" si="17"/>
        <v>#N/A</v>
      </c>
      <c r="Y261">
        <f t="shared" si="18"/>
        <v>0.14556413003734761</v>
      </c>
      <c r="Z261">
        <f t="shared" si="19"/>
        <v>0.14556413003734761</v>
      </c>
    </row>
    <row r="262" spans="22:26" x14ac:dyDescent="0.3">
      <c r="V262">
        <v>-1.41</v>
      </c>
      <c r="W262">
        <f t="shared" si="16"/>
        <v>0.14763850406235574</v>
      </c>
      <c r="X262" t="e">
        <f t="shared" si="17"/>
        <v>#N/A</v>
      </c>
      <c r="Y262">
        <f t="shared" si="18"/>
        <v>0.14763850406235574</v>
      </c>
      <c r="Z262">
        <f t="shared" si="19"/>
        <v>0.14763850406235574</v>
      </c>
    </row>
    <row r="263" spans="22:26" x14ac:dyDescent="0.3">
      <c r="V263">
        <v>-1.4</v>
      </c>
      <c r="W263">
        <f t="shared" si="16"/>
        <v>0.14972746563574488</v>
      </c>
      <c r="X263" t="e">
        <f t="shared" si="17"/>
        <v>#N/A</v>
      </c>
      <c r="Y263">
        <f t="shared" si="18"/>
        <v>0.14972746563574488</v>
      </c>
      <c r="Z263">
        <f t="shared" si="19"/>
        <v>0.14972746563574488</v>
      </c>
    </row>
    <row r="264" spans="22:26" x14ac:dyDescent="0.3">
      <c r="V264">
        <v>-1.39</v>
      </c>
      <c r="W264">
        <f t="shared" si="16"/>
        <v>0.15183080043216168</v>
      </c>
      <c r="X264" t="e">
        <f t="shared" si="17"/>
        <v>#N/A</v>
      </c>
      <c r="Y264">
        <f t="shared" si="18"/>
        <v>0.15183080043216168</v>
      </c>
      <c r="Z264">
        <f t="shared" si="19"/>
        <v>0.15183080043216168</v>
      </c>
    </row>
    <row r="265" spans="22:26" x14ac:dyDescent="0.3">
      <c r="V265">
        <v>-1.38</v>
      </c>
      <c r="W265">
        <f t="shared" si="16"/>
        <v>0.15394828676263372</v>
      </c>
      <c r="X265" t="e">
        <f t="shared" si="17"/>
        <v>#N/A</v>
      </c>
      <c r="Y265">
        <f t="shared" si="18"/>
        <v>0.15394828676263372</v>
      </c>
      <c r="Z265">
        <f t="shared" si="19"/>
        <v>0.15394828676263372</v>
      </c>
    </row>
    <row r="266" spans="22:26" x14ac:dyDescent="0.3">
      <c r="V266">
        <v>-1.37</v>
      </c>
      <c r="W266">
        <f t="shared" si="16"/>
        <v>0.15607969556042084</v>
      </c>
      <c r="X266" t="e">
        <f t="shared" si="17"/>
        <v>#N/A</v>
      </c>
      <c r="Y266">
        <f t="shared" si="18"/>
        <v>0.15607969556042084</v>
      </c>
      <c r="Z266">
        <f t="shared" si="19"/>
        <v>0.15607969556042084</v>
      </c>
    </row>
    <row r="267" spans="22:26" x14ac:dyDescent="0.3">
      <c r="V267">
        <v>-1.36</v>
      </c>
      <c r="W267">
        <f t="shared" si="16"/>
        <v>0.15822479037038303</v>
      </c>
      <c r="X267" t="e">
        <f t="shared" si="17"/>
        <v>#N/A</v>
      </c>
      <c r="Y267">
        <f t="shared" si="18"/>
        <v>0.15822479037038303</v>
      </c>
      <c r="Z267">
        <f t="shared" si="19"/>
        <v>0.15822479037038303</v>
      </c>
    </row>
    <row r="268" spans="22:26" x14ac:dyDescent="0.3">
      <c r="V268">
        <v>-1.35</v>
      </c>
      <c r="W268">
        <f t="shared" si="16"/>
        <v>0.1603833273419196</v>
      </c>
      <c r="X268" t="e">
        <f t="shared" si="17"/>
        <v>#N/A</v>
      </c>
      <c r="Y268">
        <f t="shared" si="18"/>
        <v>0.1603833273419196</v>
      </c>
      <c r="Z268">
        <f t="shared" si="19"/>
        <v>0.1603833273419196</v>
      </c>
    </row>
    <row r="269" spans="22:26" x14ac:dyDescent="0.3">
      <c r="V269">
        <v>-1.34</v>
      </c>
      <c r="W269">
        <f t="shared" si="16"/>
        <v>0.16255505522553412</v>
      </c>
      <c r="X269" t="e">
        <f t="shared" si="17"/>
        <v>#N/A</v>
      </c>
      <c r="Y269">
        <f t="shared" si="18"/>
        <v>0.16255505522553412</v>
      </c>
      <c r="Z269">
        <f t="shared" si="19"/>
        <v>0.16255505522553412</v>
      </c>
    </row>
    <row r="270" spans="22:26" x14ac:dyDescent="0.3">
      <c r="V270">
        <v>-1.33</v>
      </c>
      <c r="W270">
        <f t="shared" si="16"/>
        <v>0.1647397153730768</v>
      </c>
      <c r="X270" t="e">
        <f t="shared" si="17"/>
        <v>#N/A</v>
      </c>
      <c r="Y270">
        <f t="shared" si="18"/>
        <v>0.1647397153730768</v>
      </c>
      <c r="Z270">
        <f t="shared" si="19"/>
        <v>0.1647397153730768</v>
      </c>
    </row>
    <row r="271" spans="22:26" x14ac:dyDescent="0.3">
      <c r="V271">
        <v>-1.32</v>
      </c>
      <c r="W271">
        <f t="shared" si="16"/>
        <v>0.16693704174171381</v>
      </c>
      <c r="X271" t="e">
        <f t="shared" si="17"/>
        <v>#N/A</v>
      </c>
      <c r="Y271">
        <f t="shared" si="18"/>
        <v>0.16693704174171381</v>
      </c>
      <c r="Z271">
        <f t="shared" si="19"/>
        <v>0.16693704174171381</v>
      </c>
    </row>
    <row r="272" spans="22:26" x14ac:dyDescent="0.3">
      <c r="V272">
        <v>-1.31</v>
      </c>
      <c r="W272">
        <f t="shared" si="16"/>
        <v>0.16914676090167238</v>
      </c>
      <c r="X272" t="e">
        <f t="shared" si="17"/>
        <v>#N/A</v>
      </c>
      <c r="Y272">
        <f t="shared" si="18"/>
        <v>0.16914676090167238</v>
      </c>
      <c r="Z272">
        <f t="shared" si="19"/>
        <v>0.16914676090167238</v>
      </c>
    </row>
    <row r="273" spans="22:26" x14ac:dyDescent="0.3">
      <c r="V273">
        <v>-1.3</v>
      </c>
      <c r="W273">
        <f t="shared" si="16"/>
        <v>0.17136859204780736</v>
      </c>
      <c r="X273" t="e">
        <f t="shared" si="17"/>
        <v>#N/A</v>
      </c>
      <c r="Y273">
        <f t="shared" si="18"/>
        <v>0.17136859204780736</v>
      </c>
      <c r="Z273">
        <f t="shared" si="19"/>
        <v>0.17136859204780736</v>
      </c>
    </row>
    <row r="274" spans="22:26" x14ac:dyDescent="0.3">
      <c r="V274">
        <v>-1.29</v>
      </c>
      <c r="W274">
        <f t="shared" si="16"/>
        <v>0.17360224701503299</v>
      </c>
      <c r="X274" t="e">
        <f t="shared" si="17"/>
        <v>#N/A</v>
      </c>
      <c r="Y274">
        <f t="shared" si="18"/>
        <v>0.17360224701503299</v>
      </c>
      <c r="Z274">
        <f t="shared" si="19"/>
        <v>0.17360224701503299</v>
      </c>
    </row>
    <row r="275" spans="22:26" x14ac:dyDescent="0.3">
      <c r="V275">
        <v>-1.28</v>
      </c>
      <c r="W275">
        <f t="shared" si="16"/>
        <v>0.17584743029766237</v>
      </c>
      <c r="X275" t="e">
        <f t="shared" si="17"/>
        <v>#N/A</v>
      </c>
      <c r="Y275">
        <f t="shared" si="18"/>
        <v>0.17584743029766237</v>
      </c>
      <c r="Z275">
        <f t="shared" si="19"/>
        <v>0.17584743029766237</v>
      </c>
    </row>
    <row r="276" spans="22:26" x14ac:dyDescent="0.3">
      <c r="V276">
        <v>-1.27</v>
      </c>
      <c r="W276">
        <f t="shared" si="16"/>
        <v>0.17810383907269359</v>
      </c>
      <c r="X276" t="e">
        <f t="shared" si="17"/>
        <v>#N/A</v>
      </c>
      <c r="Y276">
        <f t="shared" si="18"/>
        <v>0.17810383907269359</v>
      </c>
      <c r="Z276">
        <f t="shared" si="19"/>
        <v>0.17810383907269359</v>
      </c>
    </row>
    <row r="277" spans="22:26" x14ac:dyDescent="0.3">
      <c r="V277">
        <v>-1.26</v>
      </c>
      <c r="W277">
        <f t="shared" si="16"/>
        <v>0.18037116322708033</v>
      </c>
      <c r="X277" t="e">
        <f t="shared" si="17"/>
        <v>#N/A</v>
      </c>
      <c r="Y277">
        <f t="shared" si="18"/>
        <v>0.18037116322708033</v>
      </c>
      <c r="Z277">
        <f t="shared" si="19"/>
        <v>0.18037116322708033</v>
      </c>
    </row>
    <row r="278" spans="22:26" x14ac:dyDescent="0.3">
      <c r="V278">
        <v>-1.25</v>
      </c>
      <c r="W278">
        <f t="shared" si="16"/>
        <v>0.18264908538902191</v>
      </c>
      <c r="X278" t="e">
        <f t="shared" si="17"/>
        <v>#N/A</v>
      </c>
      <c r="Y278">
        <f t="shared" si="18"/>
        <v>0.18264908538902191</v>
      </c>
      <c r="Z278">
        <f t="shared" si="19"/>
        <v>0.18264908538902191</v>
      </c>
    </row>
    <row r="279" spans="22:26" x14ac:dyDescent="0.3">
      <c r="V279">
        <v>-1.24</v>
      </c>
      <c r="W279">
        <f t="shared" si="16"/>
        <v>0.18493728096330531</v>
      </c>
      <c r="X279" t="e">
        <f t="shared" si="17"/>
        <v>#N/A</v>
      </c>
      <c r="Y279">
        <f t="shared" si="18"/>
        <v>0.18493728096330531</v>
      </c>
      <c r="Z279">
        <f t="shared" si="19"/>
        <v>0.18493728096330531</v>
      </c>
    </row>
    <row r="280" spans="22:26" x14ac:dyDescent="0.3">
      <c r="V280">
        <v>-1.23</v>
      </c>
      <c r="W280">
        <f t="shared" si="16"/>
        <v>0.18723541817072956</v>
      </c>
      <c r="X280" t="e">
        <f t="shared" si="17"/>
        <v>#N/A</v>
      </c>
      <c r="Y280">
        <f t="shared" si="18"/>
        <v>0.18723541817072956</v>
      </c>
      <c r="Z280">
        <f t="shared" si="19"/>
        <v>0.18723541817072956</v>
      </c>
    </row>
    <row r="281" spans="22:26" x14ac:dyDescent="0.3">
      <c r="V281">
        <v>-1.22</v>
      </c>
      <c r="W281">
        <f t="shared" si="16"/>
        <v>0.18954315809164024</v>
      </c>
      <c r="X281" t="e">
        <f t="shared" si="17"/>
        <v>#N/A</v>
      </c>
      <c r="Y281">
        <f t="shared" si="18"/>
        <v>0.18954315809164024</v>
      </c>
      <c r="Z281">
        <f t="shared" si="19"/>
        <v>0.18954315809164024</v>
      </c>
    </row>
    <row r="282" spans="22:26" x14ac:dyDescent="0.3">
      <c r="V282">
        <v>-1.21</v>
      </c>
      <c r="W282">
        <f t="shared" si="16"/>
        <v>0.19186015471359938</v>
      </c>
      <c r="X282" t="e">
        <f t="shared" si="17"/>
        <v>#N/A</v>
      </c>
      <c r="Y282">
        <f t="shared" si="18"/>
        <v>0.19186015471359938</v>
      </c>
      <c r="Z282">
        <f t="shared" si="19"/>
        <v>0.19186015471359938</v>
      </c>
    </row>
    <row r="283" spans="22:26" x14ac:dyDescent="0.3">
      <c r="V283">
        <v>-1.2</v>
      </c>
      <c r="W283">
        <f t="shared" si="16"/>
        <v>0.19418605498321295</v>
      </c>
      <c r="X283" t="e">
        <f t="shared" si="17"/>
        <v>#N/A</v>
      </c>
      <c r="Y283">
        <f t="shared" si="18"/>
        <v>0.19418605498321295</v>
      </c>
      <c r="Z283">
        <f t="shared" si="19"/>
        <v>0.19418605498321295</v>
      </c>
    </row>
    <row r="284" spans="22:26" x14ac:dyDescent="0.3">
      <c r="V284">
        <v>-1.19</v>
      </c>
      <c r="W284">
        <f t="shared" si="16"/>
        <v>0.19652049886213654</v>
      </c>
      <c r="X284" t="e">
        <f t="shared" si="17"/>
        <v>#N/A</v>
      </c>
      <c r="Y284">
        <f t="shared" si="18"/>
        <v>0.19652049886213654</v>
      </c>
      <c r="Z284">
        <f t="shared" si="19"/>
        <v>0.19652049886213654</v>
      </c>
    </row>
    <row r="285" spans="22:26" x14ac:dyDescent="0.3">
      <c r="V285">
        <v>-1.18</v>
      </c>
      <c r="W285">
        <f t="shared" si="16"/>
        <v>0.19886311938727591</v>
      </c>
      <c r="X285" t="e">
        <f t="shared" si="17"/>
        <v>#N/A</v>
      </c>
      <c r="Y285">
        <f t="shared" si="18"/>
        <v>0.19886311938727591</v>
      </c>
      <c r="Z285">
        <f t="shared" si="19"/>
        <v>0.19886311938727591</v>
      </c>
    </row>
    <row r="286" spans="22:26" x14ac:dyDescent="0.3">
      <c r="V286">
        <v>-1.17</v>
      </c>
      <c r="W286">
        <f t="shared" si="16"/>
        <v>0.2012135427351974</v>
      </c>
      <c r="X286" t="e">
        <f t="shared" si="17"/>
        <v>#N/A</v>
      </c>
      <c r="Y286">
        <f t="shared" si="18"/>
        <v>0.2012135427351974</v>
      </c>
      <c r="Z286">
        <f t="shared" si="19"/>
        <v>0.2012135427351974</v>
      </c>
    </row>
    <row r="287" spans="22:26" x14ac:dyDescent="0.3">
      <c r="V287">
        <v>-1.1599999999999999</v>
      </c>
      <c r="W287">
        <f t="shared" si="16"/>
        <v>0.20357138829075944</v>
      </c>
      <c r="X287" t="e">
        <f t="shared" si="17"/>
        <v>#N/A</v>
      </c>
      <c r="Y287">
        <f t="shared" si="18"/>
        <v>0.20357138829075944</v>
      </c>
      <c r="Z287">
        <f t="shared" si="19"/>
        <v>0.20357138829075944</v>
      </c>
    </row>
    <row r="288" spans="22:26" x14ac:dyDescent="0.3">
      <c r="V288">
        <v>-1.1499999999999999</v>
      </c>
      <c r="W288">
        <f t="shared" si="16"/>
        <v>0.20593626871997478</v>
      </c>
      <c r="X288" t="e">
        <f t="shared" si="17"/>
        <v>#N/A</v>
      </c>
      <c r="Y288">
        <f t="shared" si="18"/>
        <v>0.20593626871997478</v>
      </c>
      <c r="Z288">
        <f t="shared" si="19"/>
        <v>0.20593626871997478</v>
      </c>
    </row>
    <row r="289" spans="22:26" x14ac:dyDescent="0.3">
      <c r="V289">
        <v>-1.1399999999999999</v>
      </c>
      <c r="W289">
        <f t="shared" si="16"/>
        <v>0.20830779004710837</v>
      </c>
      <c r="X289" t="e">
        <f t="shared" si="17"/>
        <v>#N/A</v>
      </c>
      <c r="Y289">
        <f t="shared" si="18"/>
        <v>0.20830779004710837</v>
      </c>
      <c r="Z289">
        <f t="shared" si="19"/>
        <v>0.20830779004710837</v>
      </c>
    </row>
    <row r="290" spans="22:26" x14ac:dyDescent="0.3">
      <c r="V290">
        <v>-1.1299999999999999</v>
      </c>
      <c r="W290">
        <f t="shared" si="16"/>
        <v>0.21068555173601533</v>
      </c>
      <c r="X290" t="e">
        <f t="shared" si="17"/>
        <v>#N/A</v>
      </c>
      <c r="Y290">
        <f t="shared" si="18"/>
        <v>0.21068555173601533</v>
      </c>
      <c r="Z290">
        <f t="shared" si="19"/>
        <v>0.21068555173601533</v>
      </c>
    </row>
    <row r="291" spans="22:26" x14ac:dyDescent="0.3">
      <c r="V291">
        <v>-1.1200000000000001</v>
      </c>
      <c r="W291">
        <f t="shared" si="16"/>
        <v>0.21306914677571784</v>
      </c>
      <c r="X291" t="e">
        <f t="shared" si="17"/>
        <v>#N/A</v>
      </c>
      <c r="Y291">
        <f t="shared" si="18"/>
        <v>0.21306914677571784</v>
      </c>
      <c r="Z291">
        <f t="shared" si="19"/>
        <v>0.21306914677571784</v>
      </c>
    </row>
    <row r="292" spans="22:26" x14ac:dyDescent="0.3">
      <c r="V292">
        <v>-1.1100000000000001</v>
      </c>
      <c r="W292">
        <f t="shared" si="16"/>
        <v>0.21545816177021967</v>
      </c>
      <c r="X292" t="e">
        <f t="shared" si="17"/>
        <v>#N/A</v>
      </c>
      <c r="Y292">
        <f t="shared" si="18"/>
        <v>0.21545816177021967</v>
      </c>
      <c r="Z292">
        <f t="shared" si="19"/>
        <v>0.21545816177021967</v>
      </c>
    </row>
    <row r="293" spans="22:26" x14ac:dyDescent="0.3">
      <c r="V293">
        <v>-1.1000000000000001</v>
      </c>
      <c r="W293">
        <f t="shared" si="16"/>
        <v>0.21785217703255053</v>
      </c>
      <c r="X293" t="e">
        <f t="shared" si="17"/>
        <v>#N/A</v>
      </c>
      <c r="Y293">
        <f t="shared" si="18"/>
        <v>0.21785217703255053</v>
      </c>
      <c r="Z293">
        <f t="shared" si="19"/>
        <v>0.21785217703255053</v>
      </c>
    </row>
    <row r="294" spans="22:26" x14ac:dyDescent="0.3">
      <c r="V294">
        <v>-1.0900000000000001</v>
      </c>
      <c r="W294">
        <f t="shared" si="16"/>
        <v>0.22025076668303326</v>
      </c>
      <c r="X294" t="e">
        <f t="shared" si="17"/>
        <v>#N/A</v>
      </c>
      <c r="Y294">
        <f t="shared" si="18"/>
        <v>0.22025076668303326</v>
      </c>
      <c r="Z294">
        <f t="shared" si="19"/>
        <v>0.22025076668303326</v>
      </c>
    </row>
    <row r="295" spans="22:26" x14ac:dyDescent="0.3">
      <c r="V295">
        <v>-1.08</v>
      </c>
      <c r="W295">
        <f t="shared" si="16"/>
        <v>0.22265349875176113</v>
      </c>
      <c r="X295" t="e">
        <f t="shared" si="17"/>
        <v>#N/A</v>
      </c>
      <c r="Y295">
        <f t="shared" si="18"/>
        <v>0.22265349875176113</v>
      </c>
      <c r="Z295">
        <f t="shared" si="19"/>
        <v>0.22265349875176113</v>
      </c>
    </row>
    <row r="296" spans="22:26" x14ac:dyDescent="0.3">
      <c r="V296">
        <v>-1.07</v>
      </c>
      <c r="W296">
        <f t="shared" si="16"/>
        <v>0.22505993528526966</v>
      </c>
      <c r="X296" t="e">
        <f t="shared" si="17"/>
        <v>#N/A</v>
      </c>
      <c r="Y296">
        <f t="shared" si="18"/>
        <v>0.22505993528526966</v>
      </c>
      <c r="Z296">
        <f t="shared" si="19"/>
        <v>0.22505993528526966</v>
      </c>
    </row>
    <row r="297" spans="22:26" x14ac:dyDescent="0.3">
      <c r="V297">
        <v>-1.06</v>
      </c>
      <c r="W297">
        <f t="shared" si="16"/>
        <v>0.22746963245738591</v>
      </c>
      <c r="X297" t="e">
        <f t="shared" si="17"/>
        <v>#N/A</v>
      </c>
      <c r="Y297">
        <f t="shared" si="18"/>
        <v>0.22746963245738591</v>
      </c>
      <c r="Z297">
        <f t="shared" si="19"/>
        <v>0.22746963245738591</v>
      </c>
    </row>
    <row r="298" spans="22:26" x14ac:dyDescent="0.3">
      <c r="V298">
        <v>-1.05</v>
      </c>
      <c r="W298">
        <f t="shared" si="16"/>
        <v>0.22988214068423302</v>
      </c>
      <c r="X298" t="e">
        <f t="shared" si="17"/>
        <v>#N/A</v>
      </c>
      <c r="Y298">
        <f t="shared" si="18"/>
        <v>0.22988214068423302</v>
      </c>
      <c r="Z298">
        <f t="shared" si="19"/>
        <v>0.22988214068423302</v>
      </c>
    </row>
    <row r="299" spans="22:26" x14ac:dyDescent="0.3">
      <c r="V299">
        <v>-1.04</v>
      </c>
      <c r="W299">
        <f t="shared" si="16"/>
        <v>0.2322970047433662</v>
      </c>
      <c r="X299" t="e">
        <f t="shared" si="17"/>
        <v>#N/A</v>
      </c>
      <c r="Y299">
        <f t="shared" si="18"/>
        <v>0.2322970047433662</v>
      </c>
      <c r="Z299">
        <f t="shared" si="19"/>
        <v>0.2322970047433662</v>
      </c>
    </row>
    <row r="300" spans="22:26" x14ac:dyDescent="0.3">
      <c r="V300">
        <v>-1.03</v>
      </c>
      <c r="W300">
        <f t="shared" si="16"/>
        <v>0.23471376389701182</v>
      </c>
      <c r="X300" t="e">
        <f t="shared" si="17"/>
        <v>#N/A</v>
      </c>
      <c r="Y300">
        <f t="shared" si="18"/>
        <v>0.23471376389701182</v>
      </c>
      <c r="Z300">
        <f t="shared" si="19"/>
        <v>0.23471376389701182</v>
      </c>
    </row>
    <row r="301" spans="22:26" x14ac:dyDescent="0.3">
      <c r="V301">
        <v>-1.02</v>
      </c>
      <c r="W301">
        <f t="shared" si="16"/>
        <v>0.23713195201937959</v>
      </c>
      <c r="X301" t="e">
        <f t="shared" si="17"/>
        <v>#N/A</v>
      </c>
      <c r="Y301">
        <f t="shared" si="18"/>
        <v>0.23713195201937959</v>
      </c>
      <c r="Z301">
        <f t="shared" si="19"/>
        <v>0.23713195201937959</v>
      </c>
    </row>
    <row r="302" spans="22:26" x14ac:dyDescent="0.3">
      <c r="V302">
        <v>-1.01</v>
      </c>
      <c r="W302">
        <f t="shared" si="16"/>
        <v>0.23955109772801336</v>
      </c>
      <c r="X302" t="e">
        <f t="shared" si="17"/>
        <v>#N/A</v>
      </c>
      <c r="Y302">
        <f t="shared" si="18"/>
        <v>0.23955109772801336</v>
      </c>
      <c r="Z302">
        <f t="shared" si="19"/>
        <v>0.23955109772801336</v>
      </c>
    </row>
    <row r="303" spans="22:26" x14ac:dyDescent="0.3">
      <c r="V303">
        <v>-1</v>
      </c>
      <c r="W303">
        <f t="shared" si="16"/>
        <v>0.24197072451914337</v>
      </c>
      <c r="X303" t="e">
        <f t="shared" si="17"/>
        <v>#N/A</v>
      </c>
      <c r="Y303">
        <f t="shared" si="18"/>
        <v>0.24197072451914337</v>
      </c>
      <c r="Z303">
        <f t="shared" si="19"/>
        <v>0.24197072451914337</v>
      </c>
    </row>
    <row r="304" spans="22:26" x14ac:dyDescent="0.3">
      <c r="V304">
        <v>-0.99</v>
      </c>
      <c r="W304">
        <f t="shared" si="16"/>
        <v>0.24439035090699956</v>
      </c>
      <c r="X304" t="e">
        <f t="shared" si="17"/>
        <v>#N/A</v>
      </c>
      <c r="Y304">
        <f t="shared" si="18"/>
        <v>0.24439035090699956</v>
      </c>
      <c r="Z304">
        <f t="shared" si="19"/>
        <v>0.24439035090699956</v>
      </c>
    </row>
    <row r="305" spans="22:26" x14ac:dyDescent="0.3">
      <c r="V305">
        <v>-0.98</v>
      </c>
      <c r="W305">
        <f t="shared" si="16"/>
        <v>0.24680949056704274</v>
      </c>
      <c r="X305" t="e">
        <f t="shared" si="17"/>
        <v>#N/A</v>
      </c>
      <c r="Y305">
        <f t="shared" si="18"/>
        <v>0.24680949056704274</v>
      </c>
      <c r="Z305">
        <f t="shared" si="19"/>
        <v>0.24680949056704274</v>
      </c>
    </row>
    <row r="306" spans="22:26" x14ac:dyDescent="0.3">
      <c r="V306">
        <v>-0.97</v>
      </c>
      <c r="W306">
        <f t="shared" si="16"/>
        <v>0.24922765248306594</v>
      </c>
      <c r="X306" t="e">
        <f t="shared" si="17"/>
        <v>#N/A</v>
      </c>
      <c r="Y306">
        <f t="shared" si="18"/>
        <v>0.24922765248306594</v>
      </c>
      <c r="Z306">
        <f t="shared" si="19"/>
        <v>0.24922765248306594</v>
      </c>
    </row>
    <row r="307" spans="22:26" x14ac:dyDescent="0.3">
      <c r="V307">
        <v>-0.96</v>
      </c>
      <c r="W307">
        <f t="shared" si="16"/>
        <v>0.25164434109811712</v>
      </c>
      <c r="X307" t="e">
        <f t="shared" si="17"/>
        <v>#N/A</v>
      </c>
      <c r="Y307">
        <f t="shared" si="18"/>
        <v>0.25164434109811712</v>
      </c>
      <c r="Z307">
        <f t="shared" si="19"/>
        <v>0.25164434109811712</v>
      </c>
    </row>
    <row r="308" spans="22:26" x14ac:dyDescent="0.3">
      <c r="V308">
        <v>-0.95</v>
      </c>
      <c r="W308">
        <f t="shared" si="16"/>
        <v>0.25405905646918903</v>
      </c>
      <c r="X308" t="e">
        <f t="shared" si="17"/>
        <v>#N/A</v>
      </c>
      <c r="Y308">
        <f t="shared" si="18"/>
        <v>0.25405905646918903</v>
      </c>
      <c r="Z308">
        <f t="shared" si="19"/>
        <v>0.25405905646918903</v>
      </c>
    </row>
    <row r="309" spans="22:26" x14ac:dyDescent="0.3">
      <c r="V309">
        <v>-0.94</v>
      </c>
      <c r="W309">
        <f t="shared" si="16"/>
        <v>0.25647129442562033</v>
      </c>
      <c r="X309" t="e">
        <f t="shared" si="17"/>
        <v>#N/A</v>
      </c>
      <c r="Y309">
        <f t="shared" si="18"/>
        <v>0.25647129442562033</v>
      </c>
      <c r="Z309">
        <f t="shared" si="19"/>
        <v>0.25647129442562033</v>
      </c>
    </row>
    <row r="310" spans="22:26" x14ac:dyDescent="0.3">
      <c r="V310">
        <v>-0.93</v>
      </c>
      <c r="W310">
        <f t="shared" si="16"/>
        <v>0.2588805467311488</v>
      </c>
      <c r="X310" t="e">
        <f t="shared" si="17"/>
        <v>#N/A</v>
      </c>
      <c r="Y310">
        <f t="shared" si="18"/>
        <v>0.2588805467311488</v>
      </c>
      <c r="Z310">
        <f t="shared" si="19"/>
        <v>0.2588805467311488</v>
      </c>
    </row>
    <row r="311" spans="22:26" x14ac:dyDescent="0.3">
      <c r="V311">
        <v>-0.92</v>
      </c>
      <c r="W311">
        <f t="shared" si="16"/>
        <v>0.26128630124955315</v>
      </c>
      <c r="X311" t="e">
        <f t="shared" si="17"/>
        <v>#N/A</v>
      </c>
      <c r="Y311">
        <f t="shared" si="18"/>
        <v>0.26128630124955315</v>
      </c>
      <c r="Z311">
        <f t="shared" si="19"/>
        <v>0.26128630124955315</v>
      </c>
    </row>
    <row r="312" spans="22:26" x14ac:dyDescent="0.3">
      <c r="V312">
        <v>-0.91</v>
      </c>
      <c r="W312">
        <f t="shared" si="16"/>
        <v>0.26368804211381813</v>
      </c>
      <c r="X312" t="e">
        <f t="shared" si="17"/>
        <v>#N/A</v>
      </c>
      <c r="Y312">
        <f t="shared" si="18"/>
        <v>0.26368804211381813</v>
      </c>
      <c r="Z312">
        <f t="shared" si="19"/>
        <v>0.26368804211381813</v>
      </c>
    </row>
    <row r="313" spans="22:26" x14ac:dyDescent="0.3">
      <c r="V313">
        <v>-0.9</v>
      </c>
      <c r="W313">
        <f t="shared" si="16"/>
        <v>0.26608524989875482</v>
      </c>
      <c r="X313" t="e">
        <f t="shared" si="17"/>
        <v>#N/A</v>
      </c>
      <c r="Y313">
        <f t="shared" si="18"/>
        <v>0.26608524989875482</v>
      </c>
      <c r="Z313">
        <f t="shared" si="19"/>
        <v>0.26608524989875482</v>
      </c>
    </row>
    <row r="314" spans="22:26" x14ac:dyDescent="0.3">
      <c r="V314">
        <v>-0.89</v>
      </c>
      <c r="W314">
        <f t="shared" si="16"/>
        <v>0.26847740179700241</v>
      </c>
      <c r="X314" t="e">
        <f t="shared" si="17"/>
        <v>#N/A</v>
      </c>
      <c r="Y314">
        <f t="shared" si="18"/>
        <v>0.26847740179700241</v>
      </c>
      <c r="Z314">
        <f t="shared" si="19"/>
        <v>0.26847740179700241</v>
      </c>
    </row>
    <row r="315" spans="22:26" x14ac:dyDescent="0.3">
      <c r="V315">
        <v>-0.88</v>
      </c>
      <c r="W315">
        <f t="shared" si="16"/>
        <v>0.27086397179833799</v>
      </c>
      <c r="X315" t="e">
        <f t="shared" si="17"/>
        <v>#N/A</v>
      </c>
      <c r="Y315">
        <f t="shared" si="18"/>
        <v>0.27086397179833799</v>
      </c>
      <c r="Z315">
        <f t="shared" si="19"/>
        <v>0.27086397179833799</v>
      </c>
    </row>
    <row r="316" spans="22:26" x14ac:dyDescent="0.3">
      <c r="V316">
        <v>-0.87</v>
      </c>
      <c r="W316">
        <f t="shared" si="16"/>
        <v>0.27324443087221623</v>
      </c>
      <c r="X316" t="e">
        <f t="shared" si="17"/>
        <v>#N/A</v>
      </c>
      <c r="Y316">
        <f t="shared" si="18"/>
        <v>0.27324443087221623</v>
      </c>
      <c r="Z316">
        <f t="shared" si="19"/>
        <v>0.27324443087221623</v>
      </c>
    </row>
    <row r="317" spans="22:26" x14ac:dyDescent="0.3">
      <c r="V317">
        <v>-0.86</v>
      </c>
      <c r="W317">
        <f t="shared" si="16"/>
        <v>0.27561824715345667</v>
      </c>
      <c r="X317" t="e">
        <f t="shared" si="17"/>
        <v>#N/A</v>
      </c>
      <c r="Y317">
        <f t="shared" si="18"/>
        <v>0.27561824715345667</v>
      </c>
      <c r="Z317">
        <f t="shared" si="19"/>
        <v>0.27561824715345667</v>
      </c>
    </row>
    <row r="318" spans="22:26" x14ac:dyDescent="0.3">
      <c r="V318">
        <v>-0.85</v>
      </c>
      <c r="W318">
        <f t="shared" si="16"/>
        <v>0.27798488613099648</v>
      </c>
      <c r="X318" t="e">
        <f t="shared" si="17"/>
        <v>#N/A</v>
      </c>
      <c r="Y318">
        <f t="shared" si="18"/>
        <v>0.27798488613099648</v>
      </c>
      <c r="Z318">
        <f t="shared" si="19"/>
        <v>0.27798488613099648</v>
      </c>
    </row>
    <row r="319" spans="22:26" x14ac:dyDescent="0.3">
      <c r="V319">
        <v>-0.84</v>
      </c>
      <c r="W319">
        <f t="shared" si="16"/>
        <v>0.28034381083962062</v>
      </c>
      <c r="X319" t="e">
        <f t="shared" si="17"/>
        <v>#N/A</v>
      </c>
      <c r="Y319">
        <f t="shared" si="18"/>
        <v>0.28034381083962062</v>
      </c>
      <c r="Z319">
        <f t="shared" si="19"/>
        <v>0.28034381083962062</v>
      </c>
    </row>
    <row r="320" spans="22:26" x14ac:dyDescent="0.3">
      <c r="V320">
        <v>-0.83</v>
      </c>
      <c r="W320">
        <f t="shared" si="16"/>
        <v>0.28269448205458025</v>
      </c>
      <c r="X320" t="e">
        <f t="shared" si="17"/>
        <v>#N/A</v>
      </c>
      <c r="Y320">
        <f t="shared" si="18"/>
        <v>0.28269448205458025</v>
      </c>
      <c r="Z320">
        <f t="shared" si="19"/>
        <v>0.28269448205458025</v>
      </c>
    </row>
    <row r="321" spans="22:26" x14ac:dyDescent="0.3">
      <c r="V321">
        <v>-0.82</v>
      </c>
      <c r="W321">
        <f t="shared" si="16"/>
        <v>0.28503635848900727</v>
      </c>
      <c r="X321" t="e">
        <f t="shared" si="17"/>
        <v>#N/A</v>
      </c>
      <c r="Y321">
        <f t="shared" si="18"/>
        <v>0.28503635848900727</v>
      </c>
      <c r="Z321">
        <f t="shared" si="19"/>
        <v>0.28503635848900727</v>
      </c>
    </row>
    <row r="322" spans="22:26" x14ac:dyDescent="0.3">
      <c r="V322">
        <v>-0.81</v>
      </c>
      <c r="W322">
        <f t="shared" si="16"/>
        <v>0.28736889699402829</v>
      </c>
      <c r="X322" t="e">
        <f t="shared" si="17"/>
        <v>#N/A</v>
      </c>
      <c r="Y322">
        <f t="shared" si="18"/>
        <v>0.28736889699402829</v>
      </c>
      <c r="Z322">
        <f t="shared" si="19"/>
        <v>0.28736889699402829</v>
      </c>
    </row>
    <row r="323" spans="22:26" x14ac:dyDescent="0.3">
      <c r="V323">
        <v>-0.8</v>
      </c>
      <c r="W323">
        <f t="shared" si="16"/>
        <v>0.28969155276148273</v>
      </c>
      <c r="X323" t="e">
        <f t="shared" si="17"/>
        <v>#N/A</v>
      </c>
      <c r="Y323">
        <f t="shared" si="18"/>
        <v>0.28969155276148273</v>
      </c>
      <c r="Z323">
        <f t="shared" si="19"/>
        <v>0.28969155276148273</v>
      </c>
    </row>
    <row r="324" spans="22:26" x14ac:dyDescent="0.3">
      <c r="V324">
        <v>-0.79</v>
      </c>
      <c r="W324">
        <f t="shared" ref="W324:W387" si="20">_xlfn.NORM.S.DIST(V324,0)</f>
        <v>0.29200377952914142</v>
      </c>
      <c r="X324" t="e">
        <f t="shared" ref="X324:X387" si="21">IF(V324=$A$2,W324,NA())</f>
        <v>#N/A</v>
      </c>
      <c r="Y324">
        <f t="shared" ref="Y324:Y387" si="22">IF(V324&lt;=$A$2,W324,NA())</f>
        <v>0.29200377952914142</v>
      </c>
      <c r="Z324">
        <f t="shared" ref="Z324:Z387" si="23">IF(ABS(V324)&lt;=$A$2,W324,NA())</f>
        <v>0.29200377952914142</v>
      </c>
    </row>
    <row r="325" spans="22:26" x14ac:dyDescent="0.3">
      <c r="V325">
        <v>-0.78</v>
      </c>
      <c r="W325">
        <f t="shared" si="20"/>
        <v>0.29430502978832512</v>
      </c>
      <c r="X325" t="e">
        <f t="shared" si="21"/>
        <v>#N/A</v>
      </c>
      <c r="Y325">
        <f t="shared" si="22"/>
        <v>0.29430502978832512</v>
      </c>
      <c r="Z325">
        <f t="shared" si="23"/>
        <v>0.29430502978832512</v>
      </c>
    </row>
    <row r="326" spans="22:26" x14ac:dyDescent="0.3">
      <c r="V326">
        <v>-0.77</v>
      </c>
      <c r="W326">
        <f t="shared" si="20"/>
        <v>0.29659475499381571</v>
      </c>
      <c r="X326" t="e">
        <f t="shared" si="21"/>
        <v>#N/A</v>
      </c>
      <c r="Y326">
        <f t="shared" si="22"/>
        <v>0.29659475499381571</v>
      </c>
      <c r="Z326">
        <f t="shared" si="23"/>
        <v>0.29659475499381571</v>
      </c>
    </row>
    <row r="327" spans="22:26" x14ac:dyDescent="0.3">
      <c r="V327">
        <v>-0.76</v>
      </c>
      <c r="W327">
        <f t="shared" si="20"/>
        <v>0.29887240577595275</v>
      </c>
      <c r="X327" t="e">
        <f t="shared" si="21"/>
        <v>#N/A</v>
      </c>
      <c r="Y327">
        <f t="shared" si="22"/>
        <v>0.29887240577595275</v>
      </c>
      <c r="Z327">
        <f t="shared" si="23"/>
        <v>0.29887240577595275</v>
      </c>
    </row>
    <row r="328" spans="22:26" x14ac:dyDescent="0.3">
      <c r="V328">
        <v>-0.75</v>
      </c>
      <c r="W328">
        <f t="shared" si="20"/>
        <v>0.30113743215480443</v>
      </c>
      <c r="X328" t="e">
        <f t="shared" si="21"/>
        <v>#N/A</v>
      </c>
      <c r="Y328">
        <f t="shared" si="22"/>
        <v>0.30113743215480443</v>
      </c>
      <c r="Z328">
        <f t="shared" si="23"/>
        <v>0.30113743215480443</v>
      </c>
    </row>
    <row r="329" spans="22:26" x14ac:dyDescent="0.3">
      <c r="V329">
        <v>-0.74</v>
      </c>
      <c r="W329">
        <f t="shared" si="20"/>
        <v>0.30338928375630014</v>
      </c>
      <c r="X329" t="e">
        <f t="shared" si="21"/>
        <v>#N/A</v>
      </c>
      <c r="Y329">
        <f t="shared" si="22"/>
        <v>0.30338928375630014</v>
      </c>
      <c r="Z329">
        <f t="shared" si="23"/>
        <v>0.30338928375630014</v>
      </c>
    </row>
    <row r="330" spans="22:26" x14ac:dyDescent="0.3">
      <c r="V330">
        <v>-0.73</v>
      </c>
      <c r="W330">
        <f t="shared" si="20"/>
        <v>0.30562741003020988</v>
      </c>
      <c r="X330" t="e">
        <f t="shared" si="21"/>
        <v>#N/A</v>
      </c>
      <c r="Y330">
        <f t="shared" si="22"/>
        <v>0.30562741003020988</v>
      </c>
      <c r="Z330">
        <f t="shared" si="23"/>
        <v>0.30562741003020988</v>
      </c>
    </row>
    <row r="331" spans="22:26" x14ac:dyDescent="0.3">
      <c r="V331">
        <v>-0.72</v>
      </c>
      <c r="W331">
        <f t="shared" si="20"/>
        <v>0.30785126046985295</v>
      </c>
      <c r="X331" t="e">
        <f t="shared" si="21"/>
        <v>#N/A</v>
      </c>
      <c r="Y331">
        <f t="shared" si="22"/>
        <v>0.30785126046985295</v>
      </c>
      <c r="Z331">
        <f t="shared" si="23"/>
        <v>0.30785126046985295</v>
      </c>
    </row>
    <row r="332" spans="22:26" x14ac:dyDescent="0.3">
      <c r="V332">
        <v>-0.71</v>
      </c>
      <c r="W332">
        <f t="shared" si="20"/>
        <v>0.31006028483341613</v>
      </c>
      <c r="X332" t="e">
        <f t="shared" si="21"/>
        <v>#N/A</v>
      </c>
      <c r="Y332">
        <f t="shared" si="22"/>
        <v>0.31006028483341613</v>
      </c>
      <c r="Z332">
        <f t="shared" si="23"/>
        <v>0.31006028483341613</v>
      </c>
    </row>
    <row r="333" spans="22:26" x14ac:dyDescent="0.3">
      <c r="V333">
        <v>-0.7</v>
      </c>
      <c r="W333">
        <f t="shared" si="20"/>
        <v>0.31225393336676127</v>
      </c>
      <c r="X333" t="e">
        <f t="shared" si="21"/>
        <v>#N/A</v>
      </c>
      <c r="Y333">
        <f t="shared" si="22"/>
        <v>0.31225393336676127</v>
      </c>
      <c r="Z333">
        <f t="shared" si="23"/>
        <v>0.31225393336676127</v>
      </c>
    </row>
    <row r="334" spans="22:26" x14ac:dyDescent="0.3">
      <c r="V334">
        <v>-0.69</v>
      </c>
      <c r="W334">
        <f t="shared" si="20"/>
        <v>0.31443165702759734</v>
      </c>
      <c r="X334" t="e">
        <f t="shared" si="21"/>
        <v>#N/A</v>
      </c>
      <c r="Y334">
        <f t="shared" si="22"/>
        <v>0.31443165702759734</v>
      </c>
      <c r="Z334">
        <f t="shared" si="23"/>
        <v>0.31443165702759734</v>
      </c>
    </row>
    <row r="335" spans="22:26" x14ac:dyDescent="0.3">
      <c r="V335">
        <v>-0.68</v>
      </c>
      <c r="W335">
        <f t="shared" si="20"/>
        <v>0.31659290771089277</v>
      </c>
      <c r="X335" t="e">
        <f t="shared" si="21"/>
        <v>#N/A</v>
      </c>
      <c r="Y335">
        <f t="shared" si="22"/>
        <v>0.31659290771089277</v>
      </c>
      <c r="Z335">
        <f t="shared" si="23"/>
        <v>0.31659290771089277</v>
      </c>
    </row>
    <row r="336" spans="22:26" x14ac:dyDescent="0.3">
      <c r="V336">
        <v>-0.67</v>
      </c>
      <c r="W336">
        <f t="shared" si="20"/>
        <v>0.31873713847540153</v>
      </c>
      <c r="X336" t="e">
        <f t="shared" si="21"/>
        <v>#N/A</v>
      </c>
      <c r="Y336">
        <f t="shared" si="22"/>
        <v>0.31873713847540153</v>
      </c>
      <c r="Z336">
        <f t="shared" si="23"/>
        <v>0.31873713847540153</v>
      </c>
    </row>
    <row r="337" spans="22:26" x14ac:dyDescent="0.3">
      <c r="V337">
        <v>-0.66</v>
      </c>
      <c r="W337">
        <f t="shared" si="20"/>
        <v>0.32086380377117252</v>
      </c>
      <c r="X337" t="e">
        <f t="shared" si="21"/>
        <v>#N/A</v>
      </c>
      <c r="Y337">
        <f t="shared" si="22"/>
        <v>0.32086380377117252</v>
      </c>
      <c r="Z337">
        <f t="shared" si="23"/>
        <v>0.32086380377117252</v>
      </c>
    </row>
    <row r="338" spans="22:26" x14ac:dyDescent="0.3">
      <c r="V338">
        <v>-0.65</v>
      </c>
      <c r="W338">
        <f t="shared" si="20"/>
        <v>0.32297235966791427</v>
      </c>
      <c r="X338" t="e">
        <f t="shared" si="21"/>
        <v>#N/A</v>
      </c>
      <c r="Y338">
        <f t="shared" si="22"/>
        <v>0.32297235966791427</v>
      </c>
      <c r="Z338">
        <f t="shared" si="23"/>
        <v>0.32297235966791427</v>
      </c>
    </row>
    <row r="339" spans="22:26" x14ac:dyDescent="0.3">
      <c r="V339">
        <v>-0.64</v>
      </c>
      <c r="W339">
        <f t="shared" si="20"/>
        <v>0.32506226408408218</v>
      </c>
      <c r="X339" t="e">
        <f t="shared" si="21"/>
        <v>#N/A</v>
      </c>
      <c r="Y339">
        <f t="shared" si="22"/>
        <v>0.32506226408408218</v>
      </c>
      <c r="Z339">
        <f t="shared" si="23"/>
        <v>0.32506226408408218</v>
      </c>
    </row>
    <row r="340" spans="22:26" x14ac:dyDescent="0.3">
      <c r="V340">
        <v>-0.63</v>
      </c>
      <c r="W340">
        <f t="shared" si="20"/>
        <v>0.32713297701655447</v>
      </c>
      <c r="X340" t="e">
        <f t="shared" si="21"/>
        <v>#N/A</v>
      </c>
      <c r="Y340">
        <f t="shared" si="22"/>
        <v>0.32713297701655447</v>
      </c>
      <c r="Z340">
        <f t="shared" si="23"/>
        <v>0.32713297701655447</v>
      </c>
    </row>
    <row r="341" spans="22:26" x14ac:dyDescent="0.3">
      <c r="V341">
        <v>-0.62</v>
      </c>
      <c r="W341">
        <f t="shared" si="20"/>
        <v>0.32918396077076478</v>
      </c>
      <c r="X341" t="e">
        <f t="shared" si="21"/>
        <v>#N/A</v>
      </c>
      <c r="Y341">
        <f t="shared" si="22"/>
        <v>0.32918396077076478</v>
      </c>
      <c r="Z341">
        <f t="shared" si="23"/>
        <v>0.32918396077076478</v>
      </c>
    </row>
    <row r="342" spans="22:26" x14ac:dyDescent="0.3">
      <c r="V342">
        <v>-0.61</v>
      </c>
      <c r="W342">
        <f t="shared" si="20"/>
        <v>0.33121468019115297</v>
      </c>
      <c r="X342" t="e">
        <f t="shared" si="21"/>
        <v>#N/A</v>
      </c>
      <c r="Y342">
        <f t="shared" si="22"/>
        <v>0.33121468019115297</v>
      </c>
      <c r="Z342">
        <f t="shared" si="23"/>
        <v>0.33121468019115297</v>
      </c>
    </row>
    <row r="343" spans="22:26" x14ac:dyDescent="0.3">
      <c r="V343">
        <v>-0.6</v>
      </c>
      <c r="W343">
        <f t="shared" si="20"/>
        <v>0.33322460289179967</v>
      </c>
      <c r="X343" t="e">
        <f t="shared" si="21"/>
        <v>#N/A</v>
      </c>
      <c r="Y343">
        <f t="shared" si="22"/>
        <v>0.33322460289179967</v>
      </c>
      <c r="Z343">
        <f t="shared" si="23"/>
        <v>0.33322460289179967</v>
      </c>
    </row>
    <row r="344" spans="22:26" x14ac:dyDescent="0.3">
      <c r="V344">
        <v>-0.59</v>
      </c>
      <c r="W344">
        <f t="shared" si="20"/>
        <v>0.33521319948710609</v>
      </c>
      <c r="X344" t="e">
        <f t="shared" si="21"/>
        <v>#N/A</v>
      </c>
      <c r="Y344">
        <f t="shared" si="22"/>
        <v>0.33521319948710609</v>
      </c>
      <c r="Z344">
        <f t="shared" si="23"/>
        <v>0.33521319948710609</v>
      </c>
    </row>
    <row r="345" spans="22:26" x14ac:dyDescent="0.3">
      <c r="V345">
        <v>-0.57999999999999996</v>
      </c>
      <c r="W345">
        <f t="shared" si="20"/>
        <v>0.33717994382238059</v>
      </c>
      <c r="X345" t="e">
        <f t="shared" si="21"/>
        <v>#N/A</v>
      </c>
      <c r="Y345">
        <f t="shared" si="22"/>
        <v>0.33717994382238059</v>
      </c>
      <c r="Z345">
        <f t="shared" si="23"/>
        <v>0.33717994382238059</v>
      </c>
    </row>
    <row r="346" spans="22:26" x14ac:dyDescent="0.3">
      <c r="V346">
        <v>-0.56999999999999995</v>
      </c>
      <c r="W346">
        <f t="shared" si="20"/>
        <v>0.33912431320419223</v>
      </c>
      <c r="X346" t="e">
        <f t="shared" si="21"/>
        <v>#N/A</v>
      </c>
      <c r="Y346">
        <f t="shared" si="22"/>
        <v>0.33912431320419223</v>
      </c>
      <c r="Z346">
        <f t="shared" si="23"/>
        <v>0.33912431320419223</v>
      </c>
    </row>
    <row r="347" spans="22:26" x14ac:dyDescent="0.3">
      <c r="V347">
        <v>-0.56000000000000005</v>
      </c>
      <c r="W347">
        <f t="shared" si="20"/>
        <v>0.34104578863035256</v>
      </c>
      <c r="X347" t="e">
        <f t="shared" si="21"/>
        <v>#N/A</v>
      </c>
      <c r="Y347">
        <f t="shared" si="22"/>
        <v>0.34104578863035256</v>
      </c>
      <c r="Z347">
        <f t="shared" si="23"/>
        <v>0.34104578863035256</v>
      </c>
    </row>
    <row r="348" spans="22:26" x14ac:dyDescent="0.3">
      <c r="V348">
        <v>-0.55000000000000004</v>
      </c>
      <c r="W348">
        <f t="shared" si="20"/>
        <v>0.3429438550193839</v>
      </c>
      <c r="X348" t="e">
        <f t="shared" si="21"/>
        <v>#N/A</v>
      </c>
      <c r="Y348">
        <f t="shared" si="22"/>
        <v>0.3429438550193839</v>
      </c>
      <c r="Z348">
        <f t="shared" si="23"/>
        <v>0.3429438550193839</v>
      </c>
    </row>
    <row r="349" spans="22:26" x14ac:dyDescent="0.3">
      <c r="V349">
        <v>-0.54</v>
      </c>
      <c r="W349">
        <f t="shared" si="20"/>
        <v>0.34481800143933333</v>
      </c>
      <c r="X349" t="e">
        <f t="shared" si="21"/>
        <v>#N/A</v>
      </c>
      <c r="Y349">
        <f t="shared" si="22"/>
        <v>0.34481800143933333</v>
      </c>
      <c r="Z349">
        <f t="shared" si="23"/>
        <v>0.34481800143933333</v>
      </c>
    </row>
    <row r="350" spans="22:26" x14ac:dyDescent="0.3">
      <c r="V350">
        <v>-0.53</v>
      </c>
      <c r="W350">
        <f t="shared" si="20"/>
        <v>0.34666772133579166</v>
      </c>
      <c r="X350" t="e">
        <f t="shared" si="21"/>
        <v>#N/A</v>
      </c>
      <c r="Y350">
        <f t="shared" si="22"/>
        <v>0.34666772133579166</v>
      </c>
      <c r="Z350">
        <f t="shared" si="23"/>
        <v>0.34666772133579166</v>
      </c>
    </row>
    <row r="351" spans="22:26" x14ac:dyDescent="0.3">
      <c r="V351">
        <v>-0.52</v>
      </c>
      <c r="W351">
        <f t="shared" si="20"/>
        <v>0.34849251275897447</v>
      </c>
      <c r="X351" t="e">
        <f t="shared" si="21"/>
        <v>#N/A</v>
      </c>
      <c r="Y351">
        <f t="shared" si="22"/>
        <v>0.34849251275897447</v>
      </c>
      <c r="Z351">
        <f t="shared" si="23"/>
        <v>0.34849251275897447</v>
      </c>
    </row>
    <row r="352" spans="22:26" x14ac:dyDescent="0.3">
      <c r="V352">
        <v>-0.51</v>
      </c>
      <c r="W352">
        <f t="shared" si="20"/>
        <v>0.35029187858972582</v>
      </c>
      <c r="X352" t="e">
        <f t="shared" si="21"/>
        <v>#N/A</v>
      </c>
      <c r="Y352">
        <f t="shared" si="22"/>
        <v>0.35029187858972582</v>
      </c>
      <c r="Z352">
        <f t="shared" si="23"/>
        <v>0.35029187858972582</v>
      </c>
    </row>
    <row r="353" spans="22:26" x14ac:dyDescent="0.3">
      <c r="V353">
        <v>-0.5</v>
      </c>
      <c r="W353">
        <f t="shared" si="20"/>
        <v>0.35206532676429952</v>
      </c>
      <c r="X353" t="e">
        <f t="shared" si="21"/>
        <v>#N/A</v>
      </c>
      <c r="Y353">
        <f t="shared" si="22"/>
        <v>0.35206532676429952</v>
      </c>
      <c r="Z353">
        <f t="shared" si="23"/>
        <v>0.35206532676429952</v>
      </c>
    </row>
    <row r="354" spans="22:26" x14ac:dyDescent="0.3">
      <c r="V354">
        <v>-0.49</v>
      </c>
      <c r="W354">
        <f t="shared" si="20"/>
        <v>0.35381237049777969</v>
      </c>
      <c r="X354" t="e">
        <f t="shared" si="21"/>
        <v>#N/A</v>
      </c>
      <c r="Y354">
        <f t="shared" si="22"/>
        <v>0.35381237049777969</v>
      </c>
      <c r="Z354">
        <f t="shared" si="23"/>
        <v>0.35381237049777969</v>
      </c>
    </row>
    <row r="355" spans="22:26" x14ac:dyDescent="0.3">
      <c r="V355">
        <v>-0.48</v>
      </c>
      <c r="W355">
        <f t="shared" si="20"/>
        <v>0.35553252850599709</v>
      </c>
      <c r="X355" t="e">
        <f t="shared" si="21"/>
        <v>#N/A</v>
      </c>
      <c r="Y355">
        <f t="shared" si="22"/>
        <v>0.35553252850599709</v>
      </c>
      <c r="Z355">
        <f t="shared" si="23"/>
        <v>0.35553252850599709</v>
      </c>
    </row>
    <row r="356" spans="22:26" x14ac:dyDescent="0.3">
      <c r="V356">
        <v>-0.47</v>
      </c>
      <c r="W356">
        <f t="shared" si="20"/>
        <v>0.35722532522580086</v>
      </c>
      <c r="X356" t="e">
        <f t="shared" si="21"/>
        <v>#N/A</v>
      </c>
      <c r="Y356">
        <f t="shared" si="22"/>
        <v>0.35722532522580086</v>
      </c>
      <c r="Z356">
        <f t="shared" si="23"/>
        <v>0.35722532522580086</v>
      </c>
    </row>
    <row r="357" spans="22:26" x14ac:dyDescent="0.3">
      <c r="V357">
        <v>-0.46</v>
      </c>
      <c r="W357">
        <f t="shared" si="20"/>
        <v>0.35889029103354464</v>
      </c>
      <c r="X357" t="e">
        <f t="shared" si="21"/>
        <v>#N/A</v>
      </c>
      <c r="Y357">
        <f t="shared" si="22"/>
        <v>0.35889029103354464</v>
      </c>
      <c r="Z357">
        <f t="shared" si="23"/>
        <v>0.35889029103354464</v>
      </c>
    </row>
    <row r="358" spans="22:26" x14ac:dyDescent="0.3">
      <c r="V358">
        <v>-0.45</v>
      </c>
      <c r="W358">
        <f t="shared" si="20"/>
        <v>0.36052696246164795</v>
      </c>
      <c r="X358" t="e">
        <f t="shared" si="21"/>
        <v>#N/A</v>
      </c>
      <c r="Y358">
        <f t="shared" si="22"/>
        <v>0.36052696246164795</v>
      </c>
      <c r="Z358">
        <f t="shared" si="23"/>
        <v>0.36052696246164795</v>
      </c>
    </row>
    <row r="359" spans="22:26" x14ac:dyDescent="0.3">
      <c r="V359">
        <v>-0.44</v>
      </c>
      <c r="W359">
        <f t="shared" si="20"/>
        <v>0.36213488241309222</v>
      </c>
      <c r="X359" t="e">
        <f t="shared" si="21"/>
        <v>#N/A</v>
      </c>
      <c r="Y359">
        <f t="shared" si="22"/>
        <v>0.36213488241309222</v>
      </c>
      <c r="Z359">
        <f t="shared" si="23"/>
        <v>0.36213488241309222</v>
      </c>
    </row>
    <row r="360" spans="22:26" x14ac:dyDescent="0.3">
      <c r="V360">
        <v>-0.43</v>
      </c>
      <c r="W360">
        <f t="shared" si="20"/>
        <v>0.36371360037371342</v>
      </c>
      <c r="X360" t="e">
        <f t="shared" si="21"/>
        <v>#N/A</v>
      </c>
      <c r="Y360">
        <f t="shared" si="22"/>
        <v>0.36371360037371342</v>
      </c>
      <c r="Z360">
        <f t="shared" si="23"/>
        <v>0.36371360037371342</v>
      </c>
    </row>
    <row r="361" spans="22:26" x14ac:dyDescent="0.3">
      <c r="V361">
        <v>-0.42</v>
      </c>
      <c r="W361">
        <f t="shared" si="20"/>
        <v>0.36526267262215389</v>
      </c>
      <c r="X361" t="e">
        <f t="shared" si="21"/>
        <v>#N/A</v>
      </c>
      <c r="Y361">
        <f t="shared" si="22"/>
        <v>0.36526267262215389</v>
      </c>
      <c r="Z361">
        <f t="shared" si="23"/>
        <v>0.36526267262215389</v>
      </c>
    </row>
    <row r="362" spans="22:26" x14ac:dyDescent="0.3">
      <c r="V362">
        <v>-0.41</v>
      </c>
      <c r="W362">
        <f t="shared" si="20"/>
        <v>0.36678166243733612</v>
      </c>
      <c r="X362" t="e">
        <f t="shared" si="21"/>
        <v>#N/A</v>
      </c>
      <c r="Y362">
        <f t="shared" si="22"/>
        <v>0.36678166243733612</v>
      </c>
      <c r="Z362">
        <f t="shared" si="23"/>
        <v>0.36678166243733612</v>
      </c>
    </row>
    <row r="363" spans="22:26" x14ac:dyDescent="0.3">
      <c r="V363">
        <v>-0.4</v>
      </c>
      <c r="W363">
        <f t="shared" si="20"/>
        <v>0.36827014030332333</v>
      </c>
      <c r="X363" t="e">
        <f t="shared" si="21"/>
        <v>#N/A</v>
      </c>
      <c r="Y363">
        <f t="shared" si="22"/>
        <v>0.36827014030332333</v>
      </c>
      <c r="Z363">
        <f t="shared" si="23"/>
        <v>0.36827014030332333</v>
      </c>
    </row>
    <row r="364" spans="22:26" x14ac:dyDescent="0.3">
      <c r="V364">
        <v>-0.39</v>
      </c>
      <c r="W364">
        <f t="shared" si="20"/>
        <v>0.36972768411143236</v>
      </c>
      <c r="X364" t="e">
        <f t="shared" si="21"/>
        <v>#N/A</v>
      </c>
      <c r="Y364">
        <f t="shared" si="22"/>
        <v>0.36972768411143236</v>
      </c>
      <c r="Z364">
        <f t="shared" si="23"/>
        <v>0.36972768411143236</v>
      </c>
    </row>
    <row r="365" spans="22:26" x14ac:dyDescent="0.3">
      <c r="V365">
        <v>-0.38</v>
      </c>
      <c r="W365">
        <f t="shared" si="20"/>
        <v>0.37115387935946603</v>
      </c>
      <c r="X365" t="e">
        <f t="shared" si="21"/>
        <v>#N/A</v>
      </c>
      <c r="Y365">
        <f t="shared" si="22"/>
        <v>0.37115387935946603</v>
      </c>
      <c r="Z365">
        <f t="shared" si="23"/>
        <v>0.37115387935946603</v>
      </c>
    </row>
    <row r="366" spans="22:26" x14ac:dyDescent="0.3">
      <c r="V366">
        <v>-0.37</v>
      </c>
      <c r="W366">
        <f t="shared" si="20"/>
        <v>0.37254831934793342</v>
      </c>
      <c r="X366" t="e">
        <f t="shared" si="21"/>
        <v>#N/A</v>
      </c>
      <c r="Y366">
        <f t="shared" si="22"/>
        <v>0.37254831934793342</v>
      </c>
      <c r="Z366">
        <f t="shared" si="23"/>
        <v>0.37254831934793342</v>
      </c>
    </row>
    <row r="367" spans="22:26" x14ac:dyDescent="0.3">
      <c r="V367">
        <v>-0.36</v>
      </c>
      <c r="W367">
        <f t="shared" si="20"/>
        <v>0.37391060537312842</v>
      </c>
      <c r="X367" t="e">
        <f t="shared" si="21"/>
        <v>#N/A</v>
      </c>
      <c r="Y367">
        <f t="shared" si="22"/>
        <v>0.37391060537312842</v>
      </c>
      <c r="Z367">
        <f t="shared" si="23"/>
        <v>0.37391060537312842</v>
      </c>
    </row>
    <row r="368" spans="22:26" x14ac:dyDescent="0.3">
      <c r="V368">
        <v>-0.35</v>
      </c>
      <c r="W368">
        <f t="shared" si="20"/>
        <v>0.37524034691693792</v>
      </c>
      <c r="X368" t="e">
        <f t="shared" si="21"/>
        <v>#N/A</v>
      </c>
      <c r="Y368">
        <f t="shared" si="22"/>
        <v>0.37524034691693792</v>
      </c>
      <c r="Z368">
        <f t="shared" si="23"/>
        <v>0.37524034691693792</v>
      </c>
    </row>
    <row r="369" spans="22:26" x14ac:dyDescent="0.3">
      <c r="V369">
        <v>-0.34</v>
      </c>
      <c r="W369">
        <f t="shared" si="20"/>
        <v>0.37653716183325392</v>
      </c>
      <c r="X369" t="e">
        <f t="shared" si="21"/>
        <v>#N/A</v>
      </c>
      <c r="Y369">
        <f t="shared" si="22"/>
        <v>0.37653716183325392</v>
      </c>
      <c r="Z369">
        <f t="shared" si="23"/>
        <v>0.37653716183325392</v>
      </c>
    </row>
    <row r="370" spans="22:26" x14ac:dyDescent="0.3">
      <c r="V370">
        <v>-0.33</v>
      </c>
      <c r="W370">
        <f t="shared" si="20"/>
        <v>0.37780067653086458</v>
      </c>
      <c r="X370" t="e">
        <f t="shared" si="21"/>
        <v>#N/A</v>
      </c>
      <c r="Y370">
        <f t="shared" si="22"/>
        <v>0.37780067653086458</v>
      </c>
      <c r="Z370">
        <f t="shared" si="23"/>
        <v>0.37780067653086458</v>
      </c>
    </row>
    <row r="371" spans="22:26" x14ac:dyDescent="0.3">
      <c r="V371">
        <v>-0.32</v>
      </c>
      <c r="W371">
        <f t="shared" si="20"/>
        <v>0.37903052615270166</v>
      </c>
      <c r="X371" t="e">
        <f t="shared" si="21"/>
        <v>#N/A</v>
      </c>
      <c r="Y371">
        <f t="shared" si="22"/>
        <v>0.37903052615270166</v>
      </c>
      <c r="Z371">
        <f t="shared" si="23"/>
        <v>0.37903052615270166</v>
      </c>
    </row>
    <row r="372" spans="22:26" x14ac:dyDescent="0.3">
      <c r="V372">
        <v>-0.31</v>
      </c>
      <c r="W372">
        <f t="shared" si="20"/>
        <v>0.38022635475132494</v>
      </c>
      <c r="X372" t="e">
        <f t="shared" si="21"/>
        <v>#N/A</v>
      </c>
      <c r="Y372">
        <f t="shared" si="22"/>
        <v>0.38022635475132494</v>
      </c>
      <c r="Z372">
        <f t="shared" si="23"/>
        <v>0.38022635475132494</v>
      </c>
    </row>
    <row r="373" spans="22:26" x14ac:dyDescent="0.3">
      <c r="V373">
        <v>-0.3</v>
      </c>
      <c r="W373">
        <f t="shared" si="20"/>
        <v>0.38138781546052414</v>
      </c>
      <c r="X373" t="e">
        <f t="shared" si="21"/>
        <v>#N/A</v>
      </c>
      <c r="Y373">
        <f t="shared" si="22"/>
        <v>0.38138781546052414</v>
      </c>
      <c r="Z373">
        <f t="shared" si="23"/>
        <v>0.38138781546052414</v>
      </c>
    </row>
    <row r="374" spans="22:26" x14ac:dyDescent="0.3">
      <c r="V374">
        <v>-0.28999999999999998</v>
      </c>
      <c r="W374">
        <f t="shared" si="20"/>
        <v>0.38251457066292405</v>
      </c>
      <c r="X374" t="e">
        <f t="shared" si="21"/>
        <v>#N/A</v>
      </c>
      <c r="Y374">
        <f t="shared" si="22"/>
        <v>0.38251457066292405</v>
      </c>
      <c r="Z374">
        <f t="shared" si="23"/>
        <v>0.38251457066292405</v>
      </c>
    </row>
    <row r="375" spans="22:26" x14ac:dyDescent="0.3">
      <c r="V375">
        <v>-0.28000000000000003</v>
      </c>
      <c r="W375">
        <f t="shared" si="20"/>
        <v>0.38360629215347858</v>
      </c>
      <c r="X375" t="e">
        <f t="shared" si="21"/>
        <v>#N/A</v>
      </c>
      <c r="Y375">
        <f t="shared" si="22"/>
        <v>0.38360629215347858</v>
      </c>
      <c r="Z375">
        <f t="shared" si="23"/>
        <v>0.38360629215347858</v>
      </c>
    </row>
    <row r="376" spans="22:26" x14ac:dyDescent="0.3">
      <c r="V376">
        <v>-0.27</v>
      </c>
      <c r="W376">
        <f t="shared" si="20"/>
        <v>0.38466266129874283</v>
      </c>
      <c r="X376" t="e">
        <f t="shared" si="21"/>
        <v>#N/A</v>
      </c>
      <c r="Y376">
        <f t="shared" si="22"/>
        <v>0.38466266129874283</v>
      </c>
      <c r="Z376">
        <f t="shared" si="23"/>
        <v>0.38466266129874283</v>
      </c>
    </row>
    <row r="377" spans="22:26" x14ac:dyDescent="0.3">
      <c r="V377">
        <v>-0.26</v>
      </c>
      <c r="W377">
        <f t="shared" si="20"/>
        <v>0.38568336919181612</v>
      </c>
      <c r="X377" t="e">
        <f t="shared" si="21"/>
        <v>#N/A</v>
      </c>
      <c r="Y377">
        <f t="shared" si="22"/>
        <v>0.38568336919181612</v>
      </c>
      <c r="Z377">
        <f t="shared" si="23"/>
        <v>0.38568336919181612</v>
      </c>
    </row>
    <row r="378" spans="22:26" x14ac:dyDescent="0.3">
      <c r="V378">
        <v>-0.25</v>
      </c>
      <c r="W378">
        <f t="shared" si="20"/>
        <v>0.38666811680284924</v>
      </c>
      <c r="X378" t="e">
        <f t="shared" si="21"/>
        <v>#N/A</v>
      </c>
      <c r="Y378">
        <f t="shared" si="22"/>
        <v>0.38666811680284924</v>
      </c>
      <c r="Z378">
        <f t="shared" si="23"/>
        <v>0.38666811680284924</v>
      </c>
    </row>
    <row r="379" spans="22:26" x14ac:dyDescent="0.3">
      <c r="V379">
        <v>-0.24</v>
      </c>
      <c r="W379">
        <f t="shared" si="20"/>
        <v>0.38761661512501416</v>
      </c>
      <c r="X379" t="e">
        <f t="shared" si="21"/>
        <v>#N/A</v>
      </c>
      <c r="Y379">
        <f t="shared" si="22"/>
        <v>0.38761661512501416</v>
      </c>
      <c r="Z379">
        <f t="shared" si="23"/>
        <v>0.38761661512501416</v>
      </c>
    </row>
    <row r="380" spans="22:26" x14ac:dyDescent="0.3">
      <c r="V380">
        <v>-0.23</v>
      </c>
      <c r="W380">
        <f t="shared" si="20"/>
        <v>0.38852858531583589</v>
      </c>
      <c r="X380" t="e">
        <f t="shared" si="21"/>
        <v>#N/A</v>
      </c>
      <c r="Y380">
        <f t="shared" si="22"/>
        <v>0.38852858531583589</v>
      </c>
      <c r="Z380">
        <f t="shared" si="23"/>
        <v>0.38852858531583589</v>
      </c>
    </row>
    <row r="381" spans="22:26" x14ac:dyDescent="0.3">
      <c r="V381">
        <v>-0.22</v>
      </c>
      <c r="W381">
        <f t="shared" si="20"/>
        <v>0.38940375883379041</v>
      </c>
      <c r="X381" t="e">
        <f t="shared" si="21"/>
        <v>#N/A</v>
      </c>
      <c r="Y381">
        <f t="shared" si="22"/>
        <v>0.38940375883379041</v>
      </c>
      <c r="Z381">
        <f t="shared" si="23"/>
        <v>0.38940375883379041</v>
      </c>
    </row>
    <row r="382" spans="22:26" x14ac:dyDescent="0.3">
      <c r="V382">
        <v>-0.21</v>
      </c>
      <c r="W382">
        <f t="shared" si="20"/>
        <v>0.39024187757007428</v>
      </c>
      <c r="X382" t="e">
        <f t="shared" si="21"/>
        <v>#N/A</v>
      </c>
      <c r="Y382">
        <f t="shared" si="22"/>
        <v>0.39024187757007428</v>
      </c>
      <c r="Z382">
        <f t="shared" si="23"/>
        <v>0.39024187757007428</v>
      </c>
    </row>
    <row r="383" spans="22:26" x14ac:dyDescent="0.3">
      <c r="V383">
        <v>-0.2</v>
      </c>
      <c r="W383">
        <f t="shared" si="20"/>
        <v>0.39104269397545588</v>
      </c>
      <c r="X383" t="e">
        <f t="shared" si="21"/>
        <v>#N/A</v>
      </c>
      <c r="Y383">
        <f t="shared" si="22"/>
        <v>0.39104269397545588</v>
      </c>
      <c r="Z383">
        <f t="shared" si="23"/>
        <v>0.39104269397545588</v>
      </c>
    </row>
    <row r="384" spans="22:26" x14ac:dyDescent="0.3">
      <c r="V384">
        <v>-0.19</v>
      </c>
      <c r="W384">
        <f t="shared" si="20"/>
        <v>0.39180597118212113</v>
      </c>
      <c r="X384" t="e">
        <f t="shared" si="21"/>
        <v>#N/A</v>
      </c>
      <c r="Y384">
        <f t="shared" si="22"/>
        <v>0.39180597118212113</v>
      </c>
      <c r="Z384">
        <f t="shared" si="23"/>
        <v>0.39180597118212113</v>
      </c>
    </row>
    <row r="385" spans="22:26" x14ac:dyDescent="0.3">
      <c r="V385">
        <v>-0.18</v>
      </c>
      <c r="W385">
        <f t="shared" si="20"/>
        <v>0.3925314831204289</v>
      </c>
      <c r="X385" t="e">
        <f t="shared" si="21"/>
        <v>#N/A</v>
      </c>
      <c r="Y385">
        <f t="shared" si="22"/>
        <v>0.3925314831204289</v>
      </c>
      <c r="Z385">
        <f t="shared" si="23"/>
        <v>0.3925314831204289</v>
      </c>
    </row>
    <row r="386" spans="22:26" x14ac:dyDescent="0.3">
      <c r="V386">
        <v>-0.17</v>
      </c>
      <c r="W386">
        <f t="shared" si="20"/>
        <v>0.39321901463049719</v>
      </c>
      <c r="X386" t="e">
        <f t="shared" si="21"/>
        <v>#N/A</v>
      </c>
      <c r="Y386">
        <f t="shared" si="22"/>
        <v>0.39321901463049719</v>
      </c>
      <c r="Z386">
        <f t="shared" si="23"/>
        <v>0.39321901463049719</v>
      </c>
    </row>
    <row r="387" spans="22:26" x14ac:dyDescent="0.3">
      <c r="V387">
        <v>-0.16</v>
      </c>
      <c r="W387">
        <f t="shared" si="20"/>
        <v>0.39386836156854083</v>
      </c>
      <c r="X387" t="e">
        <f t="shared" si="21"/>
        <v>#N/A</v>
      </c>
      <c r="Y387">
        <f t="shared" si="22"/>
        <v>0.39386836156854083</v>
      </c>
      <c r="Z387">
        <f t="shared" si="23"/>
        <v>0.39386836156854083</v>
      </c>
    </row>
    <row r="388" spans="22:26" x14ac:dyDescent="0.3">
      <c r="V388">
        <v>-0.15</v>
      </c>
      <c r="W388">
        <f t="shared" ref="W388:W451" si="24">_xlfn.NORM.S.DIST(V388,0)</f>
        <v>0.39447933090788895</v>
      </c>
      <c r="X388" t="e">
        <f t="shared" ref="X388:X451" si="25">IF(V388=$A$2,W388,NA())</f>
        <v>#N/A</v>
      </c>
      <c r="Y388">
        <f t="shared" ref="Y388:Y451" si="26">IF(V388&lt;=$A$2,W388,NA())</f>
        <v>0.39447933090788895</v>
      </c>
      <c r="Z388">
        <f t="shared" ref="Z388:Z451" si="27">IF(ABS(V388)&lt;=$A$2,W388,NA())</f>
        <v>0.39447933090788895</v>
      </c>
    </row>
    <row r="389" spans="22:26" x14ac:dyDescent="0.3">
      <c r="V389">
        <v>-0.14000000000000001</v>
      </c>
      <c r="W389">
        <f t="shared" si="24"/>
        <v>0.39505174083461125</v>
      </c>
      <c r="X389" t="e">
        <f t="shared" si="25"/>
        <v>#N/A</v>
      </c>
      <c r="Y389">
        <f t="shared" si="26"/>
        <v>0.39505174083461125</v>
      </c>
      <c r="Z389">
        <f t="shared" si="27"/>
        <v>0.39505174083461125</v>
      </c>
    </row>
    <row r="390" spans="22:26" x14ac:dyDescent="0.3">
      <c r="V390">
        <v>-0.13</v>
      </c>
      <c r="W390">
        <f t="shared" si="24"/>
        <v>0.39558542083768738</v>
      </c>
      <c r="X390" t="e">
        <f t="shared" si="25"/>
        <v>#N/A</v>
      </c>
      <c r="Y390">
        <f t="shared" si="26"/>
        <v>0.39558542083768738</v>
      </c>
      <c r="Z390">
        <f t="shared" si="27"/>
        <v>0.39558542083768738</v>
      </c>
    </row>
    <row r="391" spans="22:26" x14ac:dyDescent="0.3">
      <c r="V391">
        <v>-0.12</v>
      </c>
      <c r="W391">
        <f t="shared" si="24"/>
        <v>0.3960802117936561</v>
      </c>
      <c r="X391" t="e">
        <f t="shared" si="25"/>
        <v>#N/A</v>
      </c>
      <c r="Y391">
        <f t="shared" si="26"/>
        <v>0.3960802117936561</v>
      </c>
      <c r="Z391">
        <f t="shared" si="27"/>
        <v>0.3960802117936561</v>
      </c>
    </row>
    <row r="392" spans="22:26" x14ac:dyDescent="0.3">
      <c r="V392">
        <v>-0.11</v>
      </c>
      <c r="W392">
        <f t="shared" si="24"/>
        <v>0.39653596604568575</v>
      </c>
      <c r="X392" t="e">
        <f t="shared" si="25"/>
        <v>#N/A</v>
      </c>
      <c r="Y392">
        <f t="shared" si="26"/>
        <v>0.39653596604568575</v>
      </c>
      <c r="Z392">
        <f t="shared" si="27"/>
        <v>0.39653596604568575</v>
      </c>
    </row>
    <row r="393" spans="22:26" x14ac:dyDescent="0.3">
      <c r="V393">
        <v>-0.1</v>
      </c>
      <c r="W393">
        <f t="shared" si="24"/>
        <v>0.39695254747701181</v>
      </c>
      <c r="X393" t="e">
        <f t="shared" si="25"/>
        <v>#N/A</v>
      </c>
      <c r="Y393">
        <f t="shared" si="26"/>
        <v>0.39695254747701181</v>
      </c>
      <c r="Z393">
        <f t="shared" si="27"/>
        <v>0.39695254747701181</v>
      </c>
    </row>
    <row r="394" spans="22:26" x14ac:dyDescent="0.3">
      <c r="V394">
        <v>-0.09</v>
      </c>
      <c r="W394">
        <f t="shared" si="24"/>
        <v>0.39732983157868834</v>
      </c>
      <c r="X394" t="e">
        <f t="shared" si="25"/>
        <v>#N/A</v>
      </c>
      <c r="Y394">
        <f t="shared" si="26"/>
        <v>0.39732983157868834</v>
      </c>
      <c r="Z394">
        <f t="shared" si="27"/>
        <v>0.39732983157868834</v>
      </c>
    </row>
    <row r="395" spans="22:26" x14ac:dyDescent="0.3">
      <c r="V395">
        <v>-0.08</v>
      </c>
      <c r="W395">
        <f t="shared" si="24"/>
        <v>0.39766770551160885</v>
      </c>
      <c r="X395" t="e">
        <f t="shared" si="25"/>
        <v>#N/A</v>
      </c>
      <c r="Y395">
        <f t="shared" si="26"/>
        <v>0.39766770551160885</v>
      </c>
      <c r="Z395">
        <f t="shared" si="27"/>
        <v>0.39766770551160885</v>
      </c>
    </row>
    <row r="396" spans="22:26" x14ac:dyDescent="0.3">
      <c r="V396">
        <v>-7.0000000000000007E-2</v>
      </c>
      <c r="W396">
        <f t="shared" si="24"/>
        <v>0.39796606816275104</v>
      </c>
      <c r="X396" t="e">
        <f t="shared" si="25"/>
        <v>#N/A</v>
      </c>
      <c r="Y396">
        <f t="shared" si="26"/>
        <v>0.39796606816275104</v>
      </c>
      <c r="Z396">
        <f t="shared" si="27"/>
        <v>0.39796606816275104</v>
      </c>
    </row>
    <row r="397" spans="22:26" x14ac:dyDescent="0.3">
      <c r="V397">
        <v>-0.06</v>
      </c>
      <c r="W397">
        <f t="shared" si="24"/>
        <v>0.39822483019560695</v>
      </c>
      <c r="X397" t="e">
        <f t="shared" si="25"/>
        <v>#N/A</v>
      </c>
      <c r="Y397">
        <f t="shared" si="26"/>
        <v>0.39822483019560695</v>
      </c>
      <c r="Z397">
        <f t="shared" si="27"/>
        <v>0.39822483019560695</v>
      </c>
    </row>
    <row r="398" spans="22:26" x14ac:dyDescent="0.3">
      <c r="V398">
        <v>-0.05</v>
      </c>
      <c r="W398">
        <f t="shared" si="24"/>
        <v>0.39844391409476404</v>
      </c>
      <c r="X398" t="e">
        <f t="shared" si="25"/>
        <v>#N/A</v>
      </c>
      <c r="Y398">
        <f t="shared" si="26"/>
        <v>0.39844391409476404</v>
      </c>
      <c r="Z398">
        <f t="shared" si="27"/>
        <v>0.39844391409476404</v>
      </c>
    </row>
    <row r="399" spans="22:26" x14ac:dyDescent="0.3">
      <c r="V399">
        <v>-0.04</v>
      </c>
      <c r="W399">
        <f t="shared" si="24"/>
        <v>0.39862325420460504</v>
      </c>
      <c r="X399" t="e">
        <f t="shared" si="25"/>
        <v>#N/A</v>
      </c>
      <c r="Y399">
        <f t="shared" si="26"/>
        <v>0.39862325420460504</v>
      </c>
      <c r="Z399">
        <f t="shared" si="27"/>
        <v>0.39862325420460504</v>
      </c>
    </row>
    <row r="400" spans="22:26" x14ac:dyDescent="0.3">
      <c r="V400">
        <v>-0.03</v>
      </c>
      <c r="W400">
        <f t="shared" si="24"/>
        <v>0.39876279676209969</v>
      </c>
      <c r="X400" t="e">
        <f t="shared" si="25"/>
        <v>#N/A</v>
      </c>
      <c r="Y400">
        <f t="shared" si="26"/>
        <v>0.39876279676209969</v>
      </c>
      <c r="Z400">
        <f t="shared" si="27"/>
        <v>0.39876279676209969</v>
      </c>
    </row>
    <row r="401" spans="22:27" x14ac:dyDescent="0.3">
      <c r="V401">
        <v>-0.02</v>
      </c>
      <c r="W401">
        <f t="shared" si="24"/>
        <v>0.39886249992366613</v>
      </c>
      <c r="X401" t="e">
        <f t="shared" si="25"/>
        <v>#N/A</v>
      </c>
      <c r="Y401">
        <f t="shared" si="26"/>
        <v>0.39886249992366613</v>
      </c>
      <c r="Z401">
        <f t="shared" si="27"/>
        <v>0.39886249992366613</v>
      </c>
    </row>
    <row r="402" spans="22:27" x14ac:dyDescent="0.3">
      <c r="V402">
        <v>-0.01</v>
      </c>
      <c r="W402">
        <f t="shared" si="24"/>
        <v>0.39892233378608216</v>
      </c>
      <c r="X402" t="e">
        <f t="shared" si="25"/>
        <v>#N/A</v>
      </c>
      <c r="Y402">
        <f t="shared" si="26"/>
        <v>0.39892233378608216</v>
      </c>
      <c r="Z402">
        <f t="shared" si="27"/>
        <v>0.39892233378608216</v>
      </c>
    </row>
    <row r="403" spans="22:27" x14ac:dyDescent="0.3">
      <c r="V403">
        <v>0</v>
      </c>
      <c r="W403">
        <f t="shared" si="24"/>
        <v>0.3989422804014327</v>
      </c>
      <c r="X403" t="e">
        <f t="shared" si="25"/>
        <v>#N/A</v>
      </c>
      <c r="Y403">
        <f t="shared" si="26"/>
        <v>0.3989422804014327</v>
      </c>
      <c r="Z403">
        <f t="shared" si="27"/>
        <v>0.3989422804014327</v>
      </c>
      <c r="AA403">
        <f>W403</f>
        <v>0.3989422804014327</v>
      </c>
    </row>
    <row r="404" spans="22:27" x14ac:dyDescent="0.3">
      <c r="V404">
        <v>0.01</v>
      </c>
      <c r="W404">
        <f t="shared" si="24"/>
        <v>0.39892233378608216</v>
      </c>
      <c r="X404" t="e">
        <f t="shared" si="25"/>
        <v>#N/A</v>
      </c>
      <c r="Y404">
        <f t="shared" si="26"/>
        <v>0.39892233378608216</v>
      </c>
      <c r="Z404">
        <f t="shared" si="27"/>
        <v>0.39892233378608216</v>
      </c>
    </row>
    <row r="405" spans="22:27" x14ac:dyDescent="0.3">
      <c r="V405">
        <v>0.02</v>
      </c>
      <c r="W405">
        <f t="shared" si="24"/>
        <v>0.39886249992366613</v>
      </c>
      <c r="X405" t="e">
        <f t="shared" si="25"/>
        <v>#N/A</v>
      </c>
      <c r="Y405">
        <f t="shared" si="26"/>
        <v>0.39886249992366613</v>
      </c>
      <c r="Z405">
        <f t="shared" si="27"/>
        <v>0.39886249992366613</v>
      </c>
    </row>
    <row r="406" spans="22:27" x14ac:dyDescent="0.3">
      <c r="V406">
        <v>0.03</v>
      </c>
      <c r="W406">
        <f t="shared" si="24"/>
        <v>0.39876279676209969</v>
      </c>
      <c r="X406" t="e">
        <f t="shared" si="25"/>
        <v>#N/A</v>
      </c>
      <c r="Y406">
        <f t="shared" si="26"/>
        <v>0.39876279676209969</v>
      </c>
      <c r="Z406">
        <f t="shared" si="27"/>
        <v>0.39876279676209969</v>
      </c>
    </row>
    <row r="407" spans="22:27" x14ac:dyDescent="0.3">
      <c r="V407">
        <v>0.04</v>
      </c>
      <c r="W407">
        <f t="shared" si="24"/>
        <v>0.39862325420460504</v>
      </c>
      <c r="X407" t="e">
        <f t="shared" si="25"/>
        <v>#N/A</v>
      </c>
      <c r="Y407">
        <f t="shared" si="26"/>
        <v>0.39862325420460504</v>
      </c>
      <c r="Z407">
        <f t="shared" si="27"/>
        <v>0.39862325420460504</v>
      </c>
    </row>
    <row r="408" spans="22:27" x14ac:dyDescent="0.3">
      <c r="V408">
        <v>0.05</v>
      </c>
      <c r="W408">
        <f t="shared" si="24"/>
        <v>0.39844391409476404</v>
      </c>
      <c r="X408" t="e">
        <f t="shared" si="25"/>
        <v>#N/A</v>
      </c>
      <c r="Y408">
        <f t="shared" si="26"/>
        <v>0.39844391409476404</v>
      </c>
      <c r="Z408">
        <f t="shared" si="27"/>
        <v>0.39844391409476404</v>
      </c>
    </row>
    <row r="409" spans="22:27" x14ac:dyDescent="0.3">
      <c r="V409">
        <v>0.06</v>
      </c>
      <c r="W409">
        <f t="shared" si="24"/>
        <v>0.39822483019560695</v>
      </c>
      <c r="X409" t="e">
        <f t="shared" si="25"/>
        <v>#N/A</v>
      </c>
      <c r="Y409">
        <f t="shared" si="26"/>
        <v>0.39822483019560695</v>
      </c>
      <c r="Z409">
        <f t="shared" si="27"/>
        <v>0.39822483019560695</v>
      </c>
    </row>
    <row r="410" spans="22:27" x14ac:dyDescent="0.3">
      <c r="V410">
        <v>7.0000000000000007E-2</v>
      </c>
      <c r="W410">
        <f t="shared" si="24"/>
        <v>0.39796606816275104</v>
      </c>
      <c r="X410" t="e">
        <f t="shared" si="25"/>
        <v>#N/A</v>
      </c>
      <c r="Y410">
        <f t="shared" si="26"/>
        <v>0.39796606816275104</v>
      </c>
      <c r="Z410">
        <f t="shared" si="27"/>
        <v>0.39796606816275104</v>
      </c>
    </row>
    <row r="411" spans="22:27" x14ac:dyDescent="0.3">
      <c r="V411">
        <v>0.08</v>
      </c>
      <c r="W411">
        <f t="shared" si="24"/>
        <v>0.39766770551160885</v>
      </c>
      <c r="X411" t="e">
        <f t="shared" si="25"/>
        <v>#N/A</v>
      </c>
      <c r="Y411">
        <f t="shared" si="26"/>
        <v>0.39766770551160885</v>
      </c>
      <c r="Z411">
        <f t="shared" si="27"/>
        <v>0.39766770551160885</v>
      </c>
    </row>
    <row r="412" spans="22:27" x14ac:dyDescent="0.3">
      <c r="V412">
        <v>0.09</v>
      </c>
      <c r="W412">
        <f t="shared" si="24"/>
        <v>0.39732983157868834</v>
      </c>
      <c r="X412" t="e">
        <f t="shared" si="25"/>
        <v>#N/A</v>
      </c>
      <c r="Y412">
        <f t="shared" si="26"/>
        <v>0.39732983157868834</v>
      </c>
      <c r="Z412">
        <f t="shared" si="27"/>
        <v>0.39732983157868834</v>
      </c>
    </row>
    <row r="413" spans="22:27" x14ac:dyDescent="0.3">
      <c r="V413">
        <v>0.1</v>
      </c>
      <c r="W413">
        <f t="shared" si="24"/>
        <v>0.39695254747701181</v>
      </c>
      <c r="X413" t="e">
        <f t="shared" si="25"/>
        <v>#N/A</v>
      </c>
      <c r="Y413">
        <f t="shared" si="26"/>
        <v>0.39695254747701181</v>
      </c>
      <c r="Z413">
        <f t="shared" si="27"/>
        <v>0.39695254747701181</v>
      </c>
    </row>
    <row r="414" spans="22:27" x14ac:dyDescent="0.3">
      <c r="V414">
        <v>0.11</v>
      </c>
      <c r="W414">
        <f t="shared" si="24"/>
        <v>0.39653596604568575</v>
      </c>
      <c r="X414" t="e">
        <f t="shared" si="25"/>
        <v>#N/A</v>
      </c>
      <c r="Y414">
        <f t="shared" si="26"/>
        <v>0.39653596604568575</v>
      </c>
      <c r="Z414">
        <f t="shared" si="27"/>
        <v>0.39653596604568575</v>
      </c>
    </row>
    <row r="415" spans="22:27" x14ac:dyDescent="0.3">
      <c r="V415">
        <v>0.12</v>
      </c>
      <c r="W415">
        <f t="shared" si="24"/>
        <v>0.3960802117936561</v>
      </c>
      <c r="X415" t="e">
        <f t="shared" si="25"/>
        <v>#N/A</v>
      </c>
      <c r="Y415">
        <f t="shared" si="26"/>
        <v>0.3960802117936561</v>
      </c>
      <c r="Z415">
        <f t="shared" si="27"/>
        <v>0.3960802117936561</v>
      </c>
    </row>
    <row r="416" spans="22:27" x14ac:dyDescent="0.3">
      <c r="V416">
        <v>0.13</v>
      </c>
      <c r="W416">
        <f t="shared" si="24"/>
        <v>0.39558542083768738</v>
      </c>
      <c r="X416" t="e">
        <f t="shared" si="25"/>
        <v>#N/A</v>
      </c>
      <c r="Y416">
        <f t="shared" si="26"/>
        <v>0.39558542083768738</v>
      </c>
      <c r="Z416">
        <f t="shared" si="27"/>
        <v>0.39558542083768738</v>
      </c>
    </row>
    <row r="417" spans="22:26" x14ac:dyDescent="0.3">
      <c r="V417">
        <v>0.14000000000000001</v>
      </c>
      <c r="W417">
        <f t="shared" si="24"/>
        <v>0.39505174083461125</v>
      </c>
      <c r="X417" t="e">
        <f t="shared" si="25"/>
        <v>#N/A</v>
      </c>
      <c r="Y417">
        <f t="shared" si="26"/>
        <v>0.39505174083461125</v>
      </c>
      <c r="Z417">
        <f t="shared" si="27"/>
        <v>0.39505174083461125</v>
      </c>
    </row>
    <row r="418" spans="22:26" x14ac:dyDescent="0.3">
      <c r="V418">
        <v>0.15</v>
      </c>
      <c r="W418">
        <f t="shared" si="24"/>
        <v>0.39447933090788895</v>
      </c>
      <c r="X418" t="e">
        <f t="shared" si="25"/>
        <v>#N/A</v>
      </c>
      <c r="Y418">
        <f t="shared" si="26"/>
        <v>0.39447933090788895</v>
      </c>
      <c r="Z418">
        <f t="shared" si="27"/>
        <v>0.39447933090788895</v>
      </c>
    </row>
    <row r="419" spans="22:26" x14ac:dyDescent="0.3">
      <c r="V419">
        <v>0.16</v>
      </c>
      <c r="W419">
        <f t="shared" si="24"/>
        <v>0.39386836156854083</v>
      </c>
      <c r="X419" t="e">
        <f t="shared" si="25"/>
        <v>#N/A</v>
      </c>
      <c r="Y419">
        <f t="shared" si="26"/>
        <v>0.39386836156854083</v>
      </c>
      <c r="Z419">
        <f t="shared" si="27"/>
        <v>0.39386836156854083</v>
      </c>
    </row>
    <row r="420" spans="22:26" x14ac:dyDescent="0.3">
      <c r="V420">
        <v>0.17</v>
      </c>
      <c r="W420">
        <f t="shared" si="24"/>
        <v>0.39321901463049719</v>
      </c>
      <c r="X420" t="e">
        <f t="shared" si="25"/>
        <v>#N/A</v>
      </c>
      <c r="Y420">
        <f t="shared" si="26"/>
        <v>0.39321901463049719</v>
      </c>
      <c r="Z420">
        <f t="shared" si="27"/>
        <v>0.39321901463049719</v>
      </c>
    </row>
    <row r="421" spans="22:26" x14ac:dyDescent="0.3">
      <c r="V421">
        <v>0.18</v>
      </c>
      <c r="W421">
        <f t="shared" si="24"/>
        <v>0.3925314831204289</v>
      </c>
      <c r="X421" t="e">
        <f t="shared" si="25"/>
        <v>#N/A</v>
      </c>
      <c r="Y421">
        <f t="shared" si="26"/>
        <v>0.3925314831204289</v>
      </c>
      <c r="Z421">
        <f t="shared" si="27"/>
        <v>0.3925314831204289</v>
      </c>
    </row>
    <row r="422" spans="22:26" x14ac:dyDescent="0.3">
      <c r="V422">
        <v>0.19</v>
      </c>
      <c r="W422">
        <f t="shared" si="24"/>
        <v>0.39180597118212113</v>
      </c>
      <c r="X422" t="e">
        <f t="shared" si="25"/>
        <v>#N/A</v>
      </c>
      <c r="Y422">
        <f t="shared" si="26"/>
        <v>0.39180597118212113</v>
      </c>
      <c r="Z422">
        <f t="shared" si="27"/>
        <v>0.39180597118212113</v>
      </c>
    </row>
    <row r="423" spans="22:26" x14ac:dyDescent="0.3">
      <c r="V423">
        <v>0.2</v>
      </c>
      <c r="W423">
        <f t="shared" si="24"/>
        <v>0.39104269397545588</v>
      </c>
      <c r="X423" t="e">
        <f t="shared" si="25"/>
        <v>#N/A</v>
      </c>
      <c r="Y423">
        <f t="shared" si="26"/>
        <v>0.39104269397545588</v>
      </c>
      <c r="Z423">
        <f t="shared" si="27"/>
        <v>0.39104269397545588</v>
      </c>
    </row>
    <row r="424" spans="22:26" x14ac:dyDescent="0.3">
      <c r="V424">
        <v>0.21</v>
      </c>
      <c r="W424">
        <f t="shared" si="24"/>
        <v>0.39024187757007428</v>
      </c>
      <c r="X424" t="e">
        <f t="shared" si="25"/>
        <v>#N/A</v>
      </c>
      <c r="Y424">
        <f t="shared" si="26"/>
        <v>0.39024187757007428</v>
      </c>
      <c r="Z424">
        <f t="shared" si="27"/>
        <v>0.39024187757007428</v>
      </c>
    </row>
    <row r="425" spans="22:26" x14ac:dyDescent="0.3">
      <c r="V425">
        <v>0.22</v>
      </c>
      <c r="W425">
        <f t="shared" si="24"/>
        <v>0.38940375883379041</v>
      </c>
      <c r="X425" t="e">
        <f t="shared" si="25"/>
        <v>#N/A</v>
      </c>
      <c r="Y425">
        <f t="shared" si="26"/>
        <v>0.38940375883379041</v>
      </c>
      <c r="Z425">
        <f t="shared" si="27"/>
        <v>0.38940375883379041</v>
      </c>
    </row>
    <row r="426" spans="22:26" x14ac:dyDescent="0.3">
      <c r="V426">
        <v>0.23</v>
      </c>
      <c r="W426">
        <f t="shared" si="24"/>
        <v>0.38852858531583589</v>
      </c>
      <c r="X426" t="e">
        <f t="shared" si="25"/>
        <v>#N/A</v>
      </c>
      <c r="Y426">
        <f t="shared" si="26"/>
        <v>0.38852858531583589</v>
      </c>
      <c r="Z426">
        <f t="shared" si="27"/>
        <v>0.38852858531583589</v>
      </c>
    </row>
    <row r="427" spans="22:26" x14ac:dyDescent="0.3">
      <c r="V427">
        <v>0.24</v>
      </c>
      <c r="W427">
        <f t="shared" si="24"/>
        <v>0.38761661512501416</v>
      </c>
      <c r="X427" t="e">
        <f t="shared" si="25"/>
        <v>#N/A</v>
      </c>
      <c r="Y427">
        <f t="shared" si="26"/>
        <v>0.38761661512501416</v>
      </c>
      <c r="Z427">
        <f t="shared" si="27"/>
        <v>0.38761661512501416</v>
      </c>
    </row>
    <row r="428" spans="22:26" x14ac:dyDescent="0.3">
      <c r="V428">
        <v>0.25</v>
      </c>
      <c r="W428">
        <f t="shared" si="24"/>
        <v>0.38666811680284924</v>
      </c>
      <c r="X428" t="e">
        <f t="shared" si="25"/>
        <v>#N/A</v>
      </c>
      <c r="Y428">
        <f t="shared" si="26"/>
        <v>0.38666811680284924</v>
      </c>
      <c r="Z428">
        <f t="shared" si="27"/>
        <v>0.38666811680284924</v>
      </c>
    </row>
    <row r="429" spans="22:26" x14ac:dyDescent="0.3">
      <c r="V429">
        <v>0.26</v>
      </c>
      <c r="W429">
        <f t="shared" si="24"/>
        <v>0.38568336919181612</v>
      </c>
      <c r="X429" t="e">
        <f t="shared" si="25"/>
        <v>#N/A</v>
      </c>
      <c r="Y429">
        <f t="shared" si="26"/>
        <v>0.38568336919181612</v>
      </c>
      <c r="Z429">
        <f t="shared" si="27"/>
        <v>0.38568336919181612</v>
      </c>
    </row>
    <row r="430" spans="22:26" x14ac:dyDescent="0.3">
      <c r="V430">
        <v>0.27</v>
      </c>
      <c r="W430">
        <f t="shared" si="24"/>
        <v>0.38466266129874283</v>
      </c>
      <c r="X430" t="e">
        <f t="shared" si="25"/>
        <v>#N/A</v>
      </c>
      <c r="Y430">
        <f t="shared" si="26"/>
        <v>0.38466266129874283</v>
      </c>
      <c r="Z430">
        <f t="shared" si="27"/>
        <v>0.38466266129874283</v>
      </c>
    </row>
    <row r="431" spans="22:26" x14ac:dyDescent="0.3">
      <c r="V431">
        <v>0.28000000000000003</v>
      </c>
      <c r="W431">
        <f t="shared" si="24"/>
        <v>0.38360629215347858</v>
      </c>
      <c r="X431" t="e">
        <f t="shared" si="25"/>
        <v>#N/A</v>
      </c>
      <c r="Y431">
        <f t="shared" si="26"/>
        <v>0.38360629215347858</v>
      </c>
      <c r="Z431">
        <f t="shared" si="27"/>
        <v>0.38360629215347858</v>
      </c>
    </row>
    <row r="432" spans="22:26" x14ac:dyDescent="0.3">
      <c r="V432">
        <v>0.28999999999999998</v>
      </c>
      <c r="W432">
        <f t="shared" si="24"/>
        <v>0.38251457066292405</v>
      </c>
      <c r="X432" t="e">
        <f t="shared" si="25"/>
        <v>#N/A</v>
      </c>
      <c r="Y432">
        <f t="shared" si="26"/>
        <v>0.38251457066292405</v>
      </c>
      <c r="Z432">
        <f t="shared" si="27"/>
        <v>0.38251457066292405</v>
      </c>
    </row>
    <row r="433" spans="22:26" x14ac:dyDescent="0.3">
      <c r="V433">
        <v>0.3</v>
      </c>
      <c r="W433">
        <f t="shared" si="24"/>
        <v>0.38138781546052414</v>
      </c>
      <c r="X433" t="e">
        <f t="shared" si="25"/>
        <v>#N/A</v>
      </c>
      <c r="Y433">
        <f t="shared" si="26"/>
        <v>0.38138781546052414</v>
      </c>
      <c r="Z433">
        <f t="shared" si="27"/>
        <v>0.38138781546052414</v>
      </c>
    </row>
    <row r="434" spans="22:26" x14ac:dyDescent="0.3">
      <c r="V434">
        <v>0.31</v>
      </c>
      <c r="W434">
        <f t="shared" si="24"/>
        <v>0.38022635475132494</v>
      </c>
      <c r="X434" t="e">
        <f t="shared" si="25"/>
        <v>#N/A</v>
      </c>
      <c r="Y434">
        <f t="shared" si="26"/>
        <v>0.38022635475132494</v>
      </c>
      <c r="Z434">
        <f t="shared" si="27"/>
        <v>0.38022635475132494</v>
      </c>
    </row>
    <row r="435" spans="22:26" x14ac:dyDescent="0.3">
      <c r="V435">
        <v>0.32</v>
      </c>
      <c r="W435">
        <f t="shared" si="24"/>
        <v>0.37903052615270166</v>
      </c>
      <c r="X435" t="e">
        <f t="shared" si="25"/>
        <v>#N/A</v>
      </c>
      <c r="Y435">
        <f t="shared" si="26"/>
        <v>0.37903052615270166</v>
      </c>
      <c r="Z435">
        <f t="shared" si="27"/>
        <v>0.37903052615270166</v>
      </c>
    </row>
    <row r="436" spans="22:26" x14ac:dyDescent="0.3">
      <c r="V436">
        <v>0.33</v>
      </c>
      <c r="W436">
        <f t="shared" si="24"/>
        <v>0.37780067653086458</v>
      </c>
      <c r="X436" t="e">
        <f t="shared" si="25"/>
        <v>#N/A</v>
      </c>
      <c r="Y436">
        <f t="shared" si="26"/>
        <v>0.37780067653086458</v>
      </c>
      <c r="Z436">
        <f t="shared" si="27"/>
        <v>0.37780067653086458</v>
      </c>
    </row>
    <row r="437" spans="22:26" x14ac:dyDescent="0.3">
      <c r="V437">
        <v>0.34</v>
      </c>
      <c r="W437">
        <f t="shared" si="24"/>
        <v>0.37653716183325392</v>
      </c>
      <c r="X437" t="e">
        <f t="shared" si="25"/>
        <v>#N/A</v>
      </c>
      <c r="Y437">
        <f t="shared" si="26"/>
        <v>0.37653716183325392</v>
      </c>
      <c r="Z437">
        <f t="shared" si="27"/>
        <v>0.37653716183325392</v>
      </c>
    </row>
    <row r="438" spans="22:26" x14ac:dyDescent="0.3">
      <c r="V438">
        <v>0.35</v>
      </c>
      <c r="W438">
        <f t="shared" si="24"/>
        <v>0.37524034691693792</v>
      </c>
      <c r="X438" t="e">
        <f t="shared" si="25"/>
        <v>#N/A</v>
      </c>
      <c r="Y438">
        <f t="shared" si="26"/>
        <v>0.37524034691693792</v>
      </c>
      <c r="Z438">
        <f t="shared" si="27"/>
        <v>0.37524034691693792</v>
      </c>
    </row>
    <row r="439" spans="22:26" x14ac:dyDescent="0.3">
      <c r="V439">
        <v>0.36</v>
      </c>
      <c r="W439">
        <f t="shared" si="24"/>
        <v>0.37391060537312842</v>
      </c>
      <c r="X439" t="e">
        <f t="shared" si="25"/>
        <v>#N/A</v>
      </c>
      <c r="Y439">
        <f t="shared" si="26"/>
        <v>0.37391060537312842</v>
      </c>
      <c r="Z439">
        <f t="shared" si="27"/>
        <v>0.37391060537312842</v>
      </c>
    </row>
    <row r="440" spans="22:26" x14ac:dyDescent="0.3">
      <c r="V440">
        <v>0.37</v>
      </c>
      <c r="W440">
        <f t="shared" si="24"/>
        <v>0.37254831934793342</v>
      </c>
      <c r="X440" t="e">
        <f t="shared" si="25"/>
        <v>#N/A</v>
      </c>
      <c r="Y440">
        <f t="shared" si="26"/>
        <v>0.37254831934793342</v>
      </c>
      <c r="Z440">
        <f t="shared" si="27"/>
        <v>0.37254831934793342</v>
      </c>
    </row>
    <row r="441" spans="22:26" x14ac:dyDescent="0.3">
      <c r="V441">
        <v>0.38</v>
      </c>
      <c r="W441">
        <f t="shared" si="24"/>
        <v>0.37115387935946603</v>
      </c>
      <c r="X441" t="e">
        <f t="shared" si="25"/>
        <v>#N/A</v>
      </c>
      <c r="Y441">
        <f t="shared" si="26"/>
        <v>0.37115387935946603</v>
      </c>
      <c r="Z441">
        <f t="shared" si="27"/>
        <v>0.37115387935946603</v>
      </c>
    </row>
    <row r="442" spans="22:26" x14ac:dyDescent="0.3">
      <c r="V442">
        <v>0.39</v>
      </c>
      <c r="W442">
        <f t="shared" si="24"/>
        <v>0.36972768411143236</v>
      </c>
      <c r="X442" t="e">
        <f t="shared" si="25"/>
        <v>#N/A</v>
      </c>
      <c r="Y442">
        <f t="shared" si="26"/>
        <v>0.36972768411143236</v>
      </c>
      <c r="Z442">
        <f t="shared" si="27"/>
        <v>0.36972768411143236</v>
      </c>
    </row>
    <row r="443" spans="22:26" x14ac:dyDescent="0.3">
      <c r="V443">
        <v>0.4</v>
      </c>
      <c r="W443">
        <f t="shared" si="24"/>
        <v>0.36827014030332333</v>
      </c>
      <c r="X443" t="e">
        <f t="shared" si="25"/>
        <v>#N/A</v>
      </c>
      <c r="Y443">
        <f t="shared" si="26"/>
        <v>0.36827014030332333</v>
      </c>
      <c r="Z443">
        <f t="shared" si="27"/>
        <v>0.36827014030332333</v>
      </c>
    </row>
    <row r="444" spans="22:26" x14ac:dyDescent="0.3">
      <c r="V444">
        <v>0.41</v>
      </c>
      <c r="W444">
        <f t="shared" si="24"/>
        <v>0.36678166243733612</v>
      </c>
      <c r="X444" t="e">
        <f t="shared" si="25"/>
        <v>#N/A</v>
      </c>
      <c r="Y444">
        <f t="shared" si="26"/>
        <v>0.36678166243733612</v>
      </c>
      <c r="Z444">
        <f t="shared" si="27"/>
        <v>0.36678166243733612</v>
      </c>
    </row>
    <row r="445" spans="22:26" x14ac:dyDescent="0.3">
      <c r="V445">
        <v>0.42</v>
      </c>
      <c r="W445">
        <f t="shared" si="24"/>
        <v>0.36526267262215389</v>
      </c>
      <c r="X445" t="e">
        <f t="shared" si="25"/>
        <v>#N/A</v>
      </c>
      <c r="Y445">
        <f t="shared" si="26"/>
        <v>0.36526267262215389</v>
      </c>
      <c r="Z445">
        <f t="shared" si="27"/>
        <v>0.36526267262215389</v>
      </c>
    </row>
    <row r="446" spans="22:26" x14ac:dyDescent="0.3">
      <c r="V446">
        <v>0.43</v>
      </c>
      <c r="W446">
        <f t="shared" si="24"/>
        <v>0.36371360037371342</v>
      </c>
      <c r="X446" t="e">
        <f t="shared" si="25"/>
        <v>#N/A</v>
      </c>
      <c r="Y446">
        <f t="shared" si="26"/>
        <v>0.36371360037371342</v>
      </c>
      <c r="Z446">
        <f t="shared" si="27"/>
        <v>0.36371360037371342</v>
      </c>
    </row>
    <row r="447" spans="22:26" x14ac:dyDescent="0.3">
      <c r="V447">
        <v>0.44</v>
      </c>
      <c r="W447">
        <f t="shared" si="24"/>
        <v>0.36213488241309222</v>
      </c>
      <c r="X447" t="e">
        <f t="shared" si="25"/>
        <v>#N/A</v>
      </c>
      <c r="Y447">
        <f t="shared" si="26"/>
        <v>0.36213488241309222</v>
      </c>
      <c r="Z447">
        <f t="shared" si="27"/>
        <v>0.36213488241309222</v>
      </c>
    </row>
    <row r="448" spans="22:26" x14ac:dyDescent="0.3">
      <c r="V448">
        <v>0.45</v>
      </c>
      <c r="W448">
        <f t="shared" si="24"/>
        <v>0.36052696246164795</v>
      </c>
      <c r="X448" t="e">
        <f t="shared" si="25"/>
        <v>#N/A</v>
      </c>
      <c r="Y448">
        <f t="shared" si="26"/>
        <v>0.36052696246164795</v>
      </c>
      <c r="Z448">
        <f t="shared" si="27"/>
        <v>0.36052696246164795</v>
      </c>
    </row>
    <row r="449" spans="22:26" x14ac:dyDescent="0.3">
      <c r="V449">
        <v>0.46</v>
      </c>
      <c r="W449">
        <f t="shared" si="24"/>
        <v>0.35889029103354464</v>
      </c>
      <c r="X449" t="e">
        <f t="shared" si="25"/>
        <v>#N/A</v>
      </c>
      <c r="Y449">
        <f t="shared" si="26"/>
        <v>0.35889029103354464</v>
      </c>
      <c r="Z449">
        <f t="shared" si="27"/>
        <v>0.35889029103354464</v>
      </c>
    </row>
    <row r="450" spans="22:26" x14ac:dyDescent="0.3">
      <c r="V450">
        <v>0.47</v>
      </c>
      <c r="W450">
        <f t="shared" si="24"/>
        <v>0.35722532522580086</v>
      </c>
      <c r="X450" t="e">
        <f t="shared" si="25"/>
        <v>#N/A</v>
      </c>
      <c r="Y450">
        <f t="shared" si="26"/>
        <v>0.35722532522580086</v>
      </c>
      <c r="Z450">
        <f t="shared" si="27"/>
        <v>0.35722532522580086</v>
      </c>
    </row>
    <row r="451" spans="22:26" x14ac:dyDescent="0.3">
      <c r="V451">
        <v>0.48</v>
      </c>
      <c r="W451">
        <f t="shared" si="24"/>
        <v>0.35553252850599709</v>
      </c>
      <c r="X451" t="e">
        <f t="shared" si="25"/>
        <v>#N/A</v>
      </c>
      <c r="Y451">
        <f t="shared" si="26"/>
        <v>0.35553252850599709</v>
      </c>
      <c r="Z451">
        <f t="shared" si="27"/>
        <v>0.35553252850599709</v>
      </c>
    </row>
    <row r="452" spans="22:26" x14ac:dyDescent="0.3">
      <c r="V452">
        <v>0.49</v>
      </c>
      <c r="W452">
        <f t="shared" ref="W452:W515" si="28">_xlfn.NORM.S.DIST(V452,0)</f>
        <v>0.35381237049777969</v>
      </c>
      <c r="X452" t="e">
        <f t="shared" ref="X452:X515" si="29">IF(V452=$A$2,W452,NA())</f>
        <v>#N/A</v>
      </c>
      <c r="Y452">
        <f t="shared" ref="Y452:Y515" si="30">IF(V452&lt;=$A$2,W452,NA())</f>
        <v>0.35381237049777969</v>
      </c>
      <c r="Z452">
        <f t="shared" ref="Z452:Z515" si="31">IF(ABS(V452)&lt;=$A$2,W452,NA())</f>
        <v>0.35381237049777969</v>
      </c>
    </row>
    <row r="453" spans="22:26" x14ac:dyDescent="0.3">
      <c r="V453">
        <v>0.5</v>
      </c>
      <c r="W453">
        <f t="shared" si="28"/>
        <v>0.35206532676429952</v>
      </c>
      <c r="X453" t="e">
        <f t="shared" si="29"/>
        <v>#N/A</v>
      </c>
      <c r="Y453">
        <f t="shared" si="30"/>
        <v>0.35206532676429952</v>
      </c>
      <c r="Z453">
        <f t="shared" si="31"/>
        <v>0.35206532676429952</v>
      </c>
    </row>
    <row r="454" spans="22:26" x14ac:dyDescent="0.3">
      <c r="V454">
        <v>0.51</v>
      </c>
      <c r="W454">
        <f t="shared" si="28"/>
        <v>0.35029187858972582</v>
      </c>
      <c r="X454" t="e">
        <f t="shared" si="29"/>
        <v>#N/A</v>
      </c>
      <c r="Y454">
        <f t="shared" si="30"/>
        <v>0.35029187858972582</v>
      </c>
      <c r="Z454">
        <f t="shared" si="31"/>
        <v>0.35029187858972582</v>
      </c>
    </row>
    <row r="455" spans="22:26" x14ac:dyDescent="0.3">
      <c r="V455">
        <v>0.52</v>
      </c>
      <c r="W455">
        <f t="shared" si="28"/>
        <v>0.34849251275897447</v>
      </c>
      <c r="X455" t="e">
        <f t="shared" si="29"/>
        <v>#N/A</v>
      </c>
      <c r="Y455">
        <f t="shared" si="30"/>
        <v>0.34849251275897447</v>
      </c>
      <c r="Z455">
        <f t="shared" si="31"/>
        <v>0.34849251275897447</v>
      </c>
    </row>
    <row r="456" spans="22:26" x14ac:dyDescent="0.3">
      <c r="V456">
        <v>0.53</v>
      </c>
      <c r="W456">
        <f t="shared" si="28"/>
        <v>0.34666772133579166</v>
      </c>
      <c r="X456" t="e">
        <f t="shared" si="29"/>
        <v>#N/A</v>
      </c>
      <c r="Y456">
        <f t="shared" si="30"/>
        <v>0.34666772133579166</v>
      </c>
      <c r="Z456">
        <f t="shared" si="31"/>
        <v>0.34666772133579166</v>
      </c>
    </row>
    <row r="457" spans="22:26" x14ac:dyDescent="0.3">
      <c r="V457">
        <v>0.54</v>
      </c>
      <c r="W457">
        <f t="shared" si="28"/>
        <v>0.34481800143933333</v>
      </c>
      <c r="X457" t="e">
        <f t="shared" si="29"/>
        <v>#N/A</v>
      </c>
      <c r="Y457">
        <f t="shared" si="30"/>
        <v>0.34481800143933333</v>
      </c>
      <c r="Z457">
        <f t="shared" si="31"/>
        <v>0.34481800143933333</v>
      </c>
    </row>
    <row r="458" spans="22:26" x14ac:dyDescent="0.3">
      <c r="V458">
        <v>0.55000000000000004</v>
      </c>
      <c r="W458">
        <f t="shared" si="28"/>
        <v>0.3429438550193839</v>
      </c>
      <c r="X458" t="e">
        <f t="shared" si="29"/>
        <v>#N/A</v>
      </c>
      <c r="Y458">
        <f t="shared" si="30"/>
        <v>0.3429438550193839</v>
      </c>
      <c r="Z458">
        <f t="shared" si="31"/>
        <v>0.3429438550193839</v>
      </c>
    </row>
    <row r="459" spans="22:26" x14ac:dyDescent="0.3">
      <c r="V459">
        <v>0.56000000000000005</v>
      </c>
      <c r="W459">
        <f t="shared" si="28"/>
        <v>0.34104578863035256</v>
      </c>
      <c r="X459" t="e">
        <f t="shared" si="29"/>
        <v>#N/A</v>
      </c>
      <c r="Y459">
        <f t="shared" si="30"/>
        <v>0.34104578863035256</v>
      </c>
      <c r="Z459">
        <f t="shared" si="31"/>
        <v>0.34104578863035256</v>
      </c>
    </row>
    <row r="460" spans="22:26" x14ac:dyDescent="0.3">
      <c r="V460">
        <v>0.56999999999999995</v>
      </c>
      <c r="W460">
        <f t="shared" si="28"/>
        <v>0.33912431320419223</v>
      </c>
      <c r="X460" t="e">
        <f t="shared" si="29"/>
        <v>#N/A</v>
      </c>
      <c r="Y460">
        <f t="shared" si="30"/>
        <v>0.33912431320419223</v>
      </c>
      <c r="Z460">
        <f t="shared" si="31"/>
        <v>0.33912431320419223</v>
      </c>
    </row>
    <row r="461" spans="22:26" x14ac:dyDescent="0.3">
      <c r="V461">
        <v>0.57999999999999996</v>
      </c>
      <c r="W461">
        <f t="shared" si="28"/>
        <v>0.33717994382238059</v>
      </c>
      <c r="X461" t="e">
        <f t="shared" si="29"/>
        <v>#N/A</v>
      </c>
      <c r="Y461">
        <f t="shared" si="30"/>
        <v>0.33717994382238059</v>
      </c>
      <c r="Z461">
        <f t="shared" si="31"/>
        <v>0.33717994382238059</v>
      </c>
    </row>
    <row r="462" spans="22:26" x14ac:dyDescent="0.3">
      <c r="V462">
        <v>0.59</v>
      </c>
      <c r="W462">
        <f t="shared" si="28"/>
        <v>0.33521319948710609</v>
      </c>
      <c r="X462" t="e">
        <f t="shared" si="29"/>
        <v>#N/A</v>
      </c>
      <c r="Y462">
        <f t="shared" si="30"/>
        <v>0.33521319948710609</v>
      </c>
      <c r="Z462">
        <f t="shared" si="31"/>
        <v>0.33521319948710609</v>
      </c>
    </row>
    <row r="463" spans="22:26" x14ac:dyDescent="0.3">
      <c r="V463">
        <v>0.6</v>
      </c>
      <c r="W463">
        <f t="shared" si="28"/>
        <v>0.33322460289179967</v>
      </c>
      <c r="X463" t="e">
        <f t="shared" si="29"/>
        <v>#N/A</v>
      </c>
      <c r="Y463">
        <f t="shared" si="30"/>
        <v>0.33322460289179967</v>
      </c>
      <c r="Z463">
        <f t="shared" si="31"/>
        <v>0.33322460289179967</v>
      </c>
    </row>
    <row r="464" spans="22:26" x14ac:dyDescent="0.3">
      <c r="V464">
        <v>0.61</v>
      </c>
      <c r="W464">
        <f t="shared" si="28"/>
        <v>0.33121468019115297</v>
      </c>
      <c r="X464" t="e">
        <f t="shared" si="29"/>
        <v>#N/A</v>
      </c>
      <c r="Y464">
        <f t="shared" si="30"/>
        <v>0.33121468019115297</v>
      </c>
      <c r="Z464">
        <f t="shared" si="31"/>
        <v>0.33121468019115297</v>
      </c>
    </row>
    <row r="465" spans="22:26" x14ac:dyDescent="0.3">
      <c r="V465">
        <v>0.62</v>
      </c>
      <c r="W465">
        <f t="shared" si="28"/>
        <v>0.32918396077076478</v>
      </c>
      <c r="X465" t="e">
        <f t="shared" si="29"/>
        <v>#N/A</v>
      </c>
      <c r="Y465">
        <f t="shared" si="30"/>
        <v>0.32918396077076478</v>
      </c>
      <c r="Z465">
        <f t="shared" si="31"/>
        <v>0.32918396077076478</v>
      </c>
    </row>
    <row r="466" spans="22:26" x14ac:dyDescent="0.3">
      <c r="V466">
        <v>0.63</v>
      </c>
      <c r="W466">
        <f t="shared" si="28"/>
        <v>0.32713297701655447</v>
      </c>
      <c r="X466" t="e">
        <f t="shared" si="29"/>
        <v>#N/A</v>
      </c>
      <c r="Y466">
        <f t="shared" si="30"/>
        <v>0.32713297701655447</v>
      </c>
      <c r="Z466">
        <f t="shared" si="31"/>
        <v>0.32713297701655447</v>
      </c>
    </row>
    <row r="467" spans="22:26" x14ac:dyDescent="0.3">
      <c r="V467">
        <v>0.64</v>
      </c>
      <c r="W467">
        <f t="shared" si="28"/>
        <v>0.32506226408408218</v>
      </c>
      <c r="X467" t="e">
        <f t="shared" si="29"/>
        <v>#N/A</v>
      </c>
      <c r="Y467">
        <f t="shared" si="30"/>
        <v>0.32506226408408218</v>
      </c>
      <c r="Z467">
        <f t="shared" si="31"/>
        <v>0.32506226408408218</v>
      </c>
    </row>
    <row r="468" spans="22:26" x14ac:dyDescent="0.3">
      <c r="V468">
        <v>0.65</v>
      </c>
      <c r="W468">
        <f t="shared" si="28"/>
        <v>0.32297235966791427</v>
      </c>
      <c r="X468" t="e">
        <f t="shared" si="29"/>
        <v>#N/A</v>
      </c>
      <c r="Y468">
        <f t="shared" si="30"/>
        <v>0.32297235966791427</v>
      </c>
      <c r="Z468">
        <f t="shared" si="31"/>
        <v>0.32297235966791427</v>
      </c>
    </row>
    <row r="469" spans="22:26" x14ac:dyDescent="0.3">
      <c r="V469">
        <v>0.66</v>
      </c>
      <c r="W469">
        <f t="shared" si="28"/>
        <v>0.32086380377117252</v>
      </c>
      <c r="X469" t="e">
        <f t="shared" si="29"/>
        <v>#N/A</v>
      </c>
      <c r="Y469">
        <f t="shared" si="30"/>
        <v>0.32086380377117252</v>
      </c>
      <c r="Z469">
        <f t="shared" si="31"/>
        <v>0.32086380377117252</v>
      </c>
    </row>
    <row r="470" spans="22:26" x14ac:dyDescent="0.3">
      <c r="V470">
        <v>0.67</v>
      </c>
      <c r="W470">
        <f t="shared" si="28"/>
        <v>0.31873713847540153</v>
      </c>
      <c r="X470" t="e">
        <f t="shared" si="29"/>
        <v>#N/A</v>
      </c>
      <c r="Y470">
        <f t="shared" si="30"/>
        <v>0.31873713847540153</v>
      </c>
      <c r="Z470">
        <f t="shared" si="31"/>
        <v>0.31873713847540153</v>
      </c>
    </row>
    <row r="471" spans="22:26" x14ac:dyDescent="0.3">
      <c r="V471">
        <v>0.68</v>
      </c>
      <c r="W471">
        <f t="shared" si="28"/>
        <v>0.31659290771089277</v>
      </c>
      <c r="X471" t="e">
        <f t="shared" si="29"/>
        <v>#N/A</v>
      </c>
      <c r="Y471">
        <f t="shared" si="30"/>
        <v>0.31659290771089277</v>
      </c>
      <c r="Z471">
        <f t="shared" si="31"/>
        <v>0.31659290771089277</v>
      </c>
    </row>
    <row r="472" spans="22:26" x14ac:dyDescent="0.3">
      <c r="V472">
        <v>0.69</v>
      </c>
      <c r="W472">
        <f t="shared" si="28"/>
        <v>0.31443165702759734</v>
      </c>
      <c r="X472" t="e">
        <f t="shared" si="29"/>
        <v>#N/A</v>
      </c>
      <c r="Y472">
        <f t="shared" si="30"/>
        <v>0.31443165702759734</v>
      </c>
      <c r="Z472">
        <f t="shared" si="31"/>
        <v>0.31443165702759734</v>
      </c>
    </row>
    <row r="473" spans="22:26" x14ac:dyDescent="0.3">
      <c r="V473">
        <v>0.7</v>
      </c>
      <c r="W473">
        <f t="shared" si="28"/>
        <v>0.31225393336676127</v>
      </c>
      <c r="X473" t="e">
        <f t="shared" si="29"/>
        <v>#N/A</v>
      </c>
      <c r="Y473">
        <f t="shared" si="30"/>
        <v>0.31225393336676127</v>
      </c>
      <c r="Z473">
        <f t="shared" si="31"/>
        <v>0.31225393336676127</v>
      </c>
    </row>
    <row r="474" spans="22:26" x14ac:dyDescent="0.3">
      <c r="V474">
        <v>0.71</v>
      </c>
      <c r="W474">
        <f t="shared" si="28"/>
        <v>0.31006028483341613</v>
      </c>
      <c r="X474" t="e">
        <f t="shared" si="29"/>
        <v>#N/A</v>
      </c>
      <c r="Y474">
        <f t="shared" si="30"/>
        <v>0.31006028483341613</v>
      </c>
      <c r="Z474">
        <f t="shared" si="31"/>
        <v>0.31006028483341613</v>
      </c>
    </row>
    <row r="475" spans="22:26" x14ac:dyDescent="0.3">
      <c r="V475">
        <v>0.72</v>
      </c>
      <c r="W475">
        <f t="shared" si="28"/>
        <v>0.30785126046985295</v>
      </c>
      <c r="X475" t="e">
        <f t="shared" si="29"/>
        <v>#N/A</v>
      </c>
      <c r="Y475">
        <f t="shared" si="30"/>
        <v>0.30785126046985295</v>
      </c>
      <c r="Z475">
        <f t="shared" si="31"/>
        <v>0.30785126046985295</v>
      </c>
    </row>
    <row r="476" spans="22:26" x14ac:dyDescent="0.3">
      <c r="V476">
        <v>0.73</v>
      </c>
      <c r="W476">
        <f t="shared" si="28"/>
        <v>0.30562741003020988</v>
      </c>
      <c r="X476" t="e">
        <f t="shared" si="29"/>
        <v>#N/A</v>
      </c>
      <c r="Y476">
        <f t="shared" si="30"/>
        <v>0.30562741003020988</v>
      </c>
      <c r="Z476">
        <f t="shared" si="31"/>
        <v>0.30562741003020988</v>
      </c>
    </row>
    <row r="477" spans="22:26" x14ac:dyDescent="0.3">
      <c r="V477">
        <v>0.74</v>
      </c>
      <c r="W477">
        <f t="shared" si="28"/>
        <v>0.30338928375630014</v>
      </c>
      <c r="X477" t="e">
        <f t="shared" si="29"/>
        <v>#N/A</v>
      </c>
      <c r="Y477">
        <f t="shared" si="30"/>
        <v>0.30338928375630014</v>
      </c>
      <c r="Z477">
        <f t="shared" si="31"/>
        <v>0.30338928375630014</v>
      </c>
    </row>
    <row r="478" spans="22:26" x14ac:dyDescent="0.3">
      <c r="V478">
        <v>0.75</v>
      </c>
      <c r="W478">
        <f t="shared" si="28"/>
        <v>0.30113743215480443</v>
      </c>
      <c r="X478" t="e">
        <f t="shared" si="29"/>
        <v>#N/A</v>
      </c>
      <c r="Y478">
        <f t="shared" si="30"/>
        <v>0.30113743215480443</v>
      </c>
      <c r="Z478">
        <f t="shared" si="31"/>
        <v>0.30113743215480443</v>
      </c>
    </row>
    <row r="479" spans="22:26" x14ac:dyDescent="0.3">
      <c r="V479">
        <v>0.76</v>
      </c>
      <c r="W479">
        <f t="shared" si="28"/>
        <v>0.29887240577595275</v>
      </c>
      <c r="X479" t="e">
        <f t="shared" si="29"/>
        <v>#N/A</v>
      </c>
      <c r="Y479">
        <f t="shared" si="30"/>
        <v>0.29887240577595275</v>
      </c>
      <c r="Z479">
        <f t="shared" si="31"/>
        <v>0.29887240577595275</v>
      </c>
    </row>
    <row r="480" spans="22:26" x14ac:dyDescent="0.3">
      <c r="V480">
        <v>0.77</v>
      </c>
      <c r="W480">
        <f t="shared" si="28"/>
        <v>0.29659475499381571</v>
      </c>
      <c r="X480" t="e">
        <f t="shared" si="29"/>
        <v>#N/A</v>
      </c>
      <c r="Y480">
        <f t="shared" si="30"/>
        <v>0.29659475499381571</v>
      </c>
      <c r="Z480">
        <f t="shared" si="31"/>
        <v>0.29659475499381571</v>
      </c>
    </row>
    <row r="481" spans="22:26" x14ac:dyDescent="0.3">
      <c r="V481">
        <v>0.78</v>
      </c>
      <c r="W481">
        <f t="shared" si="28"/>
        <v>0.29430502978832512</v>
      </c>
      <c r="X481" t="e">
        <f t="shared" si="29"/>
        <v>#N/A</v>
      </c>
      <c r="Y481">
        <f t="shared" si="30"/>
        <v>0.29430502978832512</v>
      </c>
      <c r="Z481">
        <f t="shared" si="31"/>
        <v>0.29430502978832512</v>
      </c>
    </row>
    <row r="482" spans="22:26" x14ac:dyDescent="0.3">
      <c r="V482">
        <v>0.79</v>
      </c>
      <c r="W482">
        <f t="shared" si="28"/>
        <v>0.29200377952914142</v>
      </c>
      <c r="X482" t="e">
        <f t="shared" si="29"/>
        <v>#N/A</v>
      </c>
      <c r="Y482">
        <f t="shared" si="30"/>
        <v>0.29200377952914142</v>
      </c>
      <c r="Z482">
        <f t="shared" si="31"/>
        <v>0.29200377952914142</v>
      </c>
    </row>
    <row r="483" spans="22:26" x14ac:dyDescent="0.3">
      <c r="V483">
        <v>0.8</v>
      </c>
      <c r="W483">
        <f t="shared" si="28"/>
        <v>0.28969155276148273</v>
      </c>
      <c r="X483" t="e">
        <f t="shared" si="29"/>
        <v>#N/A</v>
      </c>
      <c r="Y483">
        <f t="shared" si="30"/>
        <v>0.28969155276148273</v>
      </c>
      <c r="Z483">
        <f t="shared" si="31"/>
        <v>0.28969155276148273</v>
      </c>
    </row>
    <row r="484" spans="22:26" x14ac:dyDescent="0.3">
      <c r="V484">
        <v>0.81</v>
      </c>
      <c r="W484">
        <f t="shared" si="28"/>
        <v>0.28736889699402829</v>
      </c>
      <c r="X484" t="e">
        <f t="shared" si="29"/>
        <v>#N/A</v>
      </c>
      <c r="Y484">
        <f t="shared" si="30"/>
        <v>0.28736889699402829</v>
      </c>
      <c r="Z484">
        <f t="shared" si="31"/>
        <v>0.28736889699402829</v>
      </c>
    </row>
    <row r="485" spans="22:26" x14ac:dyDescent="0.3">
      <c r="V485">
        <v>0.82</v>
      </c>
      <c r="W485">
        <f t="shared" si="28"/>
        <v>0.28503635848900727</v>
      </c>
      <c r="X485" t="e">
        <f t="shared" si="29"/>
        <v>#N/A</v>
      </c>
      <c r="Y485">
        <f t="shared" si="30"/>
        <v>0.28503635848900727</v>
      </c>
      <c r="Z485">
        <f t="shared" si="31"/>
        <v>0.28503635848900727</v>
      </c>
    </row>
    <row r="486" spans="22:26" x14ac:dyDescent="0.3">
      <c r="V486">
        <v>0.83</v>
      </c>
      <c r="W486">
        <f t="shared" si="28"/>
        <v>0.28269448205458025</v>
      </c>
      <c r="X486" t="e">
        <f t="shared" si="29"/>
        <v>#N/A</v>
      </c>
      <c r="Y486">
        <f t="shared" si="30"/>
        <v>0.28269448205458025</v>
      </c>
      <c r="Z486">
        <f t="shared" si="31"/>
        <v>0.28269448205458025</v>
      </c>
    </row>
    <row r="487" spans="22:26" x14ac:dyDescent="0.3">
      <c r="V487">
        <v>0.84</v>
      </c>
      <c r="W487">
        <f t="shared" si="28"/>
        <v>0.28034381083962062</v>
      </c>
      <c r="X487" t="e">
        <f t="shared" si="29"/>
        <v>#N/A</v>
      </c>
      <c r="Y487">
        <f t="shared" si="30"/>
        <v>0.28034381083962062</v>
      </c>
      <c r="Z487">
        <f t="shared" si="31"/>
        <v>0.28034381083962062</v>
      </c>
    </row>
    <row r="488" spans="22:26" x14ac:dyDescent="0.3">
      <c r="V488">
        <v>0.85</v>
      </c>
      <c r="W488">
        <f t="shared" si="28"/>
        <v>0.27798488613099648</v>
      </c>
      <c r="X488" t="e">
        <f t="shared" si="29"/>
        <v>#N/A</v>
      </c>
      <c r="Y488">
        <f t="shared" si="30"/>
        <v>0.27798488613099648</v>
      </c>
      <c r="Z488">
        <f t="shared" si="31"/>
        <v>0.27798488613099648</v>
      </c>
    </row>
    <row r="489" spans="22:26" x14ac:dyDescent="0.3">
      <c r="V489">
        <v>0.86</v>
      </c>
      <c r="W489">
        <f t="shared" si="28"/>
        <v>0.27561824715345667</v>
      </c>
      <c r="X489" t="e">
        <f t="shared" si="29"/>
        <v>#N/A</v>
      </c>
      <c r="Y489">
        <f t="shared" si="30"/>
        <v>0.27561824715345667</v>
      </c>
      <c r="Z489">
        <f t="shared" si="31"/>
        <v>0.27561824715345667</v>
      </c>
    </row>
    <row r="490" spans="22:26" x14ac:dyDescent="0.3">
      <c r="V490">
        <v>0.87</v>
      </c>
      <c r="W490">
        <f t="shared" si="28"/>
        <v>0.27324443087221623</v>
      </c>
      <c r="X490" t="e">
        <f t="shared" si="29"/>
        <v>#N/A</v>
      </c>
      <c r="Y490">
        <f t="shared" si="30"/>
        <v>0.27324443087221623</v>
      </c>
      <c r="Z490">
        <f t="shared" si="31"/>
        <v>0.27324443087221623</v>
      </c>
    </row>
    <row r="491" spans="22:26" x14ac:dyDescent="0.3">
      <c r="V491">
        <v>0.88</v>
      </c>
      <c r="W491">
        <f t="shared" si="28"/>
        <v>0.27086397179833799</v>
      </c>
      <c r="X491" t="e">
        <f t="shared" si="29"/>
        <v>#N/A</v>
      </c>
      <c r="Y491">
        <f t="shared" si="30"/>
        <v>0.27086397179833799</v>
      </c>
      <c r="Z491">
        <f t="shared" si="31"/>
        <v>0.27086397179833799</v>
      </c>
    </row>
    <row r="492" spans="22:26" x14ac:dyDescent="0.3">
      <c r="V492">
        <v>0.89</v>
      </c>
      <c r="W492">
        <f t="shared" si="28"/>
        <v>0.26847740179700241</v>
      </c>
      <c r="X492" t="e">
        <f t="shared" si="29"/>
        <v>#N/A</v>
      </c>
      <c r="Y492">
        <f t="shared" si="30"/>
        <v>0.26847740179700241</v>
      </c>
      <c r="Z492">
        <f t="shared" si="31"/>
        <v>0.26847740179700241</v>
      </c>
    </row>
    <row r="493" spans="22:26" x14ac:dyDescent="0.3">
      <c r="V493">
        <v>0.9</v>
      </c>
      <c r="W493">
        <f t="shared" si="28"/>
        <v>0.26608524989875482</v>
      </c>
      <c r="X493" t="e">
        <f t="shared" si="29"/>
        <v>#N/A</v>
      </c>
      <c r="Y493">
        <f t="shared" si="30"/>
        <v>0.26608524989875482</v>
      </c>
      <c r="Z493">
        <f t="shared" si="31"/>
        <v>0.26608524989875482</v>
      </c>
    </row>
    <row r="494" spans="22:26" x14ac:dyDescent="0.3">
      <c r="V494">
        <v>0.91</v>
      </c>
      <c r="W494">
        <f t="shared" si="28"/>
        <v>0.26368804211381813</v>
      </c>
      <c r="X494" t="e">
        <f t="shared" si="29"/>
        <v>#N/A</v>
      </c>
      <c r="Y494">
        <f t="shared" si="30"/>
        <v>0.26368804211381813</v>
      </c>
      <c r="Z494">
        <f t="shared" si="31"/>
        <v>0.26368804211381813</v>
      </c>
    </row>
    <row r="495" spans="22:26" x14ac:dyDescent="0.3">
      <c r="V495">
        <v>0.92</v>
      </c>
      <c r="W495">
        <f t="shared" si="28"/>
        <v>0.26128630124955315</v>
      </c>
      <c r="X495" t="e">
        <f t="shared" si="29"/>
        <v>#N/A</v>
      </c>
      <c r="Y495">
        <f t="shared" si="30"/>
        <v>0.26128630124955315</v>
      </c>
      <c r="Z495">
        <f t="shared" si="31"/>
        <v>0.26128630124955315</v>
      </c>
    </row>
    <row r="496" spans="22:26" x14ac:dyDescent="0.3">
      <c r="V496">
        <v>0.93</v>
      </c>
      <c r="W496">
        <f t="shared" si="28"/>
        <v>0.2588805467311488</v>
      </c>
      <c r="X496" t="e">
        <f t="shared" si="29"/>
        <v>#N/A</v>
      </c>
      <c r="Y496">
        <f t="shared" si="30"/>
        <v>0.2588805467311488</v>
      </c>
      <c r="Z496">
        <f t="shared" si="31"/>
        <v>0.2588805467311488</v>
      </c>
    </row>
    <row r="497" spans="22:26" x14ac:dyDescent="0.3">
      <c r="V497">
        <v>0.94</v>
      </c>
      <c r="W497">
        <f t="shared" si="28"/>
        <v>0.25647129442562033</v>
      </c>
      <c r="X497" t="e">
        <f t="shared" si="29"/>
        <v>#N/A</v>
      </c>
      <c r="Y497">
        <f t="shared" si="30"/>
        <v>0.25647129442562033</v>
      </c>
      <c r="Z497">
        <f t="shared" si="31"/>
        <v>0.25647129442562033</v>
      </c>
    </row>
    <row r="498" spans="22:26" x14ac:dyDescent="0.3">
      <c r="V498">
        <v>0.95</v>
      </c>
      <c r="W498">
        <f t="shared" si="28"/>
        <v>0.25405905646918903</v>
      </c>
      <c r="X498" t="e">
        <f t="shared" si="29"/>
        <v>#N/A</v>
      </c>
      <c r="Y498">
        <f t="shared" si="30"/>
        <v>0.25405905646918903</v>
      </c>
      <c r="Z498">
        <f t="shared" si="31"/>
        <v>0.25405905646918903</v>
      </c>
    </row>
    <row r="499" spans="22:26" x14ac:dyDescent="0.3">
      <c r="V499">
        <v>0.96</v>
      </c>
      <c r="W499">
        <f t="shared" si="28"/>
        <v>0.25164434109811712</v>
      </c>
      <c r="X499" t="e">
        <f t="shared" si="29"/>
        <v>#N/A</v>
      </c>
      <c r="Y499">
        <f t="shared" si="30"/>
        <v>0.25164434109811712</v>
      </c>
      <c r="Z499">
        <f t="shared" si="31"/>
        <v>0.25164434109811712</v>
      </c>
    </row>
    <row r="500" spans="22:26" x14ac:dyDescent="0.3">
      <c r="V500">
        <v>0.97</v>
      </c>
      <c r="W500">
        <f t="shared" si="28"/>
        <v>0.24922765248306594</v>
      </c>
      <c r="X500" t="e">
        <f t="shared" si="29"/>
        <v>#N/A</v>
      </c>
      <c r="Y500">
        <f t="shared" si="30"/>
        <v>0.24922765248306594</v>
      </c>
      <c r="Z500">
        <f t="shared" si="31"/>
        <v>0.24922765248306594</v>
      </c>
    </row>
    <row r="501" spans="22:26" x14ac:dyDescent="0.3">
      <c r="V501">
        <v>0.98</v>
      </c>
      <c r="W501">
        <f t="shared" si="28"/>
        <v>0.24680949056704274</v>
      </c>
      <c r="X501" t="e">
        <f t="shared" si="29"/>
        <v>#N/A</v>
      </c>
      <c r="Y501">
        <f t="shared" si="30"/>
        <v>0.24680949056704274</v>
      </c>
      <c r="Z501">
        <f t="shared" si="31"/>
        <v>0.24680949056704274</v>
      </c>
    </row>
    <row r="502" spans="22:26" x14ac:dyDescent="0.3">
      <c r="V502">
        <v>0.99</v>
      </c>
      <c r="W502">
        <f t="shared" si="28"/>
        <v>0.24439035090699956</v>
      </c>
      <c r="X502" t="e">
        <f t="shared" si="29"/>
        <v>#N/A</v>
      </c>
      <c r="Y502">
        <f t="shared" si="30"/>
        <v>0.24439035090699956</v>
      </c>
      <c r="Z502">
        <f t="shared" si="31"/>
        <v>0.24439035090699956</v>
      </c>
    </row>
    <row r="503" spans="22:26" x14ac:dyDescent="0.3">
      <c r="V503">
        <v>1</v>
      </c>
      <c r="W503">
        <f t="shared" si="28"/>
        <v>0.24197072451914337</v>
      </c>
      <c r="X503" t="e">
        <f t="shared" si="29"/>
        <v>#N/A</v>
      </c>
      <c r="Y503">
        <f t="shared" si="30"/>
        <v>0.24197072451914337</v>
      </c>
      <c r="Z503">
        <f t="shared" si="31"/>
        <v>0.24197072451914337</v>
      </c>
    </row>
    <row r="504" spans="22:26" x14ac:dyDescent="0.3">
      <c r="V504">
        <v>1.01</v>
      </c>
      <c r="W504">
        <f t="shared" si="28"/>
        <v>0.23955109772801336</v>
      </c>
      <c r="X504" t="e">
        <f t="shared" si="29"/>
        <v>#N/A</v>
      </c>
      <c r="Y504">
        <f t="shared" si="30"/>
        <v>0.23955109772801336</v>
      </c>
      <c r="Z504">
        <f t="shared" si="31"/>
        <v>0.23955109772801336</v>
      </c>
    </row>
    <row r="505" spans="22:26" x14ac:dyDescent="0.3">
      <c r="V505">
        <v>1.02</v>
      </c>
      <c r="W505">
        <f t="shared" si="28"/>
        <v>0.23713195201937959</v>
      </c>
      <c r="X505" t="e">
        <f t="shared" si="29"/>
        <v>#N/A</v>
      </c>
      <c r="Y505">
        <f t="shared" si="30"/>
        <v>0.23713195201937959</v>
      </c>
      <c r="Z505">
        <f t="shared" si="31"/>
        <v>0.23713195201937959</v>
      </c>
    </row>
    <row r="506" spans="22:26" x14ac:dyDescent="0.3">
      <c r="V506">
        <v>1.03</v>
      </c>
      <c r="W506">
        <f t="shared" si="28"/>
        <v>0.23471376389701182</v>
      </c>
      <c r="X506" t="e">
        <f t="shared" si="29"/>
        <v>#N/A</v>
      </c>
      <c r="Y506">
        <f t="shared" si="30"/>
        <v>0.23471376389701182</v>
      </c>
      <c r="Z506">
        <f t="shared" si="31"/>
        <v>0.23471376389701182</v>
      </c>
    </row>
    <row r="507" spans="22:26" x14ac:dyDescent="0.3">
      <c r="V507">
        <v>1.04</v>
      </c>
      <c r="W507">
        <f t="shared" si="28"/>
        <v>0.2322970047433662</v>
      </c>
      <c r="X507" t="e">
        <f t="shared" si="29"/>
        <v>#N/A</v>
      </c>
      <c r="Y507">
        <f t="shared" si="30"/>
        <v>0.2322970047433662</v>
      </c>
      <c r="Z507">
        <f t="shared" si="31"/>
        <v>0.2322970047433662</v>
      </c>
    </row>
    <row r="508" spans="22:26" x14ac:dyDescent="0.3">
      <c r="V508">
        <v>1.05</v>
      </c>
      <c r="W508">
        <f t="shared" si="28"/>
        <v>0.22988214068423302</v>
      </c>
      <c r="X508" t="e">
        <f t="shared" si="29"/>
        <v>#N/A</v>
      </c>
      <c r="Y508">
        <f t="shared" si="30"/>
        <v>0.22988214068423302</v>
      </c>
      <c r="Z508">
        <f t="shared" si="31"/>
        <v>0.22988214068423302</v>
      </c>
    </row>
    <row r="509" spans="22:26" x14ac:dyDescent="0.3">
      <c r="V509">
        <v>1.06</v>
      </c>
      <c r="W509">
        <f t="shared" si="28"/>
        <v>0.22746963245738591</v>
      </c>
      <c r="X509" t="e">
        <f t="shared" si="29"/>
        <v>#N/A</v>
      </c>
      <c r="Y509">
        <f t="shared" si="30"/>
        <v>0.22746963245738591</v>
      </c>
      <c r="Z509">
        <f t="shared" si="31"/>
        <v>0.22746963245738591</v>
      </c>
    </row>
    <row r="510" spans="22:26" x14ac:dyDescent="0.3">
      <c r="V510">
        <v>1.07</v>
      </c>
      <c r="W510">
        <f t="shared" si="28"/>
        <v>0.22505993528526966</v>
      </c>
      <c r="X510" t="e">
        <f t="shared" si="29"/>
        <v>#N/A</v>
      </c>
      <c r="Y510">
        <f t="shared" si="30"/>
        <v>0.22505993528526966</v>
      </c>
      <c r="Z510">
        <f t="shared" si="31"/>
        <v>0.22505993528526966</v>
      </c>
    </row>
    <row r="511" spans="22:26" x14ac:dyDescent="0.3">
      <c r="V511">
        <v>1.08</v>
      </c>
      <c r="W511">
        <f t="shared" si="28"/>
        <v>0.22265349875176113</v>
      </c>
      <c r="X511" t="e">
        <f t="shared" si="29"/>
        <v>#N/A</v>
      </c>
      <c r="Y511">
        <f t="shared" si="30"/>
        <v>0.22265349875176113</v>
      </c>
      <c r="Z511">
        <f t="shared" si="31"/>
        <v>0.22265349875176113</v>
      </c>
    </row>
    <row r="512" spans="22:26" x14ac:dyDescent="0.3">
      <c r="V512">
        <v>1.0900000000000001</v>
      </c>
      <c r="W512">
        <f t="shared" si="28"/>
        <v>0.22025076668303326</v>
      </c>
      <c r="X512" t="e">
        <f t="shared" si="29"/>
        <v>#N/A</v>
      </c>
      <c r="Y512">
        <f t="shared" si="30"/>
        <v>0.22025076668303326</v>
      </c>
      <c r="Z512">
        <f t="shared" si="31"/>
        <v>0.22025076668303326</v>
      </c>
    </row>
    <row r="513" spans="22:26" x14ac:dyDescent="0.3">
      <c r="V513">
        <v>1.1000000000000001</v>
      </c>
      <c r="W513">
        <f t="shared" si="28"/>
        <v>0.21785217703255053</v>
      </c>
      <c r="X513" t="e">
        <f t="shared" si="29"/>
        <v>#N/A</v>
      </c>
      <c r="Y513">
        <f t="shared" si="30"/>
        <v>0.21785217703255053</v>
      </c>
      <c r="Z513">
        <f t="shared" si="31"/>
        <v>0.21785217703255053</v>
      </c>
    </row>
    <row r="514" spans="22:26" x14ac:dyDescent="0.3">
      <c r="V514">
        <v>1.1100000000000001</v>
      </c>
      <c r="W514">
        <f t="shared" si="28"/>
        <v>0.21545816177021967</v>
      </c>
      <c r="X514" t="e">
        <f t="shared" si="29"/>
        <v>#N/A</v>
      </c>
      <c r="Y514">
        <f t="shared" si="30"/>
        <v>0.21545816177021967</v>
      </c>
      <c r="Z514">
        <f t="shared" si="31"/>
        <v>0.21545816177021967</v>
      </c>
    </row>
    <row r="515" spans="22:26" x14ac:dyDescent="0.3">
      <c r="V515">
        <v>1.1200000000000001</v>
      </c>
      <c r="W515">
        <f t="shared" si="28"/>
        <v>0.21306914677571784</v>
      </c>
      <c r="X515" t="e">
        <f t="shared" si="29"/>
        <v>#N/A</v>
      </c>
      <c r="Y515">
        <f t="shared" si="30"/>
        <v>0.21306914677571784</v>
      </c>
      <c r="Z515">
        <f t="shared" si="31"/>
        <v>0.21306914677571784</v>
      </c>
    </row>
    <row r="516" spans="22:26" x14ac:dyDescent="0.3">
      <c r="V516">
        <v>1.1299999999999999</v>
      </c>
      <c r="W516">
        <f t="shared" ref="W516:W579" si="32">_xlfn.NORM.S.DIST(V516,0)</f>
        <v>0.21068555173601533</v>
      </c>
      <c r="X516" t="e">
        <f t="shared" ref="X516:X579" si="33">IF(V516=$A$2,W516,NA())</f>
        <v>#N/A</v>
      </c>
      <c r="Y516">
        <f t="shared" ref="Y516:Y579" si="34">IF(V516&lt;=$A$2,W516,NA())</f>
        <v>0.21068555173601533</v>
      </c>
      <c r="Z516">
        <f t="shared" ref="Z516:Z579" si="35">IF(ABS(V516)&lt;=$A$2,W516,NA())</f>
        <v>0.21068555173601533</v>
      </c>
    </row>
    <row r="517" spans="22:26" x14ac:dyDescent="0.3">
      <c r="V517">
        <v>1.1399999999999999</v>
      </c>
      <c r="W517">
        <f t="shared" si="32"/>
        <v>0.20830779004710837</v>
      </c>
      <c r="X517" t="e">
        <f t="shared" si="33"/>
        <v>#N/A</v>
      </c>
      <c r="Y517">
        <f t="shared" si="34"/>
        <v>0.20830779004710837</v>
      </c>
      <c r="Z517">
        <f t="shared" si="35"/>
        <v>0.20830779004710837</v>
      </c>
    </row>
    <row r="518" spans="22:26" x14ac:dyDescent="0.3">
      <c r="V518">
        <v>1.1499999999999999</v>
      </c>
      <c r="W518">
        <f t="shared" si="32"/>
        <v>0.20593626871997478</v>
      </c>
      <c r="X518" t="e">
        <f t="shared" si="33"/>
        <v>#N/A</v>
      </c>
      <c r="Y518">
        <f t="shared" si="34"/>
        <v>0.20593626871997478</v>
      </c>
      <c r="Z518">
        <f t="shared" si="35"/>
        <v>0.20593626871997478</v>
      </c>
    </row>
    <row r="519" spans="22:26" x14ac:dyDescent="0.3">
      <c r="V519">
        <v>1.1599999999999999</v>
      </c>
      <c r="W519">
        <f t="shared" si="32"/>
        <v>0.20357138829075944</v>
      </c>
      <c r="X519" t="e">
        <f t="shared" si="33"/>
        <v>#N/A</v>
      </c>
      <c r="Y519">
        <f t="shared" si="34"/>
        <v>0.20357138829075944</v>
      </c>
      <c r="Z519">
        <f t="shared" si="35"/>
        <v>0.20357138829075944</v>
      </c>
    </row>
    <row r="520" spans="22:26" x14ac:dyDescent="0.3">
      <c r="V520">
        <v>1.17</v>
      </c>
      <c r="W520">
        <f t="shared" si="32"/>
        <v>0.2012135427351974</v>
      </c>
      <c r="X520" t="e">
        <f t="shared" si="33"/>
        <v>#N/A</v>
      </c>
      <c r="Y520">
        <f t="shared" si="34"/>
        <v>0.2012135427351974</v>
      </c>
      <c r="Z520">
        <f t="shared" si="35"/>
        <v>0.2012135427351974</v>
      </c>
    </row>
    <row r="521" spans="22:26" x14ac:dyDescent="0.3">
      <c r="V521">
        <v>1.18</v>
      </c>
      <c r="W521">
        <f t="shared" si="32"/>
        <v>0.19886311938727591</v>
      </c>
      <c r="X521" t="e">
        <f t="shared" si="33"/>
        <v>#N/A</v>
      </c>
      <c r="Y521">
        <f t="shared" si="34"/>
        <v>0.19886311938727591</v>
      </c>
      <c r="Z521">
        <f t="shared" si="35"/>
        <v>0.19886311938727591</v>
      </c>
    </row>
    <row r="522" spans="22:26" x14ac:dyDescent="0.3">
      <c r="V522">
        <v>1.19</v>
      </c>
      <c r="W522">
        <f t="shared" si="32"/>
        <v>0.19652049886213654</v>
      </c>
      <c r="X522" t="e">
        <f t="shared" si="33"/>
        <v>#N/A</v>
      </c>
      <c r="Y522">
        <f t="shared" si="34"/>
        <v>0.19652049886213654</v>
      </c>
      <c r="Z522">
        <f t="shared" si="35"/>
        <v>0.19652049886213654</v>
      </c>
    </row>
    <row r="523" spans="22:26" x14ac:dyDescent="0.3">
      <c r="V523">
        <v>1.2</v>
      </c>
      <c r="W523">
        <f t="shared" si="32"/>
        <v>0.19418605498321295</v>
      </c>
      <c r="X523" t="e">
        <f t="shared" si="33"/>
        <v>#N/A</v>
      </c>
      <c r="Y523">
        <f t="shared" si="34"/>
        <v>0.19418605498321295</v>
      </c>
      <c r="Z523">
        <f t="shared" si="35"/>
        <v>0.19418605498321295</v>
      </c>
    </row>
    <row r="524" spans="22:26" x14ac:dyDescent="0.3">
      <c r="V524">
        <v>1.21</v>
      </c>
      <c r="W524">
        <f t="shared" si="32"/>
        <v>0.19186015471359938</v>
      </c>
      <c r="X524" t="e">
        <f t="shared" si="33"/>
        <v>#N/A</v>
      </c>
      <c r="Y524">
        <f t="shared" si="34"/>
        <v>0.19186015471359938</v>
      </c>
      <c r="Z524">
        <f t="shared" si="35"/>
        <v>0.19186015471359938</v>
      </c>
    </row>
    <row r="525" spans="22:26" x14ac:dyDescent="0.3">
      <c r="V525">
        <v>1.22</v>
      </c>
      <c r="W525">
        <f t="shared" si="32"/>
        <v>0.18954315809164024</v>
      </c>
      <c r="X525" t="e">
        <f t="shared" si="33"/>
        <v>#N/A</v>
      </c>
      <c r="Y525">
        <f t="shared" si="34"/>
        <v>0.18954315809164024</v>
      </c>
      <c r="Z525">
        <f t="shared" si="35"/>
        <v>0.18954315809164024</v>
      </c>
    </row>
    <row r="526" spans="22:26" x14ac:dyDescent="0.3">
      <c r="V526">
        <v>1.23</v>
      </c>
      <c r="W526">
        <f t="shared" si="32"/>
        <v>0.18723541817072956</v>
      </c>
      <c r="X526" t="e">
        <f t="shared" si="33"/>
        <v>#N/A</v>
      </c>
      <c r="Y526">
        <f t="shared" si="34"/>
        <v>0.18723541817072956</v>
      </c>
      <c r="Z526">
        <f t="shared" si="35"/>
        <v>0.18723541817072956</v>
      </c>
    </row>
    <row r="527" spans="22:26" x14ac:dyDescent="0.3">
      <c r="V527">
        <v>1.24</v>
      </c>
      <c r="W527">
        <f t="shared" si="32"/>
        <v>0.18493728096330531</v>
      </c>
      <c r="X527" t="e">
        <f t="shared" si="33"/>
        <v>#N/A</v>
      </c>
      <c r="Y527">
        <f t="shared" si="34"/>
        <v>0.18493728096330531</v>
      </c>
      <c r="Z527">
        <f t="shared" si="35"/>
        <v>0.18493728096330531</v>
      </c>
    </row>
    <row r="528" spans="22:26" x14ac:dyDescent="0.3">
      <c r="V528">
        <v>1.25</v>
      </c>
      <c r="W528">
        <f t="shared" si="32"/>
        <v>0.18264908538902191</v>
      </c>
      <c r="X528" t="e">
        <f t="shared" si="33"/>
        <v>#N/A</v>
      </c>
      <c r="Y528">
        <f t="shared" si="34"/>
        <v>0.18264908538902191</v>
      </c>
      <c r="Z528">
        <f t="shared" si="35"/>
        <v>0.18264908538902191</v>
      </c>
    </row>
    <row r="529" spans="22:26" x14ac:dyDescent="0.3">
      <c r="V529">
        <v>1.26</v>
      </c>
      <c r="W529">
        <f t="shared" si="32"/>
        <v>0.18037116322708033</v>
      </c>
      <c r="X529" t="e">
        <f t="shared" si="33"/>
        <v>#N/A</v>
      </c>
      <c r="Y529">
        <f t="shared" si="34"/>
        <v>0.18037116322708033</v>
      </c>
      <c r="Z529">
        <f t="shared" si="35"/>
        <v>0.18037116322708033</v>
      </c>
    </row>
    <row r="530" spans="22:26" x14ac:dyDescent="0.3">
      <c r="V530">
        <v>1.27</v>
      </c>
      <c r="W530">
        <f t="shared" si="32"/>
        <v>0.17810383907269359</v>
      </c>
      <c r="X530" t="e">
        <f t="shared" si="33"/>
        <v>#N/A</v>
      </c>
      <c r="Y530">
        <f t="shared" si="34"/>
        <v>0.17810383907269359</v>
      </c>
      <c r="Z530">
        <f t="shared" si="35"/>
        <v>0.17810383907269359</v>
      </c>
    </row>
    <row r="531" spans="22:26" x14ac:dyDescent="0.3">
      <c r="V531">
        <v>1.28</v>
      </c>
      <c r="W531">
        <f t="shared" si="32"/>
        <v>0.17584743029766237</v>
      </c>
      <c r="X531" t="e">
        <f t="shared" si="33"/>
        <v>#N/A</v>
      </c>
      <c r="Y531">
        <f t="shared" si="34"/>
        <v>0.17584743029766237</v>
      </c>
      <c r="Z531">
        <f t="shared" si="35"/>
        <v>0.17584743029766237</v>
      </c>
    </row>
    <row r="532" spans="22:26" x14ac:dyDescent="0.3">
      <c r="V532">
        <v>1.29</v>
      </c>
      <c r="W532">
        <f t="shared" si="32"/>
        <v>0.17360224701503299</v>
      </c>
      <c r="X532" t="e">
        <f t="shared" si="33"/>
        <v>#N/A</v>
      </c>
      <c r="Y532">
        <f t="shared" si="34"/>
        <v>0.17360224701503299</v>
      </c>
      <c r="Z532">
        <f t="shared" si="35"/>
        <v>0.17360224701503299</v>
      </c>
    </row>
    <row r="533" spans="22:26" x14ac:dyDescent="0.3">
      <c r="V533">
        <v>1.3</v>
      </c>
      <c r="W533">
        <f t="shared" si="32"/>
        <v>0.17136859204780736</v>
      </c>
      <c r="X533" t="e">
        <f t="shared" si="33"/>
        <v>#N/A</v>
      </c>
      <c r="Y533">
        <f t="shared" si="34"/>
        <v>0.17136859204780736</v>
      </c>
      <c r="Z533">
        <f t="shared" si="35"/>
        <v>0.17136859204780736</v>
      </c>
    </row>
    <row r="534" spans="22:26" x14ac:dyDescent="0.3">
      <c r="V534">
        <v>1.31</v>
      </c>
      <c r="W534">
        <f t="shared" si="32"/>
        <v>0.16914676090167238</v>
      </c>
      <c r="X534" t="e">
        <f t="shared" si="33"/>
        <v>#N/A</v>
      </c>
      <c r="Y534">
        <f t="shared" si="34"/>
        <v>0.16914676090167238</v>
      </c>
      <c r="Z534">
        <f t="shared" si="35"/>
        <v>0.16914676090167238</v>
      </c>
    </row>
    <row r="535" spans="22:26" x14ac:dyDescent="0.3">
      <c r="V535">
        <v>1.32</v>
      </c>
      <c r="W535">
        <f t="shared" si="32"/>
        <v>0.16693704174171381</v>
      </c>
      <c r="X535" t="e">
        <f t="shared" si="33"/>
        <v>#N/A</v>
      </c>
      <c r="Y535">
        <f t="shared" si="34"/>
        <v>0.16693704174171381</v>
      </c>
      <c r="Z535">
        <f t="shared" si="35"/>
        <v>0.16693704174171381</v>
      </c>
    </row>
    <row r="536" spans="22:26" x14ac:dyDescent="0.3">
      <c r="V536">
        <v>1.33</v>
      </c>
      <c r="W536">
        <f t="shared" si="32"/>
        <v>0.1647397153730768</v>
      </c>
      <c r="X536" t="e">
        <f t="shared" si="33"/>
        <v>#N/A</v>
      </c>
      <c r="Y536">
        <f t="shared" si="34"/>
        <v>0.1647397153730768</v>
      </c>
      <c r="Z536">
        <f t="shared" si="35"/>
        <v>0.1647397153730768</v>
      </c>
    </row>
    <row r="537" spans="22:26" x14ac:dyDescent="0.3">
      <c r="V537">
        <v>1.34</v>
      </c>
      <c r="W537">
        <f t="shared" si="32"/>
        <v>0.16255505522553412</v>
      </c>
      <c r="X537" t="e">
        <f t="shared" si="33"/>
        <v>#N/A</v>
      </c>
      <c r="Y537">
        <f t="shared" si="34"/>
        <v>0.16255505522553412</v>
      </c>
      <c r="Z537">
        <f t="shared" si="35"/>
        <v>0.16255505522553412</v>
      </c>
    </row>
    <row r="538" spans="22:26" x14ac:dyDescent="0.3">
      <c r="V538">
        <v>1.35</v>
      </c>
      <c r="W538">
        <f t="shared" si="32"/>
        <v>0.1603833273419196</v>
      </c>
      <c r="X538" t="e">
        <f t="shared" si="33"/>
        <v>#N/A</v>
      </c>
      <c r="Y538">
        <f t="shared" si="34"/>
        <v>0.1603833273419196</v>
      </c>
      <c r="Z538">
        <f t="shared" si="35"/>
        <v>0.1603833273419196</v>
      </c>
    </row>
    <row r="539" spans="22:26" x14ac:dyDescent="0.3">
      <c r="V539">
        <v>1.36</v>
      </c>
      <c r="W539">
        <f t="shared" si="32"/>
        <v>0.15822479037038303</v>
      </c>
      <c r="X539" t="e">
        <f t="shared" si="33"/>
        <v>#N/A</v>
      </c>
      <c r="Y539">
        <f t="shared" si="34"/>
        <v>0.15822479037038303</v>
      </c>
      <c r="Z539">
        <f t="shared" si="35"/>
        <v>0.15822479037038303</v>
      </c>
    </row>
    <row r="540" spans="22:26" x14ac:dyDescent="0.3">
      <c r="V540">
        <v>1.37</v>
      </c>
      <c r="W540">
        <f t="shared" si="32"/>
        <v>0.15607969556042084</v>
      </c>
      <c r="X540" t="e">
        <f t="shared" si="33"/>
        <v>#N/A</v>
      </c>
      <c r="Y540">
        <f t="shared" si="34"/>
        <v>0.15607969556042084</v>
      </c>
      <c r="Z540">
        <f t="shared" si="35"/>
        <v>0.15607969556042084</v>
      </c>
    </row>
    <row r="541" spans="22:26" x14ac:dyDescent="0.3">
      <c r="V541">
        <v>1.38</v>
      </c>
      <c r="W541">
        <f t="shared" si="32"/>
        <v>0.15394828676263372</v>
      </c>
      <c r="X541" t="e">
        <f t="shared" si="33"/>
        <v>#N/A</v>
      </c>
      <c r="Y541">
        <f t="shared" si="34"/>
        <v>0.15394828676263372</v>
      </c>
      <c r="Z541">
        <f t="shared" si="35"/>
        <v>0.15394828676263372</v>
      </c>
    </row>
    <row r="542" spans="22:26" x14ac:dyDescent="0.3">
      <c r="V542">
        <v>1.39</v>
      </c>
      <c r="W542">
        <f t="shared" si="32"/>
        <v>0.15183080043216168</v>
      </c>
      <c r="X542" t="e">
        <f t="shared" si="33"/>
        <v>#N/A</v>
      </c>
      <c r="Y542">
        <f t="shared" si="34"/>
        <v>0.15183080043216168</v>
      </c>
      <c r="Z542">
        <f t="shared" si="35"/>
        <v>0.15183080043216168</v>
      </c>
    </row>
    <row r="543" spans="22:26" x14ac:dyDescent="0.3">
      <c r="V543">
        <v>1.4</v>
      </c>
      <c r="W543">
        <f t="shared" si="32"/>
        <v>0.14972746563574488</v>
      </c>
      <c r="X543" t="e">
        <f t="shared" si="33"/>
        <v>#N/A</v>
      </c>
      <c r="Y543">
        <f t="shared" si="34"/>
        <v>0.14972746563574488</v>
      </c>
      <c r="Z543">
        <f t="shared" si="35"/>
        <v>0.14972746563574488</v>
      </c>
    </row>
    <row r="544" spans="22:26" x14ac:dyDescent="0.3">
      <c r="V544">
        <v>1.41</v>
      </c>
      <c r="W544">
        <f t="shared" si="32"/>
        <v>0.14763850406235574</v>
      </c>
      <c r="X544" t="e">
        <f t="shared" si="33"/>
        <v>#N/A</v>
      </c>
      <c r="Y544">
        <f t="shared" si="34"/>
        <v>0.14763850406235574</v>
      </c>
      <c r="Z544">
        <f t="shared" si="35"/>
        <v>0.14763850406235574</v>
      </c>
    </row>
    <row r="545" spans="22:26" x14ac:dyDescent="0.3">
      <c r="V545">
        <v>1.42</v>
      </c>
      <c r="W545">
        <f t="shared" si="32"/>
        <v>0.14556413003734761</v>
      </c>
      <c r="X545" t="e">
        <f t="shared" si="33"/>
        <v>#N/A</v>
      </c>
      <c r="Y545">
        <f t="shared" si="34"/>
        <v>0.14556413003734761</v>
      </c>
      <c r="Z545">
        <f t="shared" si="35"/>
        <v>0.14556413003734761</v>
      </c>
    </row>
    <row r="546" spans="22:26" x14ac:dyDescent="0.3">
      <c r="V546">
        <v>1.43</v>
      </c>
      <c r="W546">
        <f t="shared" si="32"/>
        <v>0.14350455054006242</v>
      </c>
      <c r="X546" t="e">
        <f t="shared" si="33"/>
        <v>#N/A</v>
      </c>
      <c r="Y546">
        <f t="shared" si="34"/>
        <v>0.14350455054006242</v>
      </c>
      <c r="Z546">
        <f t="shared" si="35"/>
        <v>0.14350455054006242</v>
      </c>
    </row>
    <row r="547" spans="22:26" x14ac:dyDescent="0.3">
      <c r="V547">
        <v>1.44</v>
      </c>
      <c r="W547">
        <f t="shared" si="32"/>
        <v>0.14145996522483878</v>
      </c>
      <c r="X547" t="e">
        <f t="shared" si="33"/>
        <v>#N/A</v>
      </c>
      <c r="Y547">
        <f t="shared" si="34"/>
        <v>0.14145996522483878</v>
      </c>
      <c r="Z547">
        <f t="shared" si="35"/>
        <v>0.14145996522483878</v>
      </c>
    </row>
    <row r="548" spans="22:26" x14ac:dyDescent="0.3">
      <c r="V548">
        <v>1.45</v>
      </c>
      <c r="W548">
        <f t="shared" si="32"/>
        <v>0.13943056644536028</v>
      </c>
      <c r="X548" t="e">
        <f t="shared" si="33"/>
        <v>#N/A</v>
      </c>
      <c r="Y548">
        <f t="shared" si="34"/>
        <v>0.13943056644536028</v>
      </c>
      <c r="Z548">
        <f t="shared" si="35"/>
        <v>0.13943056644536028</v>
      </c>
    </row>
    <row r="549" spans="22:26" x14ac:dyDescent="0.3">
      <c r="V549">
        <v>1.46</v>
      </c>
      <c r="W549">
        <f t="shared" si="32"/>
        <v>0.13741653928228179</v>
      </c>
      <c r="X549" t="e">
        <f t="shared" si="33"/>
        <v>#N/A</v>
      </c>
      <c r="Y549">
        <f t="shared" si="34"/>
        <v>0.13741653928228179</v>
      </c>
      <c r="Z549">
        <f t="shared" si="35"/>
        <v>0.13741653928228179</v>
      </c>
    </row>
    <row r="550" spans="22:26" x14ac:dyDescent="0.3">
      <c r="V550">
        <v>1.47</v>
      </c>
      <c r="W550">
        <f t="shared" si="32"/>
        <v>0.1354180615740713</v>
      </c>
      <c r="X550" t="e">
        <f t="shared" si="33"/>
        <v>#N/A</v>
      </c>
      <c r="Y550">
        <f t="shared" si="34"/>
        <v>0.1354180615740713</v>
      </c>
      <c r="Z550">
        <f t="shared" si="35"/>
        <v>0.1354180615740713</v>
      </c>
    </row>
    <row r="551" spans="22:26" x14ac:dyDescent="0.3">
      <c r="V551">
        <v>1.48</v>
      </c>
      <c r="W551">
        <f t="shared" si="32"/>
        <v>0.13343530395100231</v>
      </c>
      <c r="X551" t="e">
        <f t="shared" si="33"/>
        <v>#N/A</v>
      </c>
      <c r="Y551">
        <f t="shared" si="34"/>
        <v>0.13343530395100231</v>
      </c>
      <c r="Z551">
        <f t="shared" si="35"/>
        <v>0.13343530395100231</v>
      </c>
    </row>
    <row r="552" spans="22:26" x14ac:dyDescent="0.3">
      <c r="V552">
        <v>1.49</v>
      </c>
      <c r="W552">
        <f t="shared" si="32"/>
        <v>0.13146842987223104</v>
      </c>
      <c r="X552" t="e">
        <f t="shared" si="33"/>
        <v>#N/A</v>
      </c>
      <c r="Y552">
        <f t="shared" si="34"/>
        <v>0.13146842987223104</v>
      </c>
      <c r="Z552">
        <f t="shared" si="35"/>
        <v>0.13146842987223104</v>
      </c>
    </row>
    <row r="553" spans="22:26" x14ac:dyDescent="0.3">
      <c r="V553">
        <v>1.5</v>
      </c>
      <c r="W553">
        <f t="shared" si="32"/>
        <v>0.12951759566589174</v>
      </c>
      <c r="X553" t="e">
        <f t="shared" si="33"/>
        <v>#N/A</v>
      </c>
      <c r="Y553">
        <f t="shared" si="34"/>
        <v>0.12951759566589174</v>
      </c>
      <c r="Z553">
        <f t="shared" si="35"/>
        <v>0.12951759566589174</v>
      </c>
    </row>
    <row r="554" spans="22:26" x14ac:dyDescent="0.3">
      <c r="V554">
        <v>1.51</v>
      </c>
      <c r="W554">
        <f t="shared" si="32"/>
        <v>0.12758295057214186</v>
      </c>
      <c r="X554" t="e">
        <f t="shared" si="33"/>
        <v>#N/A</v>
      </c>
      <c r="Y554">
        <f t="shared" si="34"/>
        <v>0.12758295057214186</v>
      </c>
      <c r="Z554">
        <f t="shared" si="35"/>
        <v>0.12758295057214186</v>
      </c>
    </row>
    <row r="555" spans="22:26" x14ac:dyDescent="0.3">
      <c r="V555">
        <v>1.52</v>
      </c>
      <c r="W555">
        <f t="shared" si="32"/>
        <v>0.12566463678908815</v>
      </c>
      <c r="X555" t="e">
        <f t="shared" si="33"/>
        <v>#N/A</v>
      </c>
      <c r="Y555">
        <f t="shared" si="34"/>
        <v>0.12566463678908815</v>
      </c>
      <c r="Z555">
        <f t="shared" si="35"/>
        <v>0.12566463678908815</v>
      </c>
    </row>
    <row r="556" spans="22:26" x14ac:dyDescent="0.3">
      <c r="V556">
        <v>1.53</v>
      </c>
      <c r="W556">
        <f t="shared" si="32"/>
        <v>0.12376278952152313</v>
      </c>
      <c r="X556" t="e">
        <f t="shared" si="33"/>
        <v>#N/A</v>
      </c>
      <c r="Y556">
        <f t="shared" si="34"/>
        <v>0.12376278952152313</v>
      </c>
      <c r="Z556">
        <f t="shared" si="35"/>
        <v>0.12376278952152313</v>
      </c>
    </row>
    <row r="557" spans="22:26" x14ac:dyDescent="0.3">
      <c r="V557">
        <v>1.54</v>
      </c>
      <c r="W557">
        <f t="shared" si="32"/>
        <v>0.12187753703240178</v>
      </c>
      <c r="X557" t="e">
        <f t="shared" si="33"/>
        <v>#N/A</v>
      </c>
      <c r="Y557">
        <f t="shared" si="34"/>
        <v>0.12187753703240178</v>
      </c>
      <c r="Z557">
        <f t="shared" si="35"/>
        <v>0.12187753703240178</v>
      </c>
    </row>
    <row r="558" spans="22:26" x14ac:dyDescent="0.3">
      <c r="V558">
        <v>1.55</v>
      </c>
      <c r="W558">
        <f t="shared" si="32"/>
        <v>0.12000900069698558</v>
      </c>
      <c r="X558" t="e">
        <f t="shared" si="33"/>
        <v>#N/A</v>
      </c>
      <c r="Y558">
        <f t="shared" si="34"/>
        <v>0.12000900069698558</v>
      </c>
      <c r="Z558">
        <f t="shared" si="35"/>
        <v>0.12000900069698558</v>
      </c>
    </row>
    <row r="559" spans="22:26" x14ac:dyDescent="0.3">
      <c r="V559">
        <v>1.56</v>
      </c>
      <c r="W559">
        <f t="shared" si="32"/>
        <v>0.11815729505958227</v>
      </c>
      <c r="X559" t="e">
        <f t="shared" si="33"/>
        <v>#N/A</v>
      </c>
      <c r="Y559">
        <f t="shared" si="34"/>
        <v>0.11815729505958227</v>
      </c>
      <c r="Z559">
        <f t="shared" si="35"/>
        <v>0.11815729505958227</v>
      </c>
    </row>
    <row r="560" spans="22:26" x14ac:dyDescent="0.3">
      <c r="V560">
        <v>1.57</v>
      </c>
      <c r="W560">
        <f t="shared" si="32"/>
        <v>0.11632252789280709</v>
      </c>
      <c r="X560" t="e">
        <f t="shared" si="33"/>
        <v>#N/A</v>
      </c>
      <c r="Y560">
        <f t="shared" si="34"/>
        <v>0.11632252789280709</v>
      </c>
      <c r="Z560">
        <f t="shared" si="35"/>
        <v>0.11632252789280709</v>
      </c>
    </row>
    <row r="561" spans="22:26" x14ac:dyDescent="0.3">
      <c r="V561">
        <v>1.58</v>
      </c>
      <c r="W561">
        <f t="shared" si="32"/>
        <v>0.11450480025929236</v>
      </c>
      <c r="X561" t="e">
        <f t="shared" si="33"/>
        <v>#N/A</v>
      </c>
      <c r="Y561">
        <f t="shared" si="34"/>
        <v>0.11450480025929236</v>
      </c>
      <c r="Z561">
        <f t="shared" si="35"/>
        <v>0.11450480025929236</v>
      </c>
    </row>
    <row r="562" spans="22:26" x14ac:dyDescent="0.3">
      <c r="V562">
        <v>1.59</v>
      </c>
      <c r="W562">
        <f t="shared" si="32"/>
        <v>0.11270420657577056</v>
      </c>
      <c r="X562" t="e">
        <f t="shared" si="33"/>
        <v>#N/A</v>
      </c>
      <c r="Y562">
        <f t="shared" si="34"/>
        <v>0.11270420657577056</v>
      </c>
      <c r="Z562">
        <f t="shared" si="35"/>
        <v>0.11270420657577056</v>
      </c>
    </row>
    <row r="563" spans="22:26" x14ac:dyDescent="0.3">
      <c r="V563">
        <v>1.6</v>
      </c>
      <c r="W563">
        <f t="shared" si="32"/>
        <v>0.11092083467945554</v>
      </c>
      <c r="X563" t="e">
        <f t="shared" si="33"/>
        <v>#N/A</v>
      </c>
      <c r="Y563">
        <f t="shared" si="34"/>
        <v>0.11092083467945554</v>
      </c>
      <c r="Z563">
        <f t="shared" si="35"/>
        <v>0.11092083467945554</v>
      </c>
    </row>
    <row r="564" spans="22:26" x14ac:dyDescent="0.3">
      <c r="V564">
        <v>1.61</v>
      </c>
      <c r="W564">
        <f t="shared" si="32"/>
        <v>0.10915476589664735</v>
      </c>
      <c r="X564" t="e">
        <f t="shared" si="33"/>
        <v>#N/A</v>
      </c>
      <c r="Y564">
        <f t="shared" si="34"/>
        <v>0.10915476589664735</v>
      </c>
      <c r="Z564">
        <f t="shared" si="35"/>
        <v>0.10915476589664735</v>
      </c>
    </row>
    <row r="565" spans="22:26" x14ac:dyDescent="0.3">
      <c r="V565">
        <v>1.62</v>
      </c>
      <c r="W565">
        <f t="shared" si="32"/>
        <v>0.1074060751134838</v>
      </c>
      <c r="X565" t="e">
        <f t="shared" si="33"/>
        <v>#N/A</v>
      </c>
      <c r="Y565">
        <f t="shared" si="34"/>
        <v>0.1074060751134838</v>
      </c>
      <c r="Z565">
        <f t="shared" si="35"/>
        <v>0.1074060751134838</v>
      </c>
    </row>
    <row r="566" spans="22:26" x14ac:dyDescent="0.3">
      <c r="V566">
        <v>1.63</v>
      </c>
      <c r="W566">
        <f t="shared" si="32"/>
        <v>0.10567483084876363</v>
      </c>
      <c r="X566" t="e">
        <f t="shared" si="33"/>
        <v>#N/A</v>
      </c>
      <c r="Y566">
        <f t="shared" si="34"/>
        <v>0.10567483084876363</v>
      </c>
      <c r="Z566">
        <f t="shared" si="35"/>
        <v>0.10567483084876363</v>
      </c>
    </row>
    <row r="567" spans="22:26" x14ac:dyDescent="0.3">
      <c r="V567">
        <v>1.64</v>
      </c>
      <c r="W567">
        <f t="shared" si="32"/>
        <v>0.10396109532876423</v>
      </c>
      <c r="X567" t="e">
        <f t="shared" si="33"/>
        <v>#N/A</v>
      </c>
      <c r="Y567">
        <f t="shared" si="34"/>
        <v>0.10396109532876423</v>
      </c>
      <c r="Z567">
        <f t="shared" si="35"/>
        <v>0.10396109532876423</v>
      </c>
    </row>
    <row r="568" spans="22:26" x14ac:dyDescent="0.3">
      <c r="V568">
        <v>1.65</v>
      </c>
      <c r="W568">
        <f t="shared" si="32"/>
        <v>0.10226492456397804</v>
      </c>
      <c r="X568" t="e">
        <f t="shared" si="33"/>
        <v>#N/A</v>
      </c>
      <c r="Y568">
        <f t="shared" si="34"/>
        <v>0.10226492456397804</v>
      </c>
      <c r="Z568">
        <f t="shared" si="35"/>
        <v>0.10226492456397804</v>
      </c>
    </row>
    <row r="569" spans="22:26" x14ac:dyDescent="0.3">
      <c r="V569">
        <v>1.66</v>
      </c>
      <c r="W569">
        <f t="shared" si="32"/>
        <v>0.10058636842769057</v>
      </c>
      <c r="X569" t="e">
        <f t="shared" si="33"/>
        <v>#N/A</v>
      </c>
      <c r="Y569">
        <f t="shared" si="34"/>
        <v>0.10058636842769057</v>
      </c>
      <c r="Z569">
        <f t="shared" si="35"/>
        <v>0.10058636842769057</v>
      </c>
    </row>
    <row r="570" spans="22:26" x14ac:dyDescent="0.3">
      <c r="V570">
        <v>1.67</v>
      </c>
      <c r="W570">
        <f t="shared" si="32"/>
        <v>9.8925470736323712E-2</v>
      </c>
      <c r="X570" t="e">
        <f t="shared" si="33"/>
        <v>#N/A</v>
      </c>
      <c r="Y570">
        <f t="shared" si="34"/>
        <v>9.8925470736323712E-2</v>
      </c>
      <c r="Z570">
        <f t="shared" si="35"/>
        <v>9.8925470736323712E-2</v>
      </c>
    </row>
    <row r="571" spans="22:26" x14ac:dyDescent="0.3">
      <c r="V571">
        <v>1.68</v>
      </c>
      <c r="W571">
        <f t="shared" si="32"/>
        <v>9.7282269331467511E-2</v>
      </c>
      <c r="X571" t="e">
        <f t="shared" si="33"/>
        <v>#N/A</v>
      </c>
      <c r="Y571">
        <f t="shared" si="34"/>
        <v>9.7282269331467511E-2</v>
      </c>
      <c r="Z571">
        <f t="shared" si="35"/>
        <v>9.7282269331467511E-2</v>
      </c>
    </row>
    <row r="572" spans="22:26" x14ac:dyDescent="0.3">
      <c r="V572">
        <v>1.69</v>
      </c>
      <c r="W572">
        <f t="shared" si="32"/>
        <v>9.5656796163524016E-2</v>
      </c>
      <c r="X572" t="e">
        <f t="shared" si="33"/>
        <v>#N/A</v>
      </c>
      <c r="Y572">
        <f t="shared" si="34"/>
        <v>9.5656796163524016E-2</v>
      </c>
      <c r="Z572">
        <f t="shared" si="35"/>
        <v>9.5656796163524016E-2</v>
      </c>
    </row>
    <row r="573" spans="22:26" x14ac:dyDescent="0.3">
      <c r="V573">
        <v>1.7</v>
      </c>
      <c r="W573">
        <f t="shared" si="32"/>
        <v>9.4049077376886947E-2</v>
      </c>
      <c r="X573" t="e">
        <f t="shared" si="33"/>
        <v>#N/A</v>
      </c>
      <c r="Y573">
        <f t="shared" si="34"/>
        <v>9.4049077376886947E-2</v>
      </c>
      <c r="Z573">
        <f t="shared" si="35"/>
        <v>9.4049077376886947E-2</v>
      </c>
    </row>
    <row r="574" spans="22:26" x14ac:dyDescent="0.3">
      <c r="V574">
        <v>1.71</v>
      </c>
      <c r="W574">
        <f t="shared" si="32"/>
        <v>9.2459133396580684E-2</v>
      </c>
      <c r="X574" t="e">
        <f t="shared" si="33"/>
        <v>#N/A</v>
      </c>
      <c r="Y574">
        <f t="shared" si="34"/>
        <v>9.2459133396580684E-2</v>
      </c>
      <c r="Z574">
        <f t="shared" si="35"/>
        <v>9.2459133396580684E-2</v>
      </c>
    </row>
    <row r="575" spans="22:26" x14ac:dyDescent="0.3">
      <c r="V575">
        <v>1.72</v>
      </c>
      <c r="W575">
        <f t="shared" si="32"/>
        <v>9.0886979016282871E-2</v>
      </c>
      <c r="X575" t="e">
        <f t="shared" si="33"/>
        <v>#N/A</v>
      </c>
      <c r="Y575">
        <f t="shared" si="34"/>
        <v>9.0886979016282871E-2</v>
      </c>
      <c r="Z575">
        <f t="shared" si="35"/>
        <v>9.0886979016282871E-2</v>
      </c>
    </row>
    <row r="576" spans="22:26" x14ac:dyDescent="0.3">
      <c r="V576">
        <v>1.73</v>
      </c>
      <c r="W576">
        <f t="shared" si="32"/>
        <v>8.9332623487655E-2</v>
      </c>
      <c r="X576" t="e">
        <f t="shared" si="33"/>
        <v>#N/A</v>
      </c>
      <c r="Y576">
        <f t="shared" si="34"/>
        <v>8.9332623487655E-2</v>
      </c>
      <c r="Z576">
        <f t="shared" si="35"/>
        <v>8.9332623487655E-2</v>
      </c>
    </row>
    <row r="577" spans="22:26" x14ac:dyDescent="0.3">
      <c r="V577">
        <v>1.74</v>
      </c>
      <c r="W577">
        <f t="shared" si="32"/>
        <v>8.7796070610905622E-2</v>
      </c>
      <c r="X577" t="e">
        <f t="shared" si="33"/>
        <v>#N/A</v>
      </c>
      <c r="Y577">
        <f t="shared" si="34"/>
        <v>8.7796070610905622E-2</v>
      </c>
      <c r="Z577">
        <f t="shared" si="35"/>
        <v>8.7796070610905622E-2</v>
      </c>
    </row>
    <row r="578" spans="22:26" x14ac:dyDescent="0.3">
      <c r="V578">
        <v>1.75</v>
      </c>
      <c r="W578">
        <f t="shared" si="32"/>
        <v>8.6277318826511532E-2</v>
      </c>
      <c r="X578" t="e">
        <f t="shared" si="33"/>
        <v>#N/A</v>
      </c>
      <c r="Y578">
        <f t="shared" si="34"/>
        <v>8.6277318826511532E-2</v>
      </c>
      <c r="Z578">
        <f t="shared" si="35"/>
        <v>8.6277318826511532E-2</v>
      </c>
    </row>
    <row r="579" spans="22:26" x14ac:dyDescent="0.3">
      <c r="V579">
        <v>1.76</v>
      </c>
      <c r="W579">
        <f t="shared" si="32"/>
        <v>8.4776361308022227E-2</v>
      </c>
      <c r="X579" t="e">
        <f t="shared" si="33"/>
        <v>#N/A</v>
      </c>
      <c r="Y579">
        <f t="shared" si="34"/>
        <v>8.4776361308022227E-2</v>
      </c>
      <c r="Z579">
        <f t="shared" si="35"/>
        <v>8.4776361308022227E-2</v>
      </c>
    </row>
    <row r="580" spans="22:26" x14ac:dyDescent="0.3">
      <c r="V580">
        <v>1.77</v>
      </c>
      <c r="W580">
        <f t="shared" ref="W580:W643" si="36">_xlfn.NORM.S.DIST(V580,0)</f>
        <v>8.3293186055874463E-2</v>
      </c>
      <c r="X580" t="e">
        <f t="shared" ref="X580:X643" si="37">IF(V580=$A$2,W580,NA())</f>
        <v>#N/A</v>
      </c>
      <c r="Y580">
        <f t="shared" ref="Y580:Y643" si="38">IF(V580&lt;=$A$2,W580,NA())</f>
        <v>8.3293186055874463E-2</v>
      </c>
      <c r="Z580">
        <f t="shared" ref="Z580:Z643" si="39">IF(ABS(V580)&lt;=$A$2,W580,NA())</f>
        <v>8.3293186055874463E-2</v>
      </c>
    </row>
    <row r="581" spans="22:26" x14ac:dyDescent="0.3">
      <c r="V581">
        <v>1.78</v>
      </c>
      <c r="W581">
        <f t="shared" si="36"/>
        <v>8.1827775992142804E-2</v>
      </c>
      <c r="X581" t="e">
        <f t="shared" si="37"/>
        <v>#N/A</v>
      </c>
      <c r="Y581">
        <f t="shared" si="38"/>
        <v>8.1827775992142804E-2</v>
      </c>
      <c r="Z581">
        <f t="shared" si="39"/>
        <v>8.1827775992142804E-2</v>
      </c>
    </row>
    <row r="582" spans="22:26" x14ac:dyDescent="0.3">
      <c r="V582">
        <v>1.79</v>
      </c>
      <c r="W582">
        <f t="shared" si="36"/>
        <v>8.038010905615417E-2</v>
      </c>
      <c r="X582" t="e">
        <f t="shared" si="37"/>
        <v>#N/A</v>
      </c>
      <c r="Y582">
        <f t="shared" si="38"/>
        <v>8.038010905615417E-2</v>
      </c>
      <c r="Z582">
        <f t="shared" si="39"/>
        <v>8.038010905615417E-2</v>
      </c>
    </row>
    <row r="583" spans="22:26" x14ac:dyDescent="0.3">
      <c r="V583">
        <v>1.8</v>
      </c>
      <c r="W583">
        <f t="shared" si="36"/>
        <v>7.8950158300894149E-2</v>
      </c>
      <c r="X583" t="e">
        <f t="shared" si="37"/>
        <v>#N/A</v>
      </c>
      <c r="Y583">
        <f t="shared" si="38"/>
        <v>7.8950158300894149E-2</v>
      </c>
      <c r="Z583">
        <f t="shared" si="39"/>
        <v>7.8950158300894149E-2</v>
      </c>
    </row>
    <row r="584" spans="22:26" x14ac:dyDescent="0.3">
      <c r="V584">
        <v>1.81</v>
      </c>
      <c r="W584">
        <f t="shared" si="36"/>
        <v>7.7537891990133986E-2</v>
      </c>
      <c r="X584" t="e">
        <f t="shared" si="37"/>
        <v>#N/A</v>
      </c>
      <c r="Y584">
        <f t="shared" si="38"/>
        <v>7.7537891990133986E-2</v>
      </c>
      <c r="Z584">
        <f t="shared" si="39"/>
        <v>7.7537891990133986E-2</v>
      </c>
    </row>
    <row r="585" spans="22:26" x14ac:dyDescent="0.3">
      <c r="V585">
        <v>1.82</v>
      </c>
      <c r="W585">
        <f t="shared" si="36"/>
        <v>7.6143273696207311E-2</v>
      </c>
      <c r="X585" t="e">
        <f t="shared" si="37"/>
        <v>#N/A</v>
      </c>
      <c r="Y585">
        <f t="shared" si="38"/>
        <v>7.6143273696207311E-2</v>
      </c>
      <c r="Z585">
        <f t="shared" si="39"/>
        <v>7.6143273696207311E-2</v>
      </c>
    </row>
    <row r="586" spans="22:26" x14ac:dyDescent="0.3">
      <c r="V586">
        <v>1.83</v>
      </c>
      <c r="W586">
        <f t="shared" si="36"/>
        <v>7.4766262398367603E-2</v>
      </c>
      <c r="X586" t="e">
        <f t="shared" si="37"/>
        <v>#N/A</v>
      </c>
      <c r="Y586">
        <f t="shared" si="38"/>
        <v>7.4766262398367603E-2</v>
      </c>
      <c r="Z586">
        <f t="shared" si="39"/>
        <v>7.4766262398367603E-2</v>
      </c>
    </row>
    <row r="587" spans="22:26" x14ac:dyDescent="0.3">
      <c r="V587">
        <v>1.84</v>
      </c>
      <c r="W587">
        <f t="shared" si="36"/>
        <v>7.3406812581656891E-2</v>
      </c>
      <c r="X587" t="e">
        <f t="shared" si="37"/>
        <v>#N/A</v>
      </c>
      <c r="Y587">
        <f t="shared" si="38"/>
        <v>7.3406812581656891E-2</v>
      </c>
      <c r="Z587">
        <f t="shared" si="39"/>
        <v>7.3406812581656891E-2</v>
      </c>
    </row>
    <row r="588" spans="22:26" x14ac:dyDescent="0.3">
      <c r="V588">
        <v>1.85</v>
      </c>
      <c r="W588">
        <f t="shared" si="36"/>
        <v>7.2064874336217985E-2</v>
      </c>
      <c r="X588" t="e">
        <f t="shared" si="37"/>
        <v>#N/A</v>
      </c>
      <c r="Y588">
        <f t="shared" si="38"/>
        <v>7.2064874336217985E-2</v>
      </c>
      <c r="Z588">
        <f t="shared" si="39"/>
        <v>7.2064874336217985E-2</v>
      </c>
    </row>
    <row r="589" spans="22:26" x14ac:dyDescent="0.3">
      <c r="V589">
        <v>1.86</v>
      </c>
      <c r="W589">
        <f t="shared" si="36"/>
        <v>7.074039345698338E-2</v>
      </c>
      <c r="X589" t="e">
        <f t="shared" si="37"/>
        <v>#N/A</v>
      </c>
      <c r="Y589">
        <f t="shared" si="38"/>
        <v>7.074039345698338E-2</v>
      </c>
      <c r="Z589">
        <f t="shared" si="39"/>
        <v>7.074039345698338E-2</v>
      </c>
    </row>
    <row r="590" spans="22:26" x14ac:dyDescent="0.3">
      <c r="V590">
        <v>1.87</v>
      </c>
      <c r="W590">
        <f t="shared" si="36"/>
        <v>6.9433311543674187E-2</v>
      </c>
      <c r="X590" t="e">
        <f t="shared" si="37"/>
        <v>#N/A</v>
      </c>
      <c r="Y590">
        <f t="shared" si="38"/>
        <v>6.9433311543674187E-2</v>
      </c>
      <c r="Z590">
        <f t="shared" si="39"/>
        <v>6.9433311543674187E-2</v>
      </c>
    </row>
    <row r="591" spans="22:26" x14ac:dyDescent="0.3">
      <c r="V591">
        <v>1.88</v>
      </c>
      <c r="W591">
        <f t="shared" si="36"/>
        <v>6.8143566101044578E-2</v>
      </c>
      <c r="X591" t="e">
        <f t="shared" si="37"/>
        <v>#N/A</v>
      </c>
      <c r="Y591">
        <f t="shared" si="38"/>
        <v>6.8143566101044578E-2</v>
      </c>
      <c r="Z591">
        <f t="shared" si="39"/>
        <v>6.8143566101044578E-2</v>
      </c>
    </row>
    <row r="592" spans="22:26" x14ac:dyDescent="0.3">
      <c r="V592">
        <v>1.89</v>
      </c>
      <c r="W592">
        <f t="shared" si="36"/>
        <v>6.6871090639307157E-2</v>
      </c>
      <c r="X592" t="e">
        <f t="shared" si="37"/>
        <v>#N/A</v>
      </c>
      <c r="Y592">
        <f t="shared" si="38"/>
        <v>6.6871090639307157E-2</v>
      </c>
      <c r="Z592">
        <f t="shared" si="39"/>
        <v>6.6871090639307157E-2</v>
      </c>
    </row>
    <row r="593" spans="22:26" x14ac:dyDescent="0.3">
      <c r="V593">
        <v>1.9</v>
      </c>
      <c r="W593">
        <f t="shared" si="36"/>
        <v>6.5615814774676595E-2</v>
      </c>
      <c r="X593" t="e">
        <f t="shared" si="37"/>
        <v>#N/A</v>
      </c>
      <c r="Y593">
        <f t="shared" si="38"/>
        <v>6.5615814774676595E-2</v>
      </c>
      <c r="Z593">
        <f t="shared" si="39"/>
        <v>6.5615814774676595E-2</v>
      </c>
    </row>
    <row r="594" spans="22:26" x14ac:dyDescent="0.3">
      <c r="V594">
        <v>1.91</v>
      </c>
      <c r="W594">
        <f t="shared" si="36"/>
        <v>6.4377664329969359E-2</v>
      </c>
      <c r="X594" t="e">
        <f t="shared" si="37"/>
        <v>#N/A</v>
      </c>
      <c r="Y594">
        <f t="shared" si="38"/>
        <v>6.4377664329969359E-2</v>
      </c>
      <c r="Z594">
        <f t="shared" si="39"/>
        <v>6.4377664329969359E-2</v>
      </c>
    </row>
    <row r="595" spans="22:26" x14ac:dyDescent="0.3">
      <c r="V595">
        <v>1.92</v>
      </c>
      <c r="W595">
        <f t="shared" si="36"/>
        <v>6.3156561435198655E-2</v>
      </c>
      <c r="X595" t="e">
        <f t="shared" si="37"/>
        <v>#N/A</v>
      </c>
      <c r="Y595">
        <f t="shared" si="38"/>
        <v>6.3156561435198655E-2</v>
      </c>
      <c r="Z595">
        <f t="shared" si="39"/>
        <v>6.3156561435198655E-2</v>
      </c>
    </row>
    <row r="596" spans="22:26" x14ac:dyDescent="0.3">
      <c r="V596">
        <v>1.93</v>
      </c>
      <c r="W596">
        <f t="shared" si="36"/>
        <v>6.1952424628105164E-2</v>
      </c>
      <c r="X596" t="e">
        <f t="shared" si="37"/>
        <v>#N/A</v>
      </c>
      <c r="Y596">
        <f t="shared" si="38"/>
        <v>6.1952424628105164E-2</v>
      </c>
      <c r="Z596">
        <f t="shared" si="39"/>
        <v>6.1952424628105164E-2</v>
      </c>
    </row>
    <row r="597" spans="22:26" x14ac:dyDescent="0.3">
      <c r="V597">
        <v>1.94</v>
      </c>
      <c r="W597">
        <f t="shared" si="36"/>
        <v>6.0765168954564776E-2</v>
      </c>
      <c r="X597" t="e">
        <f t="shared" si="37"/>
        <v>#N/A</v>
      </c>
      <c r="Y597">
        <f t="shared" si="38"/>
        <v>6.0765168954564776E-2</v>
      </c>
      <c r="Z597">
        <f t="shared" si="39"/>
        <v>6.0765168954564776E-2</v>
      </c>
    </row>
    <row r="598" spans="22:26" x14ac:dyDescent="0.3">
      <c r="V598">
        <v>1.95</v>
      </c>
      <c r="W598">
        <f t="shared" si="36"/>
        <v>5.9594706068816075E-2</v>
      </c>
      <c r="X598" t="e">
        <f t="shared" si="37"/>
        <v>#N/A</v>
      </c>
      <c r="Y598">
        <f t="shared" si="38"/>
        <v>5.9594706068816075E-2</v>
      </c>
      <c r="Z598">
        <f t="shared" si="39"/>
        <v>5.9594706068816075E-2</v>
      </c>
    </row>
    <row r="599" spans="22:26" x14ac:dyDescent="0.3">
      <c r="V599">
        <v>1.96</v>
      </c>
      <c r="W599">
        <f t="shared" si="36"/>
        <v>5.8440944333451469E-2</v>
      </c>
      <c r="X599">
        <f t="shared" si="37"/>
        <v>5.8440944333451469E-2</v>
      </c>
      <c r="Y599">
        <f t="shared" si="38"/>
        <v>5.8440944333451469E-2</v>
      </c>
      <c r="Z599">
        <f t="shared" si="39"/>
        <v>5.8440944333451469E-2</v>
      </c>
    </row>
    <row r="600" spans="22:26" x14ac:dyDescent="0.3">
      <c r="V600">
        <v>1.97</v>
      </c>
      <c r="W600">
        <f t="shared" si="36"/>
        <v>5.7303788919117131E-2</v>
      </c>
      <c r="X600" t="e">
        <f t="shared" si="37"/>
        <v>#N/A</v>
      </c>
      <c r="Y600" t="e">
        <f t="shared" si="38"/>
        <v>#N/A</v>
      </c>
      <c r="Z600" t="e">
        <f t="shared" si="39"/>
        <v>#N/A</v>
      </c>
    </row>
    <row r="601" spans="22:26" x14ac:dyDescent="0.3">
      <c r="V601">
        <v>1.98</v>
      </c>
      <c r="W601">
        <f t="shared" si="36"/>
        <v>5.6183141903868049E-2</v>
      </c>
      <c r="X601" t="e">
        <f t="shared" si="37"/>
        <v>#N/A</v>
      </c>
      <c r="Y601" t="e">
        <f t="shared" si="38"/>
        <v>#N/A</v>
      </c>
      <c r="Z601" t="e">
        <f t="shared" si="39"/>
        <v>#N/A</v>
      </c>
    </row>
    <row r="602" spans="22:26" x14ac:dyDescent="0.3">
      <c r="V602">
        <v>1.99</v>
      </c>
      <c r="W602">
        <f t="shared" si="36"/>
        <v>5.5078902372125767E-2</v>
      </c>
      <c r="X602" t="e">
        <f t="shared" si="37"/>
        <v>#N/A</v>
      </c>
      <c r="Y602" t="e">
        <f t="shared" si="38"/>
        <v>#N/A</v>
      </c>
      <c r="Z602" t="e">
        <f t="shared" si="39"/>
        <v>#N/A</v>
      </c>
    </row>
    <row r="603" spans="22:26" x14ac:dyDescent="0.3">
      <c r="V603">
        <v>2</v>
      </c>
      <c r="W603">
        <f t="shared" si="36"/>
        <v>5.3990966513188063E-2</v>
      </c>
      <c r="X603" t="e">
        <f t="shared" si="37"/>
        <v>#N/A</v>
      </c>
      <c r="Y603" t="e">
        <f t="shared" si="38"/>
        <v>#N/A</v>
      </c>
      <c r="Z603" t="e">
        <f t="shared" si="39"/>
        <v>#N/A</v>
      </c>
    </row>
    <row r="604" spans="22:26" x14ac:dyDescent="0.3">
      <c r="V604">
        <v>2.0099999999999998</v>
      </c>
      <c r="W604">
        <f t="shared" si="36"/>
        <v>5.2919227719240312E-2</v>
      </c>
      <c r="X604" t="e">
        <f t="shared" si="37"/>
        <v>#N/A</v>
      </c>
      <c r="Y604" t="e">
        <f t="shared" si="38"/>
        <v>#N/A</v>
      </c>
      <c r="Z604" t="e">
        <f t="shared" si="39"/>
        <v>#N/A</v>
      </c>
    </row>
    <row r="605" spans="22:26" x14ac:dyDescent="0.3">
      <c r="V605">
        <v>2.02</v>
      </c>
      <c r="W605">
        <f t="shared" si="36"/>
        <v>5.1863576682820565E-2</v>
      </c>
      <c r="X605" t="e">
        <f t="shared" si="37"/>
        <v>#N/A</v>
      </c>
      <c r="Y605" t="e">
        <f t="shared" si="38"/>
        <v>#N/A</v>
      </c>
      <c r="Z605" t="e">
        <f t="shared" si="39"/>
        <v>#N/A</v>
      </c>
    </row>
    <row r="606" spans="22:26" x14ac:dyDescent="0.3">
      <c r="V606">
        <v>2.0299999999999998</v>
      </c>
      <c r="W606">
        <f t="shared" si="36"/>
        <v>5.0823901493691204E-2</v>
      </c>
      <c r="X606" t="e">
        <f t="shared" si="37"/>
        <v>#N/A</v>
      </c>
      <c r="Y606" t="e">
        <f t="shared" si="38"/>
        <v>#N/A</v>
      </c>
      <c r="Z606" t="e">
        <f t="shared" si="39"/>
        <v>#N/A</v>
      </c>
    </row>
    <row r="607" spans="22:26" x14ac:dyDescent="0.3">
      <c r="V607">
        <v>2.04</v>
      </c>
      <c r="W607">
        <f t="shared" si="36"/>
        <v>4.9800087735070775E-2</v>
      </c>
      <c r="X607" t="e">
        <f t="shared" si="37"/>
        <v>#N/A</v>
      </c>
      <c r="Y607" t="e">
        <f t="shared" si="38"/>
        <v>#N/A</v>
      </c>
      <c r="Z607" t="e">
        <f t="shared" si="39"/>
        <v>#N/A</v>
      </c>
    </row>
    <row r="608" spans="22:26" x14ac:dyDescent="0.3">
      <c r="V608">
        <v>2.0499999999999998</v>
      </c>
      <c r="W608">
        <f t="shared" si="36"/>
        <v>4.8792018579182764E-2</v>
      </c>
      <c r="X608" t="e">
        <f t="shared" si="37"/>
        <v>#N/A</v>
      </c>
      <c r="Y608" t="e">
        <f t="shared" si="38"/>
        <v>#N/A</v>
      </c>
      <c r="Z608" t="e">
        <f t="shared" si="39"/>
        <v>#N/A</v>
      </c>
    </row>
    <row r="609" spans="22:26" x14ac:dyDescent="0.3">
      <c r="V609">
        <v>2.06</v>
      </c>
      <c r="W609">
        <f t="shared" si="36"/>
        <v>4.7799574882077034E-2</v>
      </c>
      <c r="X609" t="e">
        <f t="shared" si="37"/>
        <v>#N/A</v>
      </c>
      <c r="Y609" t="e">
        <f t="shared" si="38"/>
        <v>#N/A</v>
      </c>
      <c r="Z609" t="e">
        <f t="shared" si="39"/>
        <v>#N/A</v>
      </c>
    </row>
    <row r="610" spans="22:26" x14ac:dyDescent="0.3">
      <c r="V610">
        <v>2.0699999999999998</v>
      </c>
      <c r="W610">
        <f t="shared" si="36"/>
        <v>4.6822635277683163E-2</v>
      </c>
      <c r="X610" t="e">
        <f t="shared" si="37"/>
        <v>#N/A</v>
      </c>
      <c r="Y610" t="e">
        <f t="shared" si="38"/>
        <v>#N/A</v>
      </c>
      <c r="Z610" t="e">
        <f t="shared" si="39"/>
        <v>#N/A</v>
      </c>
    </row>
    <row r="611" spans="22:26" x14ac:dyDescent="0.3">
      <c r="V611">
        <v>2.08</v>
      </c>
      <c r="W611">
        <f t="shared" si="36"/>
        <v>4.5861076271054887E-2</v>
      </c>
      <c r="X611" t="e">
        <f t="shared" si="37"/>
        <v>#N/A</v>
      </c>
      <c r="Y611" t="e">
        <f t="shared" si="38"/>
        <v>#N/A</v>
      </c>
      <c r="Z611" t="e">
        <f t="shared" si="39"/>
        <v>#N/A</v>
      </c>
    </row>
    <row r="612" spans="22:26" x14ac:dyDescent="0.3">
      <c r="V612">
        <v>2.09</v>
      </c>
      <c r="W612">
        <f t="shared" si="36"/>
        <v>4.49147723307671E-2</v>
      </c>
      <c r="X612" t="e">
        <f t="shared" si="37"/>
        <v>#N/A</v>
      </c>
      <c r="Y612" t="e">
        <f t="shared" si="38"/>
        <v>#N/A</v>
      </c>
      <c r="Z612" t="e">
        <f t="shared" si="39"/>
        <v>#N/A</v>
      </c>
    </row>
    <row r="613" spans="22:26" x14ac:dyDescent="0.3">
      <c r="V613">
        <v>2.1</v>
      </c>
      <c r="W613">
        <f t="shared" si="36"/>
        <v>4.3983595980427191E-2</v>
      </c>
      <c r="X613" t="e">
        <f t="shared" si="37"/>
        <v>#N/A</v>
      </c>
      <c r="Y613" t="e">
        <f t="shared" si="38"/>
        <v>#N/A</v>
      </c>
      <c r="Z613" t="e">
        <f t="shared" si="39"/>
        <v>#N/A</v>
      </c>
    </row>
    <row r="614" spans="22:26" x14ac:dyDescent="0.3">
      <c r="V614">
        <v>2.11</v>
      </c>
      <c r="W614">
        <f t="shared" si="36"/>
        <v>4.3067417889265734E-2</v>
      </c>
      <c r="X614" t="e">
        <f t="shared" si="37"/>
        <v>#N/A</v>
      </c>
      <c r="Y614" t="e">
        <f t="shared" si="38"/>
        <v>#N/A</v>
      </c>
      <c r="Z614" t="e">
        <f t="shared" si="39"/>
        <v>#N/A</v>
      </c>
    </row>
    <row r="615" spans="22:26" x14ac:dyDescent="0.3">
      <c r="V615">
        <v>2.12</v>
      </c>
      <c r="W615">
        <f t="shared" si="36"/>
        <v>4.2166106961770311E-2</v>
      </c>
      <c r="X615" t="e">
        <f t="shared" si="37"/>
        <v>#N/A</v>
      </c>
      <c r="Y615" t="e">
        <f t="shared" si="38"/>
        <v>#N/A</v>
      </c>
      <c r="Z615" t="e">
        <f t="shared" si="39"/>
        <v>#N/A</v>
      </c>
    </row>
    <row r="616" spans="22:26" x14ac:dyDescent="0.3">
      <c r="V616">
        <v>2.13</v>
      </c>
      <c r="W616">
        <f t="shared" si="36"/>
        <v>4.1279530426330417E-2</v>
      </c>
      <c r="X616" t="e">
        <f t="shared" si="37"/>
        <v>#N/A</v>
      </c>
      <c r="Y616" t="e">
        <f t="shared" si="38"/>
        <v>#N/A</v>
      </c>
      <c r="Z616" t="e">
        <f t="shared" si="39"/>
        <v>#N/A</v>
      </c>
    </row>
    <row r="617" spans="22:26" x14ac:dyDescent="0.3">
      <c r="V617">
        <v>2.14</v>
      </c>
      <c r="W617">
        <f t="shared" si="36"/>
        <v>4.0407553922860308E-2</v>
      </c>
      <c r="X617" t="e">
        <f t="shared" si="37"/>
        <v>#N/A</v>
      </c>
      <c r="Y617" t="e">
        <f t="shared" si="38"/>
        <v>#N/A</v>
      </c>
      <c r="Z617" t="e">
        <f t="shared" si="39"/>
        <v>#N/A</v>
      </c>
    </row>
    <row r="618" spans="22:26" x14ac:dyDescent="0.3">
      <c r="V618">
        <v>2.15</v>
      </c>
      <c r="W618">
        <f t="shared" si="36"/>
        <v>3.955004158937022E-2</v>
      </c>
      <c r="X618" t="e">
        <f t="shared" si="37"/>
        <v>#N/A</v>
      </c>
      <c r="Y618" t="e">
        <f t="shared" si="38"/>
        <v>#N/A</v>
      </c>
      <c r="Z618" t="e">
        <f t="shared" si="39"/>
        <v>#N/A</v>
      </c>
    </row>
    <row r="619" spans="22:26" x14ac:dyDescent="0.3">
      <c r="V619">
        <v>2.16</v>
      </c>
      <c r="W619">
        <f t="shared" si="36"/>
        <v>3.8706856147455608E-2</v>
      </c>
      <c r="X619" t="e">
        <f t="shared" si="37"/>
        <v>#N/A</v>
      </c>
      <c r="Y619" t="e">
        <f t="shared" si="38"/>
        <v>#N/A</v>
      </c>
      <c r="Z619" t="e">
        <f t="shared" si="39"/>
        <v>#N/A</v>
      </c>
    </row>
    <row r="620" spans="22:26" x14ac:dyDescent="0.3">
      <c r="V620">
        <v>2.17</v>
      </c>
      <c r="W620">
        <f t="shared" si="36"/>
        <v>3.7877858986677483E-2</v>
      </c>
      <c r="X620" t="e">
        <f t="shared" si="37"/>
        <v>#N/A</v>
      </c>
      <c r="Y620" t="e">
        <f t="shared" si="38"/>
        <v>#N/A</v>
      </c>
      <c r="Z620" t="e">
        <f t="shared" si="39"/>
        <v>#N/A</v>
      </c>
    </row>
    <row r="621" spans="22:26" x14ac:dyDescent="0.3">
      <c r="V621">
        <v>2.1800000000000002</v>
      </c>
      <c r="W621">
        <f t="shared" si="36"/>
        <v>3.7062910247806474E-2</v>
      </c>
      <c r="X621" t="e">
        <f t="shared" si="37"/>
        <v>#N/A</v>
      </c>
      <c r="Y621" t="e">
        <f t="shared" si="38"/>
        <v>#N/A</v>
      </c>
      <c r="Z621" t="e">
        <f t="shared" si="39"/>
        <v>#N/A</v>
      </c>
    </row>
    <row r="622" spans="22:26" x14ac:dyDescent="0.3">
      <c r="V622">
        <v>2.19</v>
      </c>
      <c r="W622">
        <f t="shared" si="36"/>
        <v>3.6261868904906222E-2</v>
      </c>
      <c r="X622" t="e">
        <f t="shared" si="37"/>
        <v>#N/A</v>
      </c>
      <c r="Y622" t="e">
        <f t="shared" si="38"/>
        <v>#N/A</v>
      </c>
      <c r="Z622" t="e">
        <f t="shared" si="39"/>
        <v>#N/A</v>
      </c>
    </row>
    <row r="623" spans="22:26" x14ac:dyDescent="0.3">
      <c r="V623">
        <v>2.2000000000000002</v>
      </c>
      <c r="W623">
        <f t="shared" si="36"/>
        <v>3.5474592846231424E-2</v>
      </c>
      <c r="X623" t="e">
        <f t="shared" si="37"/>
        <v>#N/A</v>
      </c>
      <c r="Y623" t="e">
        <f t="shared" si="38"/>
        <v>#N/A</v>
      </c>
      <c r="Z623" t="e">
        <f t="shared" si="39"/>
        <v>#N/A</v>
      </c>
    </row>
    <row r="624" spans="22:26" x14ac:dyDescent="0.3">
      <c r="V624">
        <v>2.21</v>
      </c>
      <c r="W624">
        <f t="shared" si="36"/>
        <v>3.470093895391882E-2</v>
      </c>
      <c r="X624" t="e">
        <f t="shared" si="37"/>
        <v>#N/A</v>
      </c>
      <c r="Y624" t="e">
        <f t="shared" si="38"/>
        <v>#N/A</v>
      </c>
      <c r="Z624" t="e">
        <f t="shared" si="39"/>
        <v>#N/A</v>
      </c>
    </row>
    <row r="625" spans="22:26" x14ac:dyDescent="0.3">
      <c r="V625">
        <v>2.2200000000000002</v>
      </c>
      <c r="W625">
        <f t="shared" si="36"/>
        <v>3.3940763182449186E-2</v>
      </c>
      <c r="X625" t="e">
        <f t="shared" si="37"/>
        <v>#N/A</v>
      </c>
      <c r="Y625" t="e">
        <f t="shared" si="38"/>
        <v>#N/A</v>
      </c>
      <c r="Z625" t="e">
        <f t="shared" si="39"/>
        <v>#N/A</v>
      </c>
    </row>
    <row r="626" spans="22:26" x14ac:dyDescent="0.3">
      <c r="V626">
        <v>2.23</v>
      </c>
      <c r="W626">
        <f t="shared" si="36"/>
        <v>3.3193920635861122E-2</v>
      </c>
      <c r="X626" t="e">
        <f t="shared" si="37"/>
        <v>#N/A</v>
      </c>
      <c r="Y626" t="e">
        <f t="shared" si="38"/>
        <v>#N/A</v>
      </c>
      <c r="Z626" t="e">
        <f t="shared" si="39"/>
        <v>#N/A</v>
      </c>
    </row>
    <row r="627" spans="22:26" x14ac:dyDescent="0.3">
      <c r="V627">
        <v>2.2400000000000002</v>
      </c>
      <c r="W627">
        <f t="shared" si="36"/>
        <v>3.2460265643697445E-2</v>
      </c>
      <c r="X627" t="e">
        <f t="shared" si="37"/>
        <v>#N/A</v>
      </c>
      <c r="Y627" t="e">
        <f t="shared" si="38"/>
        <v>#N/A</v>
      </c>
      <c r="Z627" t="e">
        <f t="shared" si="39"/>
        <v>#N/A</v>
      </c>
    </row>
    <row r="628" spans="22:26" x14ac:dyDescent="0.3">
      <c r="V628">
        <v>2.25</v>
      </c>
      <c r="W628">
        <f t="shared" si="36"/>
        <v>3.1739651835667418E-2</v>
      </c>
      <c r="X628" t="e">
        <f t="shared" si="37"/>
        <v>#N/A</v>
      </c>
      <c r="Y628" t="e">
        <f t="shared" si="38"/>
        <v>#N/A</v>
      </c>
      <c r="Z628" t="e">
        <f t="shared" si="39"/>
        <v>#N/A</v>
      </c>
    </row>
    <row r="629" spans="22:26" x14ac:dyDescent="0.3">
      <c r="V629">
        <v>2.2599999999999998</v>
      </c>
      <c r="W629">
        <f t="shared" si="36"/>
        <v>3.103193221500827E-2</v>
      </c>
      <c r="X629" t="e">
        <f t="shared" si="37"/>
        <v>#N/A</v>
      </c>
      <c r="Y629" t="e">
        <f t="shared" si="38"/>
        <v>#N/A</v>
      </c>
      <c r="Z629" t="e">
        <f t="shared" si="39"/>
        <v>#N/A</v>
      </c>
    </row>
    <row r="630" spans="22:26" x14ac:dyDescent="0.3">
      <c r="V630">
        <v>2.27</v>
      </c>
      <c r="W630">
        <f t="shared" si="36"/>
        <v>3.0336959230531636E-2</v>
      </c>
      <c r="X630" t="e">
        <f t="shared" si="37"/>
        <v>#N/A</v>
      </c>
      <c r="Y630" t="e">
        <f t="shared" si="38"/>
        <v>#N/A</v>
      </c>
      <c r="Z630" t="e">
        <f t="shared" si="39"/>
        <v>#N/A</v>
      </c>
    </row>
    <row r="631" spans="22:26" x14ac:dyDescent="0.3">
      <c r="V631">
        <v>2.2799999999999998</v>
      </c>
      <c r="W631">
        <f t="shared" si="36"/>
        <v>2.9654584847341278E-2</v>
      </c>
      <c r="X631" t="e">
        <f t="shared" si="37"/>
        <v>#N/A</v>
      </c>
      <c r="Y631" t="e">
        <f t="shared" si="38"/>
        <v>#N/A</v>
      </c>
      <c r="Z631" t="e">
        <f t="shared" si="39"/>
        <v>#N/A</v>
      </c>
    </row>
    <row r="632" spans="22:26" x14ac:dyDescent="0.3">
      <c r="V632">
        <v>2.29</v>
      </c>
      <c r="W632">
        <f t="shared" si="36"/>
        <v>2.8984660616209412E-2</v>
      </c>
      <c r="X632" t="e">
        <f t="shared" si="37"/>
        <v>#N/A</v>
      </c>
      <c r="Y632" t="e">
        <f t="shared" si="38"/>
        <v>#N/A</v>
      </c>
      <c r="Z632" t="e">
        <f t="shared" si="39"/>
        <v>#N/A</v>
      </c>
    </row>
    <row r="633" spans="22:26" x14ac:dyDescent="0.3">
      <c r="V633">
        <v>2.2999999999999998</v>
      </c>
      <c r="W633">
        <f t="shared" si="36"/>
        <v>2.8327037741601186E-2</v>
      </c>
      <c r="X633" t="e">
        <f t="shared" si="37"/>
        <v>#N/A</v>
      </c>
      <c r="Y633" t="e">
        <f t="shared" si="38"/>
        <v>#N/A</v>
      </c>
      <c r="Z633" t="e">
        <f t="shared" si="39"/>
        <v>#N/A</v>
      </c>
    </row>
    <row r="634" spans="22:26" x14ac:dyDescent="0.3">
      <c r="V634">
        <v>2.31</v>
      </c>
      <c r="W634">
        <f t="shared" si="36"/>
        <v>2.7681567148336573E-2</v>
      </c>
      <c r="X634" t="e">
        <f t="shared" si="37"/>
        <v>#N/A</v>
      </c>
      <c r="Y634" t="e">
        <f t="shared" si="38"/>
        <v>#N/A</v>
      </c>
      <c r="Z634" t="e">
        <f t="shared" si="39"/>
        <v>#N/A</v>
      </c>
    </row>
    <row r="635" spans="22:26" x14ac:dyDescent="0.3">
      <c r="V635">
        <v>2.3199999999999998</v>
      </c>
      <c r="W635">
        <f t="shared" si="36"/>
        <v>2.7048099546881785E-2</v>
      </c>
      <c r="X635" t="e">
        <f t="shared" si="37"/>
        <v>#N/A</v>
      </c>
      <c r="Y635" t="e">
        <f t="shared" si="38"/>
        <v>#N/A</v>
      </c>
      <c r="Z635" t="e">
        <f t="shared" si="39"/>
        <v>#N/A</v>
      </c>
    </row>
    <row r="636" spans="22:26" x14ac:dyDescent="0.3">
      <c r="V636">
        <v>2.33</v>
      </c>
      <c r="W636">
        <f t="shared" si="36"/>
        <v>2.6426485497261721E-2</v>
      </c>
      <c r="X636" t="e">
        <f t="shared" si="37"/>
        <v>#N/A</v>
      </c>
      <c r="Y636" t="e">
        <f t="shared" si="38"/>
        <v>#N/A</v>
      </c>
      <c r="Z636" t="e">
        <f t="shared" si="39"/>
        <v>#N/A</v>
      </c>
    </row>
    <row r="637" spans="22:26" x14ac:dyDescent="0.3">
      <c r="V637">
        <v>2.34</v>
      </c>
      <c r="W637">
        <f t="shared" si="36"/>
        <v>2.581657547158769E-2</v>
      </c>
      <c r="X637" t="e">
        <f t="shared" si="37"/>
        <v>#N/A</v>
      </c>
      <c r="Y637" t="e">
        <f t="shared" si="38"/>
        <v>#N/A</v>
      </c>
      <c r="Z637" t="e">
        <f t="shared" si="39"/>
        <v>#N/A</v>
      </c>
    </row>
    <row r="638" spans="22:26" x14ac:dyDescent="0.3">
      <c r="V638">
        <v>2.35</v>
      </c>
      <c r="W638">
        <f t="shared" si="36"/>
        <v>2.5218219915194382E-2</v>
      </c>
      <c r="X638" t="e">
        <f t="shared" si="37"/>
        <v>#N/A</v>
      </c>
      <c r="Y638" t="e">
        <f t="shared" si="38"/>
        <v>#N/A</v>
      </c>
      <c r="Z638" t="e">
        <f t="shared" si="39"/>
        <v>#N/A</v>
      </c>
    </row>
    <row r="639" spans="22:26" x14ac:dyDescent="0.3">
      <c r="V639">
        <v>2.36</v>
      </c>
      <c r="W639">
        <f t="shared" si="36"/>
        <v>2.4631269306382507E-2</v>
      </c>
      <c r="X639" t="e">
        <f t="shared" si="37"/>
        <v>#N/A</v>
      </c>
      <c r="Y639" t="e">
        <f t="shared" si="38"/>
        <v>#N/A</v>
      </c>
      <c r="Z639" t="e">
        <f t="shared" si="39"/>
        <v>#N/A</v>
      </c>
    </row>
    <row r="640" spans="22:26" x14ac:dyDescent="0.3">
      <c r="V640">
        <v>2.37</v>
      </c>
      <c r="W640">
        <f t="shared" si="36"/>
        <v>2.4055574214762971E-2</v>
      </c>
      <c r="X640" t="e">
        <f t="shared" si="37"/>
        <v>#N/A</v>
      </c>
      <c r="Y640" t="e">
        <f t="shared" si="38"/>
        <v>#N/A</v>
      </c>
      <c r="Z640" t="e">
        <f t="shared" si="39"/>
        <v>#N/A</v>
      </c>
    </row>
    <row r="641" spans="22:26" x14ac:dyDescent="0.3">
      <c r="V641">
        <v>2.38</v>
      </c>
      <c r="W641">
        <f t="shared" si="36"/>
        <v>2.3490985358201363E-2</v>
      </c>
      <c r="X641" t="e">
        <f t="shared" si="37"/>
        <v>#N/A</v>
      </c>
      <c r="Y641" t="e">
        <f t="shared" si="38"/>
        <v>#N/A</v>
      </c>
      <c r="Z641" t="e">
        <f t="shared" si="39"/>
        <v>#N/A</v>
      </c>
    </row>
    <row r="642" spans="22:26" x14ac:dyDescent="0.3">
      <c r="V642">
        <v>2.39</v>
      </c>
      <c r="W642">
        <f t="shared" si="36"/>
        <v>2.2937353658360693E-2</v>
      </c>
      <c r="X642" t="e">
        <f t="shared" si="37"/>
        <v>#N/A</v>
      </c>
      <c r="Y642" t="e">
        <f t="shared" si="38"/>
        <v>#N/A</v>
      </c>
      <c r="Z642" t="e">
        <f t="shared" si="39"/>
        <v>#N/A</v>
      </c>
    </row>
    <row r="643" spans="22:26" x14ac:dyDescent="0.3">
      <c r="V643">
        <v>2.4</v>
      </c>
      <c r="W643">
        <f t="shared" si="36"/>
        <v>2.2394530294842899E-2</v>
      </c>
      <c r="X643" t="e">
        <f t="shared" si="37"/>
        <v>#N/A</v>
      </c>
      <c r="Y643" t="e">
        <f t="shared" si="38"/>
        <v>#N/A</v>
      </c>
      <c r="Z643" t="e">
        <f t="shared" si="39"/>
        <v>#N/A</v>
      </c>
    </row>
    <row r="644" spans="22:26" x14ac:dyDescent="0.3">
      <c r="V644">
        <v>2.41</v>
      </c>
      <c r="W644">
        <f t="shared" ref="W644:W707" si="40">_xlfn.NORM.S.DIST(V644,0)</f>
        <v>2.1862366757929387E-2</v>
      </c>
      <c r="X644" t="e">
        <f t="shared" ref="X644:X707" si="41">IF(V644=$A$2,W644,NA())</f>
        <v>#N/A</v>
      </c>
      <c r="Y644" t="e">
        <f t="shared" ref="Y644:Y707" si="42">IF(V644&lt;=$A$2,W644,NA())</f>
        <v>#N/A</v>
      </c>
      <c r="Z644" t="e">
        <f t="shared" ref="Z644:Z707" si="43">IF(ABS(V644)&lt;=$A$2,W644,NA())</f>
        <v>#N/A</v>
      </c>
    </row>
    <row r="645" spans="22:26" x14ac:dyDescent="0.3">
      <c r="V645">
        <v>2.42</v>
      </c>
      <c r="W645">
        <f t="shared" si="40"/>
        <v>2.1340714899922782E-2</v>
      </c>
      <c r="X645" t="e">
        <f t="shared" si="41"/>
        <v>#N/A</v>
      </c>
      <c r="Y645" t="e">
        <f t="shared" si="42"/>
        <v>#N/A</v>
      </c>
      <c r="Z645" t="e">
        <f t="shared" si="43"/>
        <v>#N/A</v>
      </c>
    </row>
    <row r="646" spans="22:26" x14ac:dyDescent="0.3">
      <c r="V646">
        <v>2.4300000000000002</v>
      </c>
      <c r="W646">
        <f t="shared" si="40"/>
        <v>2.0829426985092186E-2</v>
      </c>
      <c r="X646" t="e">
        <f t="shared" si="41"/>
        <v>#N/A</v>
      </c>
      <c r="Y646" t="e">
        <f t="shared" si="42"/>
        <v>#N/A</v>
      </c>
      <c r="Z646" t="e">
        <f t="shared" si="43"/>
        <v>#N/A</v>
      </c>
    </row>
    <row r="647" spans="22:26" x14ac:dyDescent="0.3">
      <c r="V647">
        <v>2.44</v>
      </c>
      <c r="W647">
        <f t="shared" si="40"/>
        <v>2.0328355738225837E-2</v>
      </c>
      <c r="X647" t="e">
        <f t="shared" si="41"/>
        <v>#N/A</v>
      </c>
      <c r="Y647" t="e">
        <f t="shared" si="42"/>
        <v>#N/A</v>
      </c>
      <c r="Z647" t="e">
        <f t="shared" si="43"/>
        <v>#N/A</v>
      </c>
    </row>
    <row r="648" spans="22:26" x14ac:dyDescent="0.3">
      <c r="V648">
        <v>2.4500000000000002</v>
      </c>
      <c r="W648">
        <f t="shared" si="40"/>
        <v>1.9837354391795313E-2</v>
      </c>
      <c r="X648" t="e">
        <f t="shared" si="41"/>
        <v>#N/A</v>
      </c>
      <c r="Y648" t="e">
        <f t="shared" si="42"/>
        <v>#N/A</v>
      </c>
      <c r="Z648" t="e">
        <f t="shared" si="43"/>
        <v>#N/A</v>
      </c>
    </row>
    <row r="649" spans="22:26" x14ac:dyDescent="0.3">
      <c r="V649">
        <v>2.46</v>
      </c>
      <c r="W649">
        <f t="shared" si="40"/>
        <v>1.9356276731736961E-2</v>
      </c>
      <c r="X649" t="e">
        <f t="shared" si="41"/>
        <v>#N/A</v>
      </c>
      <c r="Y649" t="e">
        <f t="shared" si="42"/>
        <v>#N/A</v>
      </c>
      <c r="Z649" t="e">
        <f t="shared" si="43"/>
        <v>#N/A</v>
      </c>
    </row>
    <row r="650" spans="22:26" x14ac:dyDescent="0.3">
      <c r="V650">
        <v>2.4700000000000002</v>
      </c>
      <c r="W650">
        <f t="shared" si="40"/>
        <v>1.8884977141856163E-2</v>
      </c>
      <c r="X650" t="e">
        <f t="shared" si="41"/>
        <v>#N/A</v>
      </c>
      <c r="Y650" t="e">
        <f t="shared" si="42"/>
        <v>#N/A</v>
      </c>
      <c r="Z650" t="e">
        <f t="shared" si="43"/>
        <v>#N/A</v>
      </c>
    </row>
    <row r="651" spans="22:26" x14ac:dyDescent="0.3">
      <c r="V651">
        <v>2.48</v>
      </c>
      <c r="W651">
        <f t="shared" si="40"/>
        <v>1.8423310646862048E-2</v>
      </c>
      <c r="X651" t="e">
        <f t="shared" si="41"/>
        <v>#N/A</v>
      </c>
      <c r="Y651" t="e">
        <f t="shared" si="42"/>
        <v>#N/A</v>
      </c>
      <c r="Z651" t="e">
        <f t="shared" si="43"/>
        <v>#N/A</v>
      </c>
    </row>
    <row r="652" spans="22:26" x14ac:dyDescent="0.3">
      <c r="V652">
        <v>2.4900000000000002</v>
      </c>
      <c r="W652">
        <f t="shared" si="40"/>
        <v>1.7971132954039633E-2</v>
      </c>
      <c r="X652" t="e">
        <f t="shared" si="41"/>
        <v>#N/A</v>
      </c>
      <c r="Y652" t="e">
        <f t="shared" si="42"/>
        <v>#N/A</v>
      </c>
      <c r="Z652" t="e">
        <f t="shared" si="43"/>
        <v>#N/A</v>
      </c>
    </row>
    <row r="653" spans="22:26" x14ac:dyDescent="0.3">
      <c r="V653">
        <v>2.5</v>
      </c>
      <c r="W653">
        <f t="shared" si="40"/>
        <v>1.752830049356854E-2</v>
      </c>
      <c r="X653" t="e">
        <f t="shared" si="41"/>
        <v>#N/A</v>
      </c>
      <c r="Y653" t="e">
        <f t="shared" si="42"/>
        <v>#N/A</v>
      </c>
      <c r="Z653" t="e">
        <f t="shared" si="43"/>
        <v>#N/A</v>
      </c>
    </row>
    <row r="654" spans="22:26" x14ac:dyDescent="0.3">
      <c r="V654">
        <v>2.5099999999999998</v>
      </c>
      <c r="W654">
        <f t="shared" si="40"/>
        <v>1.7094670457496956E-2</v>
      </c>
      <c r="X654" t="e">
        <f t="shared" si="41"/>
        <v>#N/A</v>
      </c>
      <c r="Y654" t="e">
        <f t="shared" si="42"/>
        <v>#N/A</v>
      </c>
      <c r="Z654" t="e">
        <f t="shared" si="43"/>
        <v>#N/A</v>
      </c>
    </row>
    <row r="655" spans="22:26" x14ac:dyDescent="0.3">
      <c r="V655">
        <v>2.52</v>
      </c>
      <c r="W655">
        <f t="shared" si="40"/>
        <v>1.6670100837381057E-2</v>
      </c>
      <c r="X655" t="e">
        <f t="shared" si="41"/>
        <v>#N/A</v>
      </c>
      <c r="Y655" t="e">
        <f t="shared" si="42"/>
        <v>#N/A</v>
      </c>
      <c r="Z655" t="e">
        <f t="shared" si="43"/>
        <v>#N/A</v>
      </c>
    </row>
    <row r="656" spans="22:26" x14ac:dyDescent="0.3">
      <c r="V656">
        <v>2.5299999999999998</v>
      </c>
      <c r="W656">
        <f t="shared" si="40"/>
        <v>1.6254450460600506E-2</v>
      </c>
      <c r="X656" t="e">
        <f t="shared" si="41"/>
        <v>#N/A</v>
      </c>
      <c r="Y656" t="e">
        <f t="shared" si="42"/>
        <v>#N/A</v>
      </c>
      <c r="Z656" t="e">
        <f t="shared" si="43"/>
        <v>#N/A</v>
      </c>
    </row>
    <row r="657" spans="22:26" x14ac:dyDescent="0.3">
      <c r="V657">
        <v>2.54</v>
      </c>
      <c r="W657">
        <f t="shared" si="40"/>
        <v>1.5847579025360818E-2</v>
      </c>
      <c r="X657" t="e">
        <f t="shared" si="41"/>
        <v>#N/A</v>
      </c>
      <c r="Y657" t="e">
        <f t="shared" si="42"/>
        <v>#N/A</v>
      </c>
      <c r="Z657" t="e">
        <f t="shared" si="43"/>
        <v>#N/A</v>
      </c>
    </row>
    <row r="658" spans="22:26" x14ac:dyDescent="0.3">
      <c r="V658">
        <v>2.5499999999999998</v>
      </c>
      <c r="W658">
        <f t="shared" si="40"/>
        <v>1.5449347134395174E-2</v>
      </c>
      <c r="X658" t="e">
        <f t="shared" si="41"/>
        <v>#N/A</v>
      </c>
      <c r="Y658" t="e">
        <f t="shared" si="42"/>
        <v>#N/A</v>
      </c>
      <c r="Z658" t="e">
        <f t="shared" si="43"/>
        <v>#N/A</v>
      </c>
    </row>
    <row r="659" spans="22:26" x14ac:dyDescent="0.3">
      <c r="V659">
        <v>2.56</v>
      </c>
      <c r="W659">
        <f t="shared" si="40"/>
        <v>1.5059616327377449E-2</v>
      </c>
      <c r="X659" t="e">
        <f t="shared" si="41"/>
        <v>#N/A</v>
      </c>
      <c r="Y659" t="e">
        <f t="shared" si="42"/>
        <v>#N/A</v>
      </c>
      <c r="Z659" t="e">
        <f t="shared" si="43"/>
        <v>#N/A</v>
      </c>
    </row>
    <row r="660" spans="22:26" x14ac:dyDescent="0.3">
      <c r="V660">
        <v>2.57</v>
      </c>
      <c r="W660">
        <f t="shared" si="40"/>
        <v>1.4678249112060044E-2</v>
      </c>
      <c r="X660" t="e">
        <f t="shared" si="41"/>
        <v>#N/A</v>
      </c>
      <c r="Y660" t="e">
        <f t="shared" si="42"/>
        <v>#N/A</v>
      </c>
      <c r="Z660" t="e">
        <f t="shared" si="43"/>
        <v>#N/A</v>
      </c>
    </row>
    <row r="661" spans="22:26" x14ac:dyDescent="0.3">
      <c r="V661">
        <v>2.58</v>
      </c>
      <c r="W661">
        <f t="shared" si="40"/>
        <v>1.430510899414969E-2</v>
      </c>
      <c r="X661" t="e">
        <f t="shared" si="41"/>
        <v>#N/A</v>
      </c>
      <c r="Y661" t="e">
        <f t="shared" si="42"/>
        <v>#N/A</v>
      </c>
      <c r="Z661" t="e">
        <f t="shared" si="43"/>
        <v>#N/A</v>
      </c>
    </row>
    <row r="662" spans="22:26" x14ac:dyDescent="0.3">
      <c r="V662">
        <v>2.59</v>
      </c>
      <c r="W662">
        <f t="shared" si="40"/>
        <v>1.3940060505935825E-2</v>
      </c>
      <c r="X662" t="e">
        <f t="shared" si="41"/>
        <v>#N/A</v>
      </c>
      <c r="Y662" t="e">
        <f t="shared" si="42"/>
        <v>#N/A</v>
      </c>
      <c r="Z662" t="e">
        <f t="shared" si="43"/>
        <v>#N/A</v>
      </c>
    </row>
    <row r="663" spans="22:26" x14ac:dyDescent="0.3">
      <c r="V663">
        <v>2.6</v>
      </c>
      <c r="W663">
        <f t="shared" si="40"/>
        <v>1.3582969233685613E-2</v>
      </c>
      <c r="X663" t="e">
        <f t="shared" si="41"/>
        <v>#N/A</v>
      </c>
      <c r="Y663" t="e">
        <f t="shared" si="42"/>
        <v>#N/A</v>
      </c>
      <c r="Z663" t="e">
        <f t="shared" si="43"/>
        <v>#N/A</v>
      </c>
    </row>
    <row r="664" spans="22:26" x14ac:dyDescent="0.3">
      <c r="V664">
        <v>2.61</v>
      </c>
      <c r="W664">
        <f t="shared" si="40"/>
        <v>1.3233701843821374E-2</v>
      </c>
      <c r="X664" t="e">
        <f t="shared" si="41"/>
        <v>#N/A</v>
      </c>
      <c r="Y664" t="e">
        <f t="shared" si="42"/>
        <v>#N/A</v>
      </c>
      <c r="Z664" t="e">
        <f t="shared" si="43"/>
        <v>#N/A</v>
      </c>
    </row>
    <row r="665" spans="22:26" x14ac:dyDescent="0.3">
      <c r="V665">
        <v>2.62</v>
      </c>
      <c r="W665">
        <f t="shared" si="40"/>
        <v>1.2892126107895304E-2</v>
      </c>
      <c r="X665" t="e">
        <f t="shared" si="41"/>
        <v>#N/A</v>
      </c>
      <c r="Y665" t="e">
        <f t="shared" si="42"/>
        <v>#N/A</v>
      </c>
      <c r="Z665" t="e">
        <f t="shared" si="43"/>
        <v>#N/A</v>
      </c>
    </row>
    <row r="666" spans="22:26" x14ac:dyDescent="0.3">
      <c r="V666">
        <v>2.63</v>
      </c>
      <c r="W666">
        <f t="shared" si="40"/>
        <v>1.2558110926378211E-2</v>
      </c>
      <c r="X666" t="e">
        <f t="shared" si="41"/>
        <v>#N/A</v>
      </c>
      <c r="Y666" t="e">
        <f t="shared" si="42"/>
        <v>#N/A</v>
      </c>
      <c r="Z666" t="e">
        <f t="shared" si="43"/>
        <v>#N/A</v>
      </c>
    </row>
    <row r="667" spans="22:26" x14ac:dyDescent="0.3">
      <c r="V667">
        <v>2.64</v>
      </c>
      <c r="W667">
        <f t="shared" si="40"/>
        <v>1.2231526351277971E-2</v>
      </c>
      <c r="X667" t="e">
        <f t="shared" si="41"/>
        <v>#N/A</v>
      </c>
      <c r="Y667" t="e">
        <f t="shared" si="42"/>
        <v>#N/A</v>
      </c>
      <c r="Z667" t="e">
        <f t="shared" si="43"/>
        <v>#N/A</v>
      </c>
    </row>
    <row r="668" spans="22:26" x14ac:dyDescent="0.3">
      <c r="V668">
        <v>2.65</v>
      </c>
      <c r="W668">
        <f t="shared" si="40"/>
        <v>1.1912243607605179E-2</v>
      </c>
      <c r="X668" t="e">
        <f t="shared" si="41"/>
        <v>#N/A</v>
      </c>
      <c r="Y668" t="e">
        <f t="shared" si="42"/>
        <v>#N/A</v>
      </c>
      <c r="Z668" t="e">
        <f t="shared" si="43"/>
        <v>#N/A</v>
      </c>
    </row>
    <row r="669" spans="22:26" x14ac:dyDescent="0.3">
      <c r="V669">
        <v>2.66</v>
      </c>
      <c r="W669">
        <f t="shared" si="40"/>
        <v>1.1600135113702561E-2</v>
      </c>
      <c r="X669" t="e">
        <f t="shared" si="41"/>
        <v>#N/A</v>
      </c>
      <c r="Y669" t="e">
        <f t="shared" si="42"/>
        <v>#N/A</v>
      </c>
      <c r="Z669" t="e">
        <f t="shared" si="43"/>
        <v>#N/A</v>
      </c>
    </row>
    <row r="670" spans="22:26" x14ac:dyDescent="0.3">
      <c r="V670">
        <v>2.67</v>
      </c>
      <c r="W670">
        <f t="shared" si="40"/>
        <v>1.1295074500456135E-2</v>
      </c>
      <c r="X670" t="e">
        <f t="shared" si="41"/>
        <v>#N/A</v>
      </c>
      <c r="Y670" t="e">
        <f t="shared" si="42"/>
        <v>#N/A</v>
      </c>
      <c r="Z670" t="e">
        <f t="shared" si="43"/>
        <v>#N/A</v>
      </c>
    </row>
    <row r="671" spans="22:26" x14ac:dyDescent="0.3">
      <c r="V671">
        <v>2.68</v>
      </c>
      <c r="W671">
        <f t="shared" si="40"/>
        <v>1.0996936629405572E-2</v>
      </c>
      <c r="X671" t="e">
        <f t="shared" si="41"/>
        <v>#N/A</v>
      </c>
      <c r="Y671" t="e">
        <f t="shared" si="42"/>
        <v>#N/A</v>
      </c>
      <c r="Z671" t="e">
        <f t="shared" si="43"/>
        <v>#N/A</v>
      </c>
    </row>
    <row r="672" spans="22:26" x14ac:dyDescent="0.3">
      <c r="V672">
        <v>2.69</v>
      </c>
      <c r="W672">
        <f t="shared" si="40"/>
        <v>1.0705597609772187E-2</v>
      </c>
      <c r="X672" t="e">
        <f t="shared" si="41"/>
        <v>#N/A</v>
      </c>
      <c r="Y672" t="e">
        <f t="shared" si="42"/>
        <v>#N/A</v>
      </c>
      <c r="Z672" t="e">
        <f t="shared" si="43"/>
        <v>#N/A</v>
      </c>
    </row>
    <row r="673" spans="22:26" x14ac:dyDescent="0.3">
      <c r="V673">
        <v>2.7</v>
      </c>
      <c r="W673">
        <f t="shared" si="40"/>
        <v>1.0420934814422592E-2</v>
      </c>
      <c r="X673" t="e">
        <f t="shared" si="41"/>
        <v>#N/A</v>
      </c>
      <c r="Y673" t="e">
        <f t="shared" si="42"/>
        <v>#N/A</v>
      </c>
      <c r="Z673" t="e">
        <f t="shared" si="43"/>
        <v>#N/A</v>
      </c>
    </row>
    <row r="674" spans="22:26" x14ac:dyDescent="0.3">
      <c r="V674">
        <v>2.71</v>
      </c>
      <c r="W674">
        <f t="shared" si="40"/>
        <v>1.0142826894787077E-2</v>
      </c>
      <c r="X674" t="e">
        <f t="shared" si="41"/>
        <v>#N/A</v>
      </c>
      <c r="Y674" t="e">
        <f t="shared" si="42"/>
        <v>#N/A</v>
      </c>
      <c r="Z674" t="e">
        <f t="shared" si="43"/>
        <v>#N/A</v>
      </c>
    </row>
    <row r="675" spans="22:26" x14ac:dyDescent="0.3">
      <c r="V675">
        <v>2.72</v>
      </c>
      <c r="W675">
        <f t="shared" si="40"/>
        <v>9.8711537947511301E-3</v>
      </c>
      <c r="X675" t="e">
        <f t="shared" si="41"/>
        <v>#N/A</v>
      </c>
      <c r="Y675" t="e">
        <f t="shared" si="42"/>
        <v>#N/A</v>
      </c>
      <c r="Z675" t="e">
        <f t="shared" si="43"/>
        <v>#N/A</v>
      </c>
    </row>
    <row r="676" spans="22:26" x14ac:dyDescent="0.3">
      <c r="V676">
        <v>2.73</v>
      </c>
      <c r="W676">
        <f t="shared" si="40"/>
        <v>9.6057967635395872E-3</v>
      </c>
      <c r="X676" t="e">
        <f t="shared" si="41"/>
        <v>#N/A</v>
      </c>
      <c r="Y676" t="e">
        <f t="shared" si="42"/>
        <v>#N/A</v>
      </c>
      <c r="Z676" t="e">
        <f t="shared" si="43"/>
        <v>#N/A</v>
      </c>
    </row>
    <row r="677" spans="22:26" x14ac:dyDescent="0.3">
      <c r="V677">
        <v>2.74</v>
      </c>
      <c r="W677">
        <f t="shared" si="40"/>
        <v>9.3466383676122835E-3</v>
      </c>
      <c r="X677" t="e">
        <f t="shared" si="41"/>
        <v>#N/A</v>
      </c>
      <c r="Y677" t="e">
        <f t="shared" si="42"/>
        <v>#N/A</v>
      </c>
      <c r="Z677" t="e">
        <f t="shared" si="43"/>
        <v>#N/A</v>
      </c>
    </row>
    <row r="678" spans="22:26" x14ac:dyDescent="0.3">
      <c r="V678">
        <v>2.75</v>
      </c>
      <c r="W678">
        <f t="shared" si="40"/>
        <v>9.0935625015910529E-3</v>
      </c>
      <c r="X678" t="e">
        <f t="shared" si="41"/>
        <v>#N/A</v>
      </c>
      <c r="Y678" t="e">
        <f t="shared" si="42"/>
        <v>#N/A</v>
      </c>
      <c r="Z678" t="e">
        <f t="shared" si="43"/>
        <v>#N/A</v>
      </c>
    </row>
    <row r="679" spans="22:26" x14ac:dyDescent="0.3">
      <c r="V679">
        <v>2.76</v>
      </c>
      <c r="W679">
        <f t="shared" si="40"/>
        <v>8.8464543982372315E-3</v>
      </c>
      <c r="X679" t="e">
        <f t="shared" si="41"/>
        <v>#N/A</v>
      </c>
      <c r="Y679" t="e">
        <f t="shared" si="42"/>
        <v>#N/A</v>
      </c>
      <c r="Z679" t="e">
        <f t="shared" si="43"/>
        <v>#N/A</v>
      </c>
    </row>
    <row r="680" spans="22:26" x14ac:dyDescent="0.3">
      <c r="V680">
        <v>2.77</v>
      </c>
      <c r="W680">
        <f t="shared" si="40"/>
        <v>8.6052006374996715E-3</v>
      </c>
      <c r="X680" t="e">
        <f t="shared" si="41"/>
        <v>#N/A</v>
      </c>
      <c r="Y680" t="e">
        <f t="shared" si="42"/>
        <v>#N/A</v>
      </c>
      <c r="Z680" t="e">
        <f t="shared" si="43"/>
        <v>#N/A</v>
      </c>
    </row>
    <row r="681" spans="22:26" x14ac:dyDescent="0.3">
      <c r="V681">
        <v>2.78</v>
      </c>
      <c r="W681">
        <f t="shared" si="40"/>
        <v>8.369689154653033E-3</v>
      </c>
      <c r="X681" t="e">
        <f t="shared" si="41"/>
        <v>#N/A</v>
      </c>
      <c r="Y681" t="e">
        <f t="shared" si="42"/>
        <v>#N/A</v>
      </c>
      <c r="Z681" t="e">
        <f t="shared" si="43"/>
        <v>#N/A</v>
      </c>
    </row>
    <row r="682" spans="22:26" x14ac:dyDescent="0.3">
      <c r="V682">
        <v>2.79</v>
      </c>
      <c r="W682">
        <f t="shared" si="40"/>
        <v>8.1398092475460215E-3</v>
      </c>
      <c r="X682" t="e">
        <f t="shared" si="41"/>
        <v>#N/A</v>
      </c>
      <c r="Y682" t="e">
        <f t="shared" si="42"/>
        <v>#N/A</v>
      </c>
      <c r="Z682" t="e">
        <f t="shared" si="43"/>
        <v>#N/A</v>
      </c>
    </row>
    <row r="683" spans="22:26" x14ac:dyDescent="0.3">
      <c r="V683">
        <v>2.8</v>
      </c>
      <c r="W683">
        <f t="shared" si="40"/>
        <v>7.9154515829799686E-3</v>
      </c>
      <c r="X683" t="e">
        <f t="shared" si="41"/>
        <v>#N/A</v>
      </c>
      <c r="Y683" t="e">
        <f t="shared" si="42"/>
        <v>#N/A</v>
      </c>
      <c r="Z683" t="e">
        <f t="shared" si="43"/>
        <v>#N/A</v>
      </c>
    </row>
    <row r="684" spans="22:26" x14ac:dyDescent="0.3">
      <c r="V684">
        <v>2.81</v>
      </c>
      <c r="W684">
        <f t="shared" si="40"/>
        <v>7.6965082022373218E-3</v>
      </c>
      <c r="X684" t="e">
        <f t="shared" si="41"/>
        <v>#N/A</v>
      </c>
      <c r="Y684" t="e">
        <f t="shared" si="42"/>
        <v>#N/A</v>
      </c>
      <c r="Z684" t="e">
        <f t="shared" si="43"/>
        <v>#N/A</v>
      </c>
    </row>
    <row r="685" spans="22:26" x14ac:dyDescent="0.3">
      <c r="V685">
        <v>2.82</v>
      </c>
      <c r="W685">
        <f t="shared" si="40"/>
        <v>7.4828725257805638E-3</v>
      </c>
      <c r="X685" t="e">
        <f t="shared" si="41"/>
        <v>#N/A</v>
      </c>
      <c r="Y685" t="e">
        <f t="shared" si="42"/>
        <v>#N/A</v>
      </c>
      <c r="Z685" t="e">
        <f t="shared" si="43"/>
        <v>#N/A</v>
      </c>
    </row>
    <row r="686" spans="22:26" x14ac:dyDescent="0.3">
      <c r="V686">
        <v>2.83</v>
      </c>
      <c r="W686">
        <f t="shared" si="40"/>
        <v>7.2744393571412182E-3</v>
      </c>
      <c r="X686" t="e">
        <f t="shared" si="41"/>
        <v>#N/A</v>
      </c>
      <c r="Y686" t="e">
        <f t="shared" si="42"/>
        <v>#N/A</v>
      </c>
      <c r="Z686" t="e">
        <f t="shared" si="43"/>
        <v>#N/A</v>
      </c>
    </row>
    <row r="687" spans="22:26" x14ac:dyDescent="0.3">
      <c r="V687">
        <v>2.84</v>
      </c>
      <c r="W687">
        <f t="shared" si="40"/>
        <v>7.0711048860194487E-3</v>
      </c>
      <c r="X687" t="e">
        <f t="shared" si="41"/>
        <v>#N/A</v>
      </c>
      <c r="Y687" t="e">
        <f t="shared" si="42"/>
        <v>#N/A</v>
      </c>
      <c r="Z687" t="e">
        <f t="shared" si="43"/>
        <v>#N/A</v>
      </c>
    </row>
    <row r="688" spans="22:26" x14ac:dyDescent="0.3">
      <c r="V688">
        <v>2.85</v>
      </c>
      <c r="W688">
        <f t="shared" si="40"/>
        <v>6.8727666906139712E-3</v>
      </c>
      <c r="X688" t="e">
        <f t="shared" si="41"/>
        <v>#N/A</v>
      </c>
      <c r="Y688" t="e">
        <f t="shared" si="42"/>
        <v>#N/A</v>
      </c>
      <c r="Z688" t="e">
        <f t="shared" si="43"/>
        <v>#N/A</v>
      </c>
    </row>
    <row r="689" spans="22:26" x14ac:dyDescent="0.3">
      <c r="V689">
        <v>2.86</v>
      </c>
      <c r="W689">
        <f t="shared" si="40"/>
        <v>6.6793237392026202E-3</v>
      </c>
      <c r="X689" t="e">
        <f t="shared" si="41"/>
        <v>#N/A</v>
      </c>
      <c r="Y689" t="e">
        <f t="shared" si="42"/>
        <v>#N/A</v>
      </c>
      <c r="Z689" t="e">
        <f t="shared" si="43"/>
        <v>#N/A</v>
      </c>
    </row>
    <row r="690" spans="22:26" x14ac:dyDescent="0.3">
      <c r="V690">
        <v>2.87</v>
      </c>
      <c r="W690">
        <f t="shared" si="40"/>
        <v>6.4906763909933643E-3</v>
      </c>
      <c r="X690" t="e">
        <f t="shared" si="41"/>
        <v>#N/A</v>
      </c>
      <c r="Y690" t="e">
        <f t="shared" si="42"/>
        <v>#N/A</v>
      </c>
      <c r="Z690" t="e">
        <f t="shared" si="43"/>
        <v>#N/A</v>
      </c>
    </row>
    <row r="691" spans="22:26" x14ac:dyDescent="0.3">
      <c r="V691">
        <v>2.88</v>
      </c>
      <c r="W691">
        <f t="shared" si="40"/>
        <v>6.3067263962659275E-3</v>
      </c>
      <c r="X691" t="e">
        <f t="shared" si="41"/>
        <v>#N/A</v>
      </c>
      <c r="Y691" t="e">
        <f t="shared" si="42"/>
        <v>#N/A</v>
      </c>
      <c r="Z691" t="e">
        <f t="shared" si="43"/>
        <v>#N/A</v>
      </c>
    </row>
    <row r="692" spans="22:26" x14ac:dyDescent="0.3">
      <c r="V692">
        <v>2.89</v>
      </c>
      <c r="W692">
        <f t="shared" si="40"/>
        <v>6.1273768958236873E-3</v>
      </c>
      <c r="X692" t="e">
        <f t="shared" si="41"/>
        <v>#N/A</v>
      </c>
      <c r="Y692" t="e">
        <f t="shared" si="42"/>
        <v>#N/A</v>
      </c>
      <c r="Z692" t="e">
        <f t="shared" si="43"/>
        <v>#N/A</v>
      </c>
    </row>
    <row r="693" spans="22:26" x14ac:dyDescent="0.3">
      <c r="V693">
        <v>2.9</v>
      </c>
      <c r="W693">
        <f t="shared" si="40"/>
        <v>5.9525324197758538E-3</v>
      </c>
      <c r="X693" t="e">
        <f t="shared" si="41"/>
        <v>#N/A</v>
      </c>
      <c r="Y693" t="e">
        <f t="shared" si="42"/>
        <v>#N/A</v>
      </c>
      <c r="Z693" t="e">
        <f t="shared" si="43"/>
        <v>#N/A</v>
      </c>
    </row>
    <row r="694" spans="22:26" x14ac:dyDescent="0.3">
      <c r="V694">
        <v>2.91</v>
      </c>
      <c r="W694">
        <f t="shared" si="40"/>
        <v>5.7820988856694729E-3</v>
      </c>
      <c r="X694" t="e">
        <f t="shared" si="41"/>
        <v>#N/A</v>
      </c>
      <c r="Y694" t="e">
        <f t="shared" si="42"/>
        <v>#N/A</v>
      </c>
      <c r="Z694" t="e">
        <f t="shared" si="43"/>
        <v>#N/A</v>
      </c>
    </row>
    <row r="695" spans="22:26" x14ac:dyDescent="0.3">
      <c r="V695">
        <v>2.92</v>
      </c>
      <c r="W695">
        <f t="shared" si="40"/>
        <v>5.615983595990969E-3</v>
      </c>
      <c r="X695" t="e">
        <f t="shared" si="41"/>
        <v>#N/A</v>
      </c>
      <c r="Y695" t="e">
        <f t="shared" si="42"/>
        <v>#N/A</v>
      </c>
      <c r="Z695" t="e">
        <f t="shared" si="43"/>
        <v>#N/A</v>
      </c>
    </row>
    <row r="696" spans="22:26" x14ac:dyDescent="0.3">
      <c r="V696">
        <v>2.93</v>
      </c>
      <c r="W696">
        <f t="shared" si="40"/>
        <v>5.4540952350565454E-3</v>
      </c>
      <c r="X696" t="e">
        <f t="shared" si="41"/>
        <v>#N/A</v>
      </c>
      <c r="Y696" t="e">
        <f t="shared" si="42"/>
        <v>#N/A</v>
      </c>
      <c r="Z696" t="e">
        <f t="shared" si="43"/>
        <v>#N/A</v>
      </c>
    </row>
    <row r="697" spans="22:26" x14ac:dyDescent="0.3">
      <c r="V697">
        <v>2.94</v>
      </c>
      <c r="W697">
        <f t="shared" si="40"/>
        <v>5.2963438653110201E-3</v>
      </c>
      <c r="X697" t="e">
        <f t="shared" si="41"/>
        <v>#N/A</v>
      </c>
      <c r="Y697" t="e">
        <f t="shared" si="42"/>
        <v>#N/A</v>
      </c>
      <c r="Z697" t="e">
        <f t="shared" si="43"/>
        <v>#N/A</v>
      </c>
    </row>
    <row r="698" spans="22:26" x14ac:dyDescent="0.3">
      <c r="V698">
        <v>2.95</v>
      </c>
      <c r="W698">
        <f t="shared" si="40"/>
        <v>5.1426409230539392E-3</v>
      </c>
      <c r="X698" t="e">
        <f t="shared" si="41"/>
        <v>#N/A</v>
      </c>
      <c r="Y698" t="e">
        <f t="shared" si="42"/>
        <v>#N/A</v>
      </c>
      <c r="Z698" t="e">
        <f t="shared" si="43"/>
        <v>#N/A</v>
      </c>
    </row>
    <row r="699" spans="22:26" x14ac:dyDescent="0.3">
      <c r="V699">
        <v>2.96</v>
      </c>
      <c r="W699">
        <f t="shared" si="40"/>
        <v>4.9928992136123763E-3</v>
      </c>
      <c r="X699" t="e">
        <f t="shared" si="41"/>
        <v>#N/A</v>
      </c>
      <c r="Y699" t="e">
        <f t="shared" si="42"/>
        <v>#N/A</v>
      </c>
      <c r="Z699" t="e">
        <f t="shared" si="43"/>
        <v>#N/A</v>
      </c>
    </row>
    <row r="700" spans="22:26" x14ac:dyDescent="0.3">
      <c r="V700">
        <v>2.97</v>
      </c>
      <c r="W700">
        <f t="shared" si="40"/>
        <v>4.847032905978944E-3</v>
      </c>
      <c r="X700" t="e">
        <f t="shared" si="41"/>
        <v>#N/A</v>
      </c>
      <c r="Y700" t="e">
        <f t="shared" si="42"/>
        <v>#N/A</v>
      </c>
      <c r="Z700" t="e">
        <f t="shared" si="43"/>
        <v>#N/A</v>
      </c>
    </row>
    <row r="701" spans="22:26" x14ac:dyDescent="0.3">
      <c r="V701">
        <v>2.98</v>
      </c>
      <c r="W701">
        <f t="shared" si="40"/>
        <v>4.7049575269339792E-3</v>
      </c>
      <c r="X701" t="e">
        <f t="shared" si="41"/>
        <v>#N/A</v>
      </c>
      <c r="Y701" t="e">
        <f t="shared" si="42"/>
        <v>#N/A</v>
      </c>
      <c r="Z701" t="e">
        <f t="shared" si="43"/>
        <v>#N/A</v>
      </c>
    </row>
    <row r="702" spans="22:26" x14ac:dyDescent="0.3">
      <c r="V702">
        <v>2.99</v>
      </c>
      <c r="W702">
        <f t="shared" si="40"/>
        <v>4.5665899546701444E-3</v>
      </c>
      <c r="X702" t="e">
        <f t="shared" si="41"/>
        <v>#N/A</v>
      </c>
      <c r="Y702" t="e">
        <f t="shared" si="42"/>
        <v>#N/A</v>
      </c>
      <c r="Z702" t="e">
        <f t="shared" si="43"/>
        <v>#N/A</v>
      </c>
    </row>
    <row r="703" spans="22:26" x14ac:dyDescent="0.3">
      <c r="V703">
        <v>3</v>
      </c>
      <c r="W703">
        <f t="shared" si="40"/>
        <v>4.4318484119380075E-3</v>
      </c>
      <c r="X703" t="e">
        <f t="shared" si="41"/>
        <v>#N/A</v>
      </c>
      <c r="Y703" t="e">
        <f t="shared" si="42"/>
        <v>#N/A</v>
      </c>
      <c r="Z703" t="e">
        <f t="shared" si="43"/>
        <v>#N/A</v>
      </c>
    </row>
    <row r="704" spans="22:26" x14ac:dyDescent="0.3">
      <c r="V704">
        <v>3.01</v>
      </c>
      <c r="W704">
        <f t="shared" si="40"/>
        <v>4.3006524587304498E-3</v>
      </c>
      <c r="X704" t="e">
        <f t="shared" si="41"/>
        <v>#N/A</v>
      </c>
      <c r="Y704" t="e">
        <f t="shared" si="42"/>
        <v>#N/A</v>
      </c>
      <c r="Z704" t="e">
        <f t="shared" si="43"/>
        <v>#N/A</v>
      </c>
    </row>
    <row r="705" spans="22:26" x14ac:dyDescent="0.3">
      <c r="V705">
        <v>3.02</v>
      </c>
      <c r="W705">
        <f t="shared" si="40"/>
        <v>4.1729229845239623E-3</v>
      </c>
      <c r="X705" t="e">
        <f t="shared" si="41"/>
        <v>#N/A</v>
      </c>
      <c r="Y705" t="e">
        <f t="shared" si="42"/>
        <v>#N/A</v>
      </c>
      <c r="Z705" t="e">
        <f t="shared" si="43"/>
        <v>#N/A</v>
      </c>
    </row>
    <row r="706" spans="22:26" x14ac:dyDescent="0.3">
      <c r="V706">
        <v>3.03</v>
      </c>
      <c r="W706">
        <f t="shared" si="40"/>
        <v>4.04858220009443E-3</v>
      </c>
      <c r="X706" t="e">
        <f t="shared" si="41"/>
        <v>#N/A</v>
      </c>
      <c r="Y706" t="e">
        <f t="shared" si="42"/>
        <v>#N/A</v>
      </c>
      <c r="Z706" t="e">
        <f t="shared" si="43"/>
        <v>#N/A</v>
      </c>
    </row>
    <row r="707" spans="22:26" x14ac:dyDescent="0.3">
      <c r="V707">
        <v>3.04</v>
      </c>
      <c r="W707">
        <f t="shared" si="40"/>
        <v>3.9275536289247789E-3</v>
      </c>
      <c r="X707" t="e">
        <f t="shared" si="41"/>
        <v>#N/A</v>
      </c>
      <c r="Y707" t="e">
        <f t="shared" si="42"/>
        <v>#N/A</v>
      </c>
      <c r="Z707" t="e">
        <f t="shared" si="43"/>
        <v>#N/A</v>
      </c>
    </row>
    <row r="708" spans="22:26" x14ac:dyDescent="0.3">
      <c r="V708">
        <v>3.05</v>
      </c>
      <c r="W708">
        <f t="shared" ref="W708:W771" si="44">_xlfn.NORM.S.DIST(V708,0)</f>
        <v>3.8097620982218104E-3</v>
      </c>
      <c r="X708" t="e">
        <f t="shared" ref="X708:X771" si="45">IF(V708=$A$2,W708,NA())</f>
        <v>#N/A</v>
      </c>
      <c r="Y708" t="e">
        <f t="shared" ref="Y708:Y771" si="46">IF(V708&lt;=$A$2,W708,NA())</f>
        <v>#N/A</v>
      </c>
      <c r="Z708" t="e">
        <f t="shared" ref="Z708:Z771" si="47">IF(ABS(V708)&lt;=$A$2,W708,NA())</f>
        <v>#N/A</v>
      </c>
    </row>
    <row r="709" spans="22:26" x14ac:dyDescent="0.3">
      <c r="V709">
        <v>3.06</v>
      </c>
      <c r="W709">
        <f t="shared" si="44"/>
        <v>3.6951337295590349E-3</v>
      </c>
      <c r="X709" t="e">
        <f t="shared" si="45"/>
        <v>#N/A</v>
      </c>
      <c r="Y709" t="e">
        <f t="shared" si="46"/>
        <v>#N/A</v>
      </c>
      <c r="Z709" t="e">
        <f t="shared" si="47"/>
        <v>#N/A</v>
      </c>
    </row>
    <row r="710" spans="22:26" x14ac:dyDescent="0.3">
      <c r="V710">
        <v>3.07</v>
      </c>
      <c r="W710">
        <f t="shared" si="44"/>
        <v>3.5835959291623614E-3</v>
      </c>
      <c r="X710" t="e">
        <f t="shared" si="45"/>
        <v>#N/A</v>
      </c>
      <c r="Y710" t="e">
        <f t="shared" si="46"/>
        <v>#N/A</v>
      </c>
      <c r="Z710" t="e">
        <f t="shared" si="47"/>
        <v>#N/A</v>
      </c>
    </row>
    <row r="711" spans="22:26" x14ac:dyDescent="0.3">
      <c r="V711">
        <v>3.08</v>
      </c>
      <c r="W711">
        <f t="shared" si="44"/>
        <v>3.4750773778549375E-3</v>
      </c>
      <c r="X711" t="e">
        <f t="shared" si="45"/>
        <v>#N/A</v>
      </c>
      <c r="Y711" t="e">
        <f t="shared" si="46"/>
        <v>#N/A</v>
      </c>
      <c r="Z711" t="e">
        <f t="shared" si="47"/>
        <v>#N/A</v>
      </c>
    </row>
    <row r="712" spans="22:26" x14ac:dyDescent="0.3">
      <c r="V712">
        <v>3.09</v>
      </c>
      <c r="W712">
        <f t="shared" si="44"/>
        <v>3.3695080206774812E-3</v>
      </c>
      <c r="X712" t="e">
        <f t="shared" si="45"/>
        <v>#N/A</v>
      </c>
      <c r="Y712" t="e">
        <f t="shared" si="46"/>
        <v>#N/A</v>
      </c>
      <c r="Z712" t="e">
        <f t="shared" si="47"/>
        <v>#N/A</v>
      </c>
    </row>
    <row r="713" spans="22:26" x14ac:dyDescent="0.3">
      <c r="V713">
        <v>3.1</v>
      </c>
      <c r="W713">
        <f t="shared" si="44"/>
        <v>3.2668190561999182E-3</v>
      </c>
      <c r="X713" t="e">
        <f t="shared" si="45"/>
        <v>#N/A</v>
      </c>
      <c r="Y713" t="e">
        <f t="shared" si="46"/>
        <v>#N/A</v>
      </c>
      <c r="Z713" t="e">
        <f t="shared" si="47"/>
        <v>#N/A</v>
      </c>
    </row>
    <row r="714" spans="22:26" x14ac:dyDescent="0.3">
      <c r="V714">
        <v>3.11</v>
      </c>
      <c r="W714">
        <f t="shared" si="44"/>
        <v>3.1669429255400811E-3</v>
      </c>
      <c r="X714" t="e">
        <f t="shared" si="45"/>
        <v>#N/A</v>
      </c>
      <c r="Y714" t="e">
        <f t="shared" si="46"/>
        <v>#N/A</v>
      </c>
      <c r="Z714" t="e">
        <f t="shared" si="47"/>
        <v>#N/A</v>
      </c>
    </row>
    <row r="715" spans="22:26" x14ac:dyDescent="0.3">
      <c r="V715">
        <v>3.12</v>
      </c>
      <c r="W715">
        <f t="shared" si="44"/>
        <v>3.0698133011047403E-3</v>
      </c>
      <c r="X715" t="e">
        <f t="shared" si="45"/>
        <v>#N/A</v>
      </c>
      <c r="Y715" t="e">
        <f t="shared" si="46"/>
        <v>#N/A</v>
      </c>
      <c r="Z715" t="e">
        <f t="shared" si="47"/>
        <v>#N/A</v>
      </c>
    </row>
    <row r="716" spans="22:26" x14ac:dyDescent="0.3">
      <c r="V716">
        <v>3.13</v>
      </c>
      <c r="W716">
        <f t="shared" si="44"/>
        <v>2.9753650750682535E-3</v>
      </c>
      <c r="X716" t="e">
        <f t="shared" si="45"/>
        <v>#N/A</v>
      </c>
      <c r="Y716" t="e">
        <f t="shared" si="46"/>
        <v>#N/A</v>
      </c>
      <c r="Z716" t="e">
        <f t="shared" si="47"/>
        <v>#N/A</v>
      </c>
    </row>
    <row r="717" spans="22:26" x14ac:dyDescent="0.3">
      <c r="V717">
        <v>3.14</v>
      </c>
      <c r="W717">
        <f t="shared" si="44"/>
        <v>2.8835343476034392E-3</v>
      </c>
      <c r="X717" t="e">
        <f t="shared" si="45"/>
        <v>#N/A</v>
      </c>
      <c r="Y717" t="e">
        <f t="shared" si="46"/>
        <v>#N/A</v>
      </c>
      <c r="Z717" t="e">
        <f t="shared" si="47"/>
        <v>#N/A</v>
      </c>
    </row>
    <row r="718" spans="22:26" x14ac:dyDescent="0.3">
      <c r="V718">
        <v>3.15</v>
      </c>
      <c r="W718">
        <f t="shared" si="44"/>
        <v>2.7942584148794472E-3</v>
      </c>
      <c r="X718" t="e">
        <f t="shared" si="45"/>
        <v>#N/A</v>
      </c>
      <c r="Y718" t="e">
        <f t="shared" si="46"/>
        <v>#N/A</v>
      </c>
      <c r="Z718" t="e">
        <f t="shared" si="47"/>
        <v>#N/A</v>
      </c>
    </row>
    <row r="719" spans="22:26" x14ac:dyDescent="0.3">
      <c r="V719">
        <v>3.16</v>
      </c>
      <c r="W719">
        <f t="shared" si="44"/>
        <v>2.7074757568406999E-3</v>
      </c>
      <c r="X719" t="e">
        <f t="shared" si="45"/>
        <v>#N/A</v>
      </c>
      <c r="Y719" t="e">
        <f t="shared" si="46"/>
        <v>#N/A</v>
      </c>
      <c r="Z719" t="e">
        <f t="shared" si="47"/>
        <v>#N/A</v>
      </c>
    </row>
    <row r="720" spans="22:26" x14ac:dyDescent="0.3">
      <c r="V720">
        <v>3.17</v>
      </c>
      <c r="W720">
        <f t="shared" si="44"/>
        <v>2.6231260247810244E-3</v>
      </c>
      <c r="X720" t="e">
        <f t="shared" si="45"/>
        <v>#N/A</v>
      </c>
      <c r="Y720" t="e">
        <f t="shared" si="46"/>
        <v>#N/A</v>
      </c>
      <c r="Z720" t="e">
        <f t="shared" si="47"/>
        <v>#N/A</v>
      </c>
    </row>
    <row r="721" spans="22:26" x14ac:dyDescent="0.3">
      <c r="V721">
        <v>3.18</v>
      </c>
      <c r="W721">
        <f t="shared" si="44"/>
        <v>2.5411500287265214E-3</v>
      </c>
      <c r="X721" t="e">
        <f t="shared" si="45"/>
        <v>#N/A</v>
      </c>
      <c r="Y721" t="e">
        <f t="shared" si="46"/>
        <v>#N/A</v>
      </c>
      <c r="Z721" t="e">
        <f t="shared" si="47"/>
        <v>#N/A</v>
      </c>
    </row>
    <row r="722" spans="22:26" x14ac:dyDescent="0.3">
      <c r="V722">
        <v>3.19</v>
      </c>
      <c r="W722">
        <f t="shared" si="44"/>
        <v>2.4614897246407006E-3</v>
      </c>
      <c r="X722" t="e">
        <f t="shared" si="45"/>
        <v>#N/A</v>
      </c>
      <c r="Y722" t="e">
        <f t="shared" si="46"/>
        <v>#N/A</v>
      </c>
      <c r="Z722" t="e">
        <f t="shared" si="47"/>
        <v>#N/A</v>
      </c>
    </row>
    <row r="723" spans="22:26" x14ac:dyDescent="0.3">
      <c r="V723">
        <v>3.2</v>
      </c>
      <c r="W723">
        <f t="shared" si="44"/>
        <v>2.3840882014648404E-3</v>
      </c>
      <c r="X723" t="e">
        <f t="shared" si="45"/>
        <v>#N/A</v>
      </c>
      <c r="Y723" t="e">
        <f t="shared" si="46"/>
        <v>#N/A</v>
      </c>
      <c r="Z723" t="e">
        <f t="shared" si="47"/>
        <v>#N/A</v>
      </c>
    </row>
    <row r="724" spans="22:26" x14ac:dyDescent="0.3">
      <c r="V724">
        <v>3.21</v>
      </c>
      <c r="W724">
        <f t="shared" si="44"/>
        <v>2.3088896680064958E-3</v>
      </c>
      <c r="X724" t="e">
        <f t="shared" si="45"/>
        <v>#N/A</v>
      </c>
      <c r="Y724" t="e">
        <f t="shared" si="46"/>
        <v>#N/A</v>
      </c>
      <c r="Z724" t="e">
        <f t="shared" si="47"/>
        <v>#N/A</v>
      </c>
    </row>
    <row r="725" spans="22:26" x14ac:dyDescent="0.3">
      <c r="V725">
        <v>3.22</v>
      </c>
      <c r="W725">
        <f t="shared" si="44"/>
        <v>2.2358394396885385E-3</v>
      </c>
      <c r="X725" t="e">
        <f t="shared" si="45"/>
        <v>#N/A</v>
      </c>
      <c r="Y725" t="e">
        <f t="shared" si="46"/>
        <v>#N/A</v>
      </c>
      <c r="Z725" t="e">
        <f t="shared" si="47"/>
        <v>#N/A</v>
      </c>
    </row>
    <row r="726" spans="22:26" x14ac:dyDescent="0.3">
      <c r="V726">
        <v>3.23</v>
      </c>
      <c r="W726">
        <f t="shared" si="44"/>
        <v>2.164883925171062E-3</v>
      </c>
      <c r="X726" t="e">
        <f t="shared" si="45"/>
        <v>#N/A</v>
      </c>
      <c r="Y726" t="e">
        <f t="shared" si="46"/>
        <v>#N/A</v>
      </c>
      <c r="Z726" t="e">
        <f t="shared" si="47"/>
        <v>#N/A</v>
      </c>
    </row>
    <row r="727" spans="22:26" x14ac:dyDescent="0.3">
      <c r="V727">
        <v>3.24</v>
      </c>
      <c r="W727">
        <f t="shared" si="44"/>
        <v>2.0959706128579419E-3</v>
      </c>
      <c r="X727" t="e">
        <f t="shared" si="45"/>
        <v>#N/A</v>
      </c>
      <c r="Y727" t="e">
        <f t="shared" si="46"/>
        <v>#N/A</v>
      </c>
      <c r="Z727" t="e">
        <f t="shared" si="47"/>
        <v>#N/A</v>
      </c>
    </row>
    <row r="728" spans="22:26" x14ac:dyDescent="0.3">
      <c r="V728">
        <v>3.25</v>
      </c>
      <c r="W728">
        <f t="shared" si="44"/>
        <v>2.0290480572997681E-3</v>
      </c>
      <c r="X728" t="e">
        <f t="shared" si="45"/>
        <v>#N/A</v>
      </c>
      <c r="Y728" t="e">
        <f t="shared" si="46"/>
        <v>#N/A</v>
      </c>
      <c r="Z728" t="e">
        <f t="shared" si="47"/>
        <v>#N/A</v>
      </c>
    </row>
    <row r="729" spans="22:26" x14ac:dyDescent="0.3">
      <c r="V729">
        <v>3.26</v>
      </c>
      <c r="W729">
        <f t="shared" si="44"/>
        <v>1.9640658655043761E-3</v>
      </c>
      <c r="X729" t="e">
        <f t="shared" si="45"/>
        <v>#N/A</v>
      </c>
      <c r="Y729" t="e">
        <f t="shared" si="46"/>
        <v>#N/A</v>
      </c>
      <c r="Z729" t="e">
        <f t="shared" si="47"/>
        <v>#N/A</v>
      </c>
    </row>
    <row r="730" spans="22:26" x14ac:dyDescent="0.3">
      <c r="V730">
        <v>3.27</v>
      </c>
      <c r="W730">
        <f t="shared" si="44"/>
        <v>1.9009746831660803E-3</v>
      </c>
      <c r="X730" t="e">
        <f t="shared" si="45"/>
        <v>#N/A</v>
      </c>
      <c r="Y730" t="e">
        <f t="shared" si="46"/>
        <v>#N/A</v>
      </c>
      <c r="Z730" t="e">
        <f t="shared" si="47"/>
        <v>#N/A</v>
      </c>
    </row>
    <row r="731" spans="22:26" x14ac:dyDescent="0.3">
      <c r="V731">
        <v>3.28</v>
      </c>
      <c r="W731">
        <f t="shared" si="44"/>
        <v>1.839726180824281E-3</v>
      </c>
      <c r="X731" t="e">
        <f t="shared" si="45"/>
        <v>#N/A</v>
      </c>
      <c r="Y731" t="e">
        <f t="shared" si="46"/>
        <v>#N/A</v>
      </c>
      <c r="Z731" t="e">
        <f t="shared" si="47"/>
        <v>#N/A</v>
      </c>
    </row>
    <row r="732" spans="22:26" x14ac:dyDescent="0.3">
      <c r="V732">
        <v>3.29</v>
      </c>
      <c r="W732">
        <f t="shared" si="44"/>
        <v>1.7802730399618786E-3</v>
      </c>
      <c r="X732" t="e">
        <f t="shared" si="45"/>
        <v>#N/A</v>
      </c>
      <c r="Y732" t="e">
        <f t="shared" si="46"/>
        <v>#N/A</v>
      </c>
      <c r="Z732" t="e">
        <f t="shared" si="47"/>
        <v>#N/A</v>
      </c>
    </row>
    <row r="733" spans="22:26" x14ac:dyDescent="0.3">
      <c r="V733">
        <v>3.3</v>
      </c>
      <c r="W733">
        <f t="shared" si="44"/>
        <v>1.7225689390536812E-3</v>
      </c>
      <c r="X733" t="e">
        <f t="shared" si="45"/>
        <v>#N/A</v>
      </c>
      <c r="Y733" t="e">
        <f t="shared" si="46"/>
        <v>#N/A</v>
      </c>
      <c r="Z733" t="e">
        <f t="shared" si="47"/>
        <v>#N/A</v>
      </c>
    </row>
    <row r="734" spans="22:26" x14ac:dyDescent="0.3">
      <c r="V734">
        <v>3.31</v>
      </c>
      <c r="W734">
        <f t="shared" si="44"/>
        <v>1.6665685395745797E-3</v>
      </c>
      <c r="X734" t="e">
        <f t="shared" si="45"/>
        <v>#N/A</v>
      </c>
      <c r="Y734" t="e">
        <f t="shared" si="46"/>
        <v>#N/A</v>
      </c>
      <c r="Z734" t="e">
        <f t="shared" si="47"/>
        <v>#N/A</v>
      </c>
    </row>
    <row r="735" spans="22:26" x14ac:dyDescent="0.3">
      <c r="V735">
        <v>3.32</v>
      </c>
      <c r="W735">
        <f t="shared" si="44"/>
        <v>1.6122274719771244E-3</v>
      </c>
      <c r="X735" t="e">
        <f t="shared" si="45"/>
        <v>#N/A</v>
      </c>
      <c r="Y735" t="e">
        <f t="shared" si="46"/>
        <v>#N/A</v>
      </c>
      <c r="Z735" t="e">
        <f t="shared" si="47"/>
        <v>#N/A</v>
      </c>
    </row>
    <row r="736" spans="22:26" x14ac:dyDescent="0.3">
      <c r="V736">
        <v>3.33</v>
      </c>
      <c r="W736">
        <f t="shared" si="44"/>
        <v>1.5595023216476915E-3</v>
      </c>
      <c r="X736" t="e">
        <f t="shared" si="45"/>
        <v>#N/A</v>
      </c>
      <c r="Y736" t="e">
        <f t="shared" si="46"/>
        <v>#N/A</v>
      </c>
      <c r="Z736" t="e">
        <f t="shared" si="47"/>
        <v>#N/A</v>
      </c>
    </row>
    <row r="737" spans="22:26" x14ac:dyDescent="0.3">
      <c r="V737">
        <v>3.34</v>
      </c>
      <c r="W737">
        <f t="shared" si="44"/>
        <v>1.5083506148503073E-3</v>
      </c>
      <c r="X737" t="e">
        <f t="shared" si="45"/>
        <v>#N/A</v>
      </c>
      <c r="Y737" t="e">
        <f t="shared" si="46"/>
        <v>#N/A</v>
      </c>
      <c r="Z737" t="e">
        <f t="shared" si="47"/>
        <v>#N/A</v>
      </c>
    </row>
    <row r="738" spans="22:26" x14ac:dyDescent="0.3">
      <c r="V738">
        <v>3.35</v>
      </c>
      <c r="W738">
        <f t="shared" si="44"/>
        <v>1.4587308046667459E-3</v>
      </c>
      <c r="X738" t="e">
        <f t="shared" si="45"/>
        <v>#N/A</v>
      </c>
      <c r="Y738" t="e">
        <f t="shared" si="46"/>
        <v>#N/A</v>
      </c>
      <c r="Z738" t="e">
        <f t="shared" si="47"/>
        <v>#N/A</v>
      </c>
    </row>
    <row r="739" spans="22:26" x14ac:dyDescent="0.3">
      <c r="V739">
        <v>3.36</v>
      </c>
      <c r="W739">
        <f t="shared" si="44"/>
        <v>1.4106022569413848E-3</v>
      </c>
      <c r="X739" t="e">
        <f t="shared" si="45"/>
        <v>#N/A</v>
      </c>
      <c r="Y739" t="e">
        <f t="shared" si="46"/>
        <v>#N/A</v>
      </c>
      <c r="Z739" t="e">
        <f t="shared" si="47"/>
        <v>#N/A</v>
      </c>
    </row>
    <row r="740" spans="22:26" x14ac:dyDescent="0.3">
      <c r="V740">
        <v>3.37</v>
      </c>
      <c r="W740">
        <f t="shared" si="44"/>
        <v>1.3639252362389036E-3</v>
      </c>
      <c r="X740" t="e">
        <f t="shared" si="45"/>
        <v>#N/A</v>
      </c>
      <c r="Y740" t="e">
        <f t="shared" si="46"/>
        <v>#N/A</v>
      </c>
      <c r="Z740" t="e">
        <f t="shared" si="47"/>
        <v>#N/A</v>
      </c>
    </row>
    <row r="741" spans="22:26" x14ac:dyDescent="0.3">
      <c r="V741">
        <v>3.38</v>
      </c>
      <c r="W741">
        <f t="shared" si="44"/>
        <v>1.3186608918227423E-3</v>
      </c>
      <c r="X741" t="e">
        <f t="shared" si="45"/>
        <v>#N/A</v>
      </c>
      <c r="Y741" t="e">
        <f t="shared" si="46"/>
        <v>#N/A</v>
      </c>
      <c r="Z741" t="e">
        <f t="shared" si="47"/>
        <v>#N/A</v>
      </c>
    </row>
    <row r="742" spans="22:26" x14ac:dyDescent="0.3">
      <c r="V742">
        <v>3.39</v>
      </c>
      <c r="W742">
        <f t="shared" si="44"/>
        <v>1.2747712436618327E-3</v>
      </c>
      <c r="X742" t="e">
        <f t="shared" si="45"/>
        <v>#N/A</v>
      </c>
      <c r="Y742" t="e">
        <f t="shared" si="46"/>
        <v>#N/A</v>
      </c>
      <c r="Z742" t="e">
        <f t="shared" si="47"/>
        <v>#N/A</v>
      </c>
    </row>
    <row r="743" spans="22:26" x14ac:dyDescent="0.3">
      <c r="V743">
        <v>3.4</v>
      </c>
      <c r="W743">
        <f t="shared" si="44"/>
        <v>1.2322191684730199E-3</v>
      </c>
      <c r="X743" t="e">
        <f t="shared" si="45"/>
        <v>#N/A</v>
      </c>
      <c r="Y743" t="e">
        <f t="shared" si="46"/>
        <v>#N/A</v>
      </c>
      <c r="Z743" t="e">
        <f t="shared" si="47"/>
        <v>#N/A</v>
      </c>
    </row>
    <row r="744" spans="22:26" x14ac:dyDescent="0.3">
      <c r="V744">
        <v>3.41</v>
      </c>
      <c r="W744">
        <f t="shared" si="44"/>
        <v>1.1909683858061166E-3</v>
      </c>
      <c r="X744" t="e">
        <f t="shared" si="45"/>
        <v>#N/A</v>
      </c>
      <c r="Y744" t="e">
        <f t="shared" si="46"/>
        <v>#N/A</v>
      </c>
      <c r="Z744" t="e">
        <f t="shared" si="47"/>
        <v>#N/A</v>
      </c>
    </row>
    <row r="745" spans="22:26" x14ac:dyDescent="0.3">
      <c r="V745">
        <v>3.42</v>
      </c>
      <c r="W745">
        <f t="shared" si="44"/>
        <v>1.1509834441784845E-3</v>
      </c>
      <c r="X745" t="e">
        <f t="shared" si="45"/>
        <v>#N/A</v>
      </c>
      <c r="Y745" t="e">
        <f t="shared" si="46"/>
        <v>#N/A</v>
      </c>
      <c r="Z745" t="e">
        <f t="shared" si="47"/>
        <v>#N/A</v>
      </c>
    </row>
    <row r="746" spans="22:26" x14ac:dyDescent="0.3">
      <c r="V746">
        <v>3.43</v>
      </c>
      <c r="W746">
        <f t="shared" si="44"/>
        <v>1.1122297072655649E-3</v>
      </c>
      <c r="X746" t="e">
        <f t="shared" si="45"/>
        <v>#N/A</v>
      </c>
      <c r="Y746" t="e">
        <f t="shared" si="46"/>
        <v>#N/A</v>
      </c>
      <c r="Z746" t="e">
        <f t="shared" si="47"/>
        <v>#N/A</v>
      </c>
    </row>
    <row r="747" spans="22:26" x14ac:dyDescent="0.3">
      <c r="V747">
        <v>3.44</v>
      </c>
      <c r="W747">
        <f t="shared" si="44"/>
        <v>1.0746733401537356E-3</v>
      </c>
      <c r="X747" t="e">
        <f t="shared" si="45"/>
        <v>#N/A</v>
      </c>
      <c r="Y747" t="e">
        <f t="shared" si="46"/>
        <v>#N/A</v>
      </c>
      <c r="Z747" t="e">
        <f t="shared" si="47"/>
        <v>#N/A</v>
      </c>
    </row>
    <row r="748" spans="22:26" x14ac:dyDescent="0.3">
      <c r="V748">
        <v>3.45</v>
      </c>
      <c r="W748">
        <f t="shared" si="44"/>
        <v>1.0382812956614103E-3</v>
      </c>
      <c r="X748" t="e">
        <f t="shared" si="45"/>
        <v>#N/A</v>
      </c>
      <c r="Y748" t="e">
        <f t="shared" si="46"/>
        <v>#N/A</v>
      </c>
      <c r="Z748" t="e">
        <f t="shared" si="47"/>
        <v>#N/A</v>
      </c>
    </row>
    <row r="749" spans="22:26" x14ac:dyDescent="0.3">
      <c r="V749">
        <v>3.46</v>
      </c>
      <c r="W749">
        <f t="shared" si="44"/>
        <v>1.0030213007342376E-3</v>
      </c>
      <c r="X749" t="e">
        <f t="shared" si="45"/>
        <v>#N/A</v>
      </c>
      <c r="Y749" t="e">
        <f t="shared" si="46"/>
        <v>#N/A</v>
      </c>
      <c r="Z749" t="e">
        <f t="shared" si="47"/>
        <v>#N/A</v>
      </c>
    </row>
    <row r="750" spans="22:26" x14ac:dyDescent="0.3">
      <c r="V750">
        <v>3.47</v>
      </c>
      <c r="W750">
        <f t="shared" si="44"/>
        <v>9.6886184291984591E-4</v>
      </c>
      <c r="X750" t="e">
        <f t="shared" si="45"/>
        <v>#N/A</v>
      </c>
      <c r="Y750" t="e">
        <f t="shared" si="46"/>
        <v>#N/A</v>
      </c>
      <c r="Z750" t="e">
        <f t="shared" si="47"/>
        <v>#N/A</v>
      </c>
    </row>
    <row r="751" spans="22:26" x14ac:dyDescent="0.3">
      <c r="V751">
        <v>3.48</v>
      </c>
      <c r="W751">
        <f t="shared" si="44"/>
        <v>9.3577215692747977E-4</v>
      </c>
      <c r="X751" t="e">
        <f t="shared" si="45"/>
        <v>#N/A</v>
      </c>
      <c r="Y751" t="e">
        <f t="shared" si="46"/>
        <v>#N/A</v>
      </c>
      <c r="Z751" t="e">
        <f t="shared" si="47"/>
        <v>#N/A</v>
      </c>
    </row>
    <row r="752" spans="22:26" x14ac:dyDescent="0.3">
      <c r="V752">
        <v>3.49</v>
      </c>
      <c r="W752">
        <f t="shared" si="44"/>
        <v>9.0372221127752448E-4</v>
      </c>
      <c r="X752" t="e">
        <f t="shared" si="45"/>
        <v>#N/A</v>
      </c>
      <c r="Y752" t="e">
        <f t="shared" si="46"/>
        <v>#N/A</v>
      </c>
      <c r="Z752" t="e">
        <f t="shared" si="47"/>
        <v>#N/A</v>
      </c>
    </row>
    <row r="753" spans="22:26" x14ac:dyDescent="0.3">
      <c r="V753">
        <v>3.5</v>
      </c>
      <c r="W753">
        <f t="shared" si="44"/>
        <v>8.7268269504576015E-4</v>
      </c>
      <c r="X753" t="e">
        <f t="shared" si="45"/>
        <v>#N/A</v>
      </c>
      <c r="Y753" t="e">
        <f t="shared" si="46"/>
        <v>#N/A</v>
      </c>
      <c r="Z753" t="e">
        <f t="shared" si="47"/>
        <v>#N/A</v>
      </c>
    </row>
    <row r="754" spans="22:26" x14ac:dyDescent="0.3">
      <c r="V754">
        <v>3.51</v>
      </c>
      <c r="W754">
        <f t="shared" si="44"/>
        <v>8.4262500470690268E-4</v>
      </c>
      <c r="X754" t="e">
        <f t="shared" si="45"/>
        <v>#N/A</v>
      </c>
      <c r="Y754" t="e">
        <f t="shared" si="46"/>
        <v>#N/A</v>
      </c>
      <c r="Z754" t="e">
        <f t="shared" si="47"/>
        <v>#N/A</v>
      </c>
    </row>
    <row r="755" spans="22:26" x14ac:dyDescent="0.3">
      <c r="V755">
        <v>3.52</v>
      </c>
      <c r="W755">
        <f t="shared" si="44"/>
        <v>8.1352123108180841E-4</v>
      </c>
      <c r="X755" t="e">
        <f t="shared" si="45"/>
        <v>#N/A</v>
      </c>
      <c r="Y755" t="e">
        <f t="shared" si="46"/>
        <v>#N/A</v>
      </c>
      <c r="Z755" t="e">
        <f t="shared" si="47"/>
        <v>#N/A</v>
      </c>
    </row>
    <row r="756" spans="22:26" x14ac:dyDescent="0.3">
      <c r="V756">
        <v>3.53</v>
      </c>
      <c r="W756">
        <f t="shared" si="44"/>
        <v>7.8534414639246997E-4</v>
      </c>
      <c r="X756" t="e">
        <f t="shared" si="45"/>
        <v>#N/A</v>
      </c>
      <c r="Y756" t="e">
        <f t="shared" si="46"/>
        <v>#N/A</v>
      </c>
      <c r="Z756" t="e">
        <f t="shared" si="47"/>
        <v>#N/A</v>
      </c>
    </row>
    <row r="757" spans="22:26" x14ac:dyDescent="0.3">
      <c r="V757">
        <v>3.54</v>
      </c>
      <c r="W757">
        <f t="shared" si="44"/>
        <v>7.580671914287103E-4</v>
      </c>
      <c r="X757" t="e">
        <f t="shared" si="45"/>
        <v>#N/A</v>
      </c>
      <c r="Y757" t="e">
        <f t="shared" si="46"/>
        <v>#N/A</v>
      </c>
      <c r="Z757" t="e">
        <f t="shared" si="47"/>
        <v>#N/A</v>
      </c>
    </row>
    <row r="758" spans="22:26" x14ac:dyDescent="0.3">
      <c r="V758">
        <v>3.55</v>
      </c>
      <c r="W758">
        <f t="shared" si="44"/>
        <v>7.3166446283031089E-4</v>
      </c>
      <c r="X758" t="e">
        <f t="shared" si="45"/>
        <v>#N/A</v>
      </c>
      <c r="Y758" t="e">
        <f t="shared" si="46"/>
        <v>#N/A</v>
      </c>
      <c r="Z758" t="e">
        <f t="shared" si="47"/>
        <v>#N/A</v>
      </c>
    </row>
    <row r="759" spans="22:26" x14ac:dyDescent="0.3">
      <c r="V759">
        <v>3.56</v>
      </c>
      <c r="W759">
        <f t="shared" si="44"/>
        <v>7.061107004880362E-4</v>
      </c>
      <c r="X759" t="e">
        <f t="shared" si="45"/>
        <v>#N/A</v>
      </c>
      <c r="Y759" t="e">
        <f t="shared" si="46"/>
        <v>#N/A</v>
      </c>
      <c r="Z759" t="e">
        <f t="shared" si="47"/>
        <v>#N/A</v>
      </c>
    </row>
    <row r="760" spans="22:26" x14ac:dyDescent="0.3">
      <c r="V760">
        <v>3.57</v>
      </c>
      <c r="W760">
        <f t="shared" si="44"/>
        <v>6.8138127506689212E-4</v>
      </c>
      <c r="X760" t="e">
        <f t="shared" si="45"/>
        <v>#N/A</v>
      </c>
      <c r="Y760" t="e">
        <f t="shared" si="46"/>
        <v>#N/A</v>
      </c>
      <c r="Z760" t="e">
        <f t="shared" si="47"/>
        <v>#N/A</v>
      </c>
    </row>
    <row r="761" spans="22:26" x14ac:dyDescent="0.3">
      <c r="V761">
        <v>3.58</v>
      </c>
      <c r="W761">
        <f t="shared" si="44"/>
        <v>6.5745217565467645E-4</v>
      </c>
      <c r="X761" t="e">
        <f t="shared" si="45"/>
        <v>#N/A</v>
      </c>
      <c r="Y761" t="e">
        <f t="shared" si="46"/>
        <v>#N/A</v>
      </c>
      <c r="Z761" t="e">
        <f t="shared" si="47"/>
        <v>#N/A</v>
      </c>
    </row>
    <row r="762" spans="22:26" x14ac:dyDescent="0.3">
      <c r="V762">
        <v>3.59</v>
      </c>
      <c r="W762">
        <f t="shared" si="44"/>
        <v>6.342999975387576E-4</v>
      </c>
      <c r="X762" t="e">
        <f t="shared" si="45"/>
        <v>#N/A</v>
      </c>
      <c r="Y762" t="e">
        <f t="shared" si="46"/>
        <v>#N/A</v>
      </c>
      <c r="Z762" t="e">
        <f t="shared" si="47"/>
        <v>#N/A</v>
      </c>
    </row>
    <row r="763" spans="22:26" x14ac:dyDescent="0.3">
      <c r="V763">
        <v>3.6</v>
      </c>
      <c r="W763">
        <f t="shared" si="44"/>
        <v>6.119019301137719E-4</v>
      </c>
      <c r="X763" t="e">
        <f t="shared" si="45"/>
        <v>#N/A</v>
      </c>
      <c r="Y763" t="e">
        <f t="shared" si="46"/>
        <v>#N/A</v>
      </c>
      <c r="Z763" t="e">
        <f t="shared" si="47"/>
        <v>#N/A</v>
      </c>
    </row>
    <row r="764" spans="22:26" x14ac:dyDescent="0.3">
      <c r="V764">
        <v>3.61</v>
      </c>
      <c r="W764">
        <f t="shared" si="44"/>
        <v>5.9023574492278561E-4</v>
      </c>
      <c r="X764" t="e">
        <f t="shared" si="45"/>
        <v>#N/A</v>
      </c>
      <c r="Y764" t="e">
        <f t="shared" si="46"/>
        <v>#N/A</v>
      </c>
      <c r="Z764" t="e">
        <f t="shared" si="47"/>
        <v>#N/A</v>
      </c>
    </row>
    <row r="765" spans="22:26" x14ac:dyDescent="0.3">
      <c r="V765">
        <v>3.62</v>
      </c>
      <c r="W765">
        <f t="shared" si="44"/>
        <v>5.6927978383425261E-4</v>
      </c>
      <c r="X765" t="e">
        <f t="shared" si="45"/>
        <v>#N/A</v>
      </c>
      <c r="Y765" t="e">
        <f t="shared" si="46"/>
        <v>#N/A</v>
      </c>
      <c r="Z765" t="e">
        <f t="shared" si="47"/>
        <v>#N/A</v>
      </c>
    </row>
    <row r="766" spans="22:26" x14ac:dyDescent="0.3">
      <c r="V766">
        <v>3.63</v>
      </c>
      <c r="W766">
        <f t="shared" si="44"/>
        <v>5.490129473569587E-4</v>
      </c>
      <c r="X766" t="e">
        <f t="shared" si="45"/>
        <v>#N/A</v>
      </c>
      <c r="Y766" t="e">
        <f t="shared" si="46"/>
        <v>#N/A</v>
      </c>
      <c r="Z766" t="e">
        <f t="shared" si="47"/>
        <v>#N/A</v>
      </c>
    </row>
    <row r="767" spans="22:26" x14ac:dyDescent="0.3">
      <c r="V767">
        <v>3.64</v>
      </c>
      <c r="W767">
        <f t="shared" si="44"/>
        <v>5.2941468309493475E-4</v>
      </c>
      <c r="X767" t="e">
        <f t="shared" si="45"/>
        <v>#N/A</v>
      </c>
      <c r="Y767" t="e">
        <f t="shared" si="46"/>
        <v>#N/A</v>
      </c>
      <c r="Z767" t="e">
        <f t="shared" si="47"/>
        <v>#N/A</v>
      </c>
    </row>
    <row r="768" spans="22:26" x14ac:dyDescent="0.3">
      <c r="V768">
        <v>3.65</v>
      </c>
      <c r="W768">
        <f t="shared" si="44"/>
        <v>5.104649743441856E-4</v>
      </c>
      <c r="X768" t="e">
        <f t="shared" si="45"/>
        <v>#N/A</v>
      </c>
      <c r="Y768" t="e">
        <f t="shared" si="46"/>
        <v>#N/A</v>
      </c>
      <c r="Z768" t="e">
        <f t="shared" si="47"/>
        <v>#N/A</v>
      </c>
    </row>
    <row r="769" spans="22:26" x14ac:dyDescent="0.3">
      <c r="V769">
        <v>3.66</v>
      </c>
      <c r="W769">
        <f t="shared" si="44"/>
        <v>4.9214432883289312E-4</v>
      </c>
      <c r="X769" t="e">
        <f t="shared" si="45"/>
        <v>#N/A</v>
      </c>
      <c r="Y769" t="e">
        <f t="shared" si="46"/>
        <v>#N/A</v>
      </c>
      <c r="Z769" t="e">
        <f t="shared" si="47"/>
        <v>#N/A</v>
      </c>
    </row>
    <row r="770" spans="22:26" x14ac:dyDescent="0.3">
      <c r="V770">
        <v>3.67</v>
      </c>
      <c r="W770">
        <f t="shared" si="44"/>
        <v>4.7443376760662064E-4</v>
      </c>
      <c r="X770" t="e">
        <f t="shared" si="45"/>
        <v>#N/A</v>
      </c>
      <c r="Y770" t="e">
        <f t="shared" si="46"/>
        <v>#N/A</v>
      </c>
      <c r="Z770" t="e">
        <f t="shared" si="47"/>
        <v>#N/A</v>
      </c>
    </row>
    <row r="771" spans="22:26" x14ac:dyDescent="0.3">
      <c r="V771">
        <v>3.68</v>
      </c>
      <c r="W771">
        <f t="shared" si="44"/>
        <v>4.5731481405985675E-4</v>
      </c>
      <c r="X771" t="e">
        <f t="shared" si="45"/>
        <v>#N/A</v>
      </c>
      <c r="Y771" t="e">
        <f t="shared" si="46"/>
        <v>#N/A</v>
      </c>
      <c r="Z771" t="e">
        <f t="shared" si="47"/>
        <v>#N/A</v>
      </c>
    </row>
    <row r="772" spans="22:26" x14ac:dyDescent="0.3">
      <c r="V772">
        <v>3.69</v>
      </c>
      <c r="W772">
        <f t="shared" ref="W772:W803" si="48">_xlfn.NORM.S.DIST(V772,0)</f>
        <v>4.4076948311513252E-4</v>
      </c>
      <c r="X772" t="e">
        <f t="shared" ref="X772:X803" si="49">IF(V772=$A$2,W772,NA())</f>
        <v>#N/A</v>
      </c>
      <c r="Y772" t="e">
        <f t="shared" ref="Y772:Y803" si="50">IF(V772&lt;=$A$2,W772,NA())</f>
        <v>#N/A</v>
      </c>
      <c r="Z772" t="e">
        <f t="shared" ref="Z772:Z803" si="51">IF(ABS(V772)&lt;=$A$2,W772,NA())</f>
        <v>#N/A</v>
      </c>
    </row>
    <row r="773" spans="22:26" x14ac:dyDescent="0.3">
      <c r="V773">
        <v>3.7</v>
      </c>
      <c r="W773">
        <f t="shared" si="48"/>
        <v>4.2478027055075143E-4</v>
      </c>
      <c r="X773" t="e">
        <f t="shared" si="49"/>
        <v>#N/A</v>
      </c>
      <c r="Y773" t="e">
        <f t="shared" si="50"/>
        <v>#N/A</v>
      </c>
      <c r="Z773" t="e">
        <f t="shared" si="51"/>
        <v>#N/A</v>
      </c>
    </row>
    <row r="774" spans="22:26" x14ac:dyDescent="0.3">
      <c r="V774">
        <v>3.71</v>
      </c>
      <c r="W774">
        <f t="shared" si="48"/>
        <v>4.0933014247807883E-4</v>
      </c>
      <c r="X774" t="e">
        <f t="shared" si="49"/>
        <v>#N/A</v>
      </c>
      <c r="Y774" t="e">
        <f t="shared" si="50"/>
        <v>#N/A</v>
      </c>
      <c r="Z774" t="e">
        <f t="shared" si="51"/>
        <v>#N/A</v>
      </c>
    </row>
    <row r="775" spans="22:26" x14ac:dyDescent="0.3">
      <c r="V775">
        <v>3.72</v>
      </c>
      <c r="W775">
        <f t="shared" si="48"/>
        <v>3.9440252496915622E-4</v>
      </c>
      <c r="X775" t="e">
        <f t="shared" si="49"/>
        <v>#N/A</v>
      </c>
      <c r="Y775" t="e">
        <f t="shared" si="50"/>
        <v>#N/A</v>
      </c>
      <c r="Z775" t="e">
        <f t="shared" si="51"/>
        <v>#N/A</v>
      </c>
    </row>
    <row r="776" spans="22:26" x14ac:dyDescent="0.3">
      <c r="V776">
        <v>3.73</v>
      </c>
      <c r="W776">
        <f t="shared" si="48"/>
        <v>3.7998129383532141E-4</v>
      </c>
      <c r="X776" t="e">
        <f t="shared" si="49"/>
        <v>#N/A</v>
      </c>
      <c r="Y776" t="e">
        <f t="shared" si="50"/>
        <v>#N/A</v>
      </c>
      <c r="Z776" t="e">
        <f t="shared" si="51"/>
        <v>#N/A</v>
      </c>
    </row>
    <row r="777" spans="22:26" x14ac:dyDescent="0.3">
      <c r="V777">
        <v>3.74</v>
      </c>
      <c r="W777">
        <f t="shared" si="48"/>
        <v>3.6605076455733496E-4</v>
      </c>
      <c r="X777" t="e">
        <f t="shared" si="49"/>
        <v>#N/A</v>
      </c>
      <c r="Y777" t="e">
        <f t="shared" si="50"/>
        <v>#N/A</v>
      </c>
      <c r="Z777" t="e">
        <f t="shared" si="51"/>
        <v>#N/A</v>
      </c>
    </row>
    <row r="778" spans="22:26" x14ac:dyDescent="0.3">
      <c r="V778">
        <v>3.75</v>
      </c>
      <c r="W778">
        <f t="shared" si="48"/>
        <v>3.5259568236744541E-4</v>
      </c>
      <c r="X778" t="e">
        <f t="shared" si="49"/>
        <v>#N/A</v>
      </c>
      <c r="Y778" t="e">
        <f t="shared" si="50"/>
        <v>#N/A</v>
      </c>
      <c r="Z778" t="e">
        <f t="shared" si="51"/>
        <v>#N/A</v>
      </c>
    </row>
    <row r="779" spans="22:26" x14ac:dyDescent="0.3">
      <c r="V779">
        <v>3.76</v>
      </c>
      <c r="W779">
        <f t="shared" si="48"/>
        <v>3.3960121248365478E-4</v>
      </c>
      <c r="X779" t="e">
        <f t="shared" si="49"/>
        <v>#N/A</v>
      </c>
      <c r="Y779" t="e">
        <f t="shared" si="50"/>
        <v>#N/A</v>
      </c>
      <c r="Z779" t="e">
        <f t="shared" si="51"/>
        <v>#N/A</v>
      </c>
    </row>
    <row r="780" spans="22:26" x14ac:dyDescent="0.3">
      <c r="V780">
        <v>3.77</v>
      </c>
      <c r="W780">
        <f t="shared" si="48"/>
        <v>3.2705293049637498E-4</v>
      </c>
      <c r="X780" t="e">
        <f t="shared" si="49"/>
        <v>#N/A</v>
      </c>
      <c r="Y780" t="e">
        <f t="shared" si="50"/>
        <v>#N/A</v>
      </c>
      <c r="Z780" t="e">
        <f t="shared" si="51"/>
        <v>#N/A</v>
      </c>
    </row>
    <row r="781" spans="22:26" x14ac:dyDescent="0.3">
      <c r="V781">
        <v>3.78</v>
      </c>
      <c r="W781">
        <f t="shared" si="48"/>
        <v>3.1493681290752188E-4</v>
      </c>
      <c r="X781" t="e">
        <f t="shared" si="49"/>
        <v>#N/A</v>
      </c>
      <c r="Y781" t="e">
        <f t="shared" si="50"/>
        <v>#N/A</v>
      </c>
      <c r="Z781" t="e">
        <f t="shared" si="51"/>
        <v>#N/A</v>
      </c>
    </row>
    <row r="782" spans="22:26" x14ac:dyDescent="0.3">
      <c r="V782">
        <v>3.79</v>
      </c>
      <c r="W782">
        <f t="shared" si="48"/>
        <v>3.0323922782200417E-4</v>
      </c>
      <c r="X782" t="e">
        <f t="shared" si="49"/>
        <v>#N/A</v>
      </c>
      <c r="Y782" t="e">
        <f t="shared" si="50"/>
        <v>#N/A</v>
      </c>
      <c r="Z782" t="e">
        <f t="shared" si="51"/>
        <v>#N/A</v>
      </c>
    </row>
    <row r="783" spans="22:26" x14ac:dyDescent="0.3">
      <c r="V783">
        <v>3.8</v>
      </c>
      <c r="W783">
        <f t="shared" si="48"/>
        <v>2.9194692579146027E-4</v>
      </c>
      <c r="X783" t="e">
        <f t="shared" si="49"/>
        <v>#N/A</v>
      </c>
      <c r="Y783" t="e">
        <f t="shared" si="50"/>
        <v>#N/A</v>
      </c>
      <c r="Z783" t="e">
        <f t="shared" si="51"/>
        <v>#N/A</v>
      </c>
    </row>
    <row r="784" spans="22:26" x14ac:dyDescent="0.3">
      <c r="V784">
        <v>3.81</v>
      </c>
      <c r="W784">
        <f t="shared" si="48"/>
        <v>2.8104703080998632E-4</v>
      </c>
      <c r="X784" t="e">
        <f t="shared" si="49"/>
        <v>#N/A</v>
      </c>
      <c r="Y784" t="e">
        <f t="shared" si="50"/>
        <v>#N/A</v>
      </c>
      <c r="Z784" t="e">
        <f t="shared" si="51"/>
        <v>#N/A</v>
      </c>
    </row>
    <row r="785" spans="22:26" x14ac:dyDescent="0.3">
      <c r="V785">
        <v>3.82</v>
      </c>
      <c r="W785">
        <f t="shared" si="48"/>
        <v>2.70527031461521E-4</v>
      </c>
      <c r="X785" t="e">
        <f t="shared" si="49"/>
        <v>#N/A</v>
      </c>
      <c r="Y785" t="e">
        <f t="shared" si="50"/>
        <v>#N/A</v>
      </c>
      <c r="Z785" t="e">
        <f t="shared" si="51"/>
        <v>#N/A</v>
      </c>
    </row>
    <row r="786" spans="22:26" x14ac:dyDescent="0.3">
      <c r="V786">
        <v>3.83</v>
      </c>
      <c r="W786">
        <f t="shared" si="48"/>
        <v>2.6037477221844247E-4</v>
      </c>
      <c r="X786" t="e">
        <f t="shared" si="49"/>
        <v>#N/A</v>
      </c>
      <c r="Y786" t="e">
        <f t="shared" si="50"/>
        <v>#N/A</v>
      </c>
      <c r="Z786" t="e">
        <f t="shared" si="51"/>
        <v>#N/A</v>
      </c>
    </row>
    <row r="787" spans="22:26" x14ac:dyDescent="0.3">
      <c r="V787">
        <v>3.84</v>
      </c>
      <c r="W787">
        <f t="shared" si="48"/>
        <v>2.5057844489086075E-4</v>
      </c>
      <c r="X787" t="e">
        <f t="shared" si="49"/>
        <v>#N/A</v>
      </c>
      <c r="Y787" t="e">
        <f t="shared" si="50"/>
        <v>#N/A</v>
      </c>
      <c r="Z787" t="e">
        <f t="shared" si="51"/>
        <v>#N/A</v>
      </c>
    </row>
    <row r="788" spans="22:26" x14ac:dyDescent="0.3">
      <c r="V788">
        <v>3.85</v>
      </c>
      <c r="W788">
        <f t="shared" si="48"/>
        <v>2.4112658022599324E-4</v>
      </c>
      <c r="X788" t="e">
        <f t="shared" si="49"/>
        <v>#N/A</v>
      </c>
      <c r="Y788" t="e">
        <f t="shared" si="50"/>
        <v>#N/A</v>
      </c>
      <c r="Z788" t="e">
        <f t="shared" si="51"/>
        <v>#N/A</v>
      </c>
    </row>
    <row r="789" spans="22:26" x14ac:dyDescent="0.3">
      <c r="V789">
        <v>3.86</v>
      </c>
      <c r="W789">
        <f t="shared" si="48"/>
        <v>2.3200803965694238E-4</v>
      </c>
      <c r="X789" t="e">
        <f t="shared" si="49"/>
        <v>#N/A</v>
      </c>
      <c r="Y789" t="e">
        <f t="shared" si="50"/>
        <v>#N/A</v>
      </c>
      <c r="Z789" t="e">
        <f t="shared" si="51"/>
        <v>#N/A</v>
      </c>
    </row>
    <row r="790" spans="22:26" x14ac:dyDescent="0.3">
      <c r="V790">
        <v>3.87</v>
      </c>
      <c r="W790">
        <f t="shared" si="48"/>
        <v>2.2321200720010206E-4</v>
      </c>
      <c r="X790" t="e">
        <f t="shared" si="49"/>
        <v>#N/A</v>
      </c>
      <c r="Y790" t="e">
        <f t="shared" si="50"/>
        <v>#N/A</v>
      </c>
      <c r="Z790" t="e">
        <f t="shared" si="51"/>
        <v>#N/A</v>
      </c>
    </row>
    <row r="791" spans="22:26" x14ac:dyDescent="0.3">
      <c r="V791">
        <v>3.88</v>
      </c>
      <c r="W791">
        <f t="shared" si="48"/>
        <v>2.1472798150036704E-4</v>
      </c>
      <c r="X791" t="e">
        <f t="shared" si="49"/>
        <v>#N/A</v>
      </c>
      <c r="Y791" t="e">
        <f t="shared" si="50"/>
        <v>#N/A</v>
      </c>
      <c r="Z791" t="e">
        <f t="shared" si="51"/>
        <v>#N/A</v>
      </c>
    </row>
    <row r="792" spans="22:26" x14ac:dyDescent="0.3">
      <c r="V792">
        <v>3.89</v>
      </c>
      <c r="W792">
        <f t="shared" si="48"/>
        <v>2.0654576802322548E-4</v>
      </c>
      <c r="X792" t="e">
        <f t="shared" si="49"/>
        <v>#N/A</v>
      </c>
      <c r="Y792" t="e">
        <f t="shared" si="50"/>
        <v>#N/A</v>
      </c>
      <c r="Z792" t="e">
        <f t="shared" si="51"/>
        <v>#N/A</v>
      </c>
    </row>
    <row r="793" spans="22:26" x14ac:dyDescent="0.3">
      <c r="V793">
        <v>3.9</v>
      </c>
      <c r="W793">
        <f t="shared" si="48"/>
        <v>1.9865547139277272E-4</v>
      </c>
      <c r="X793" t="e">
        <f t="shared" si="49"/>
        <v>#N/A</v>
      </c>
      <c r="Y793" t="e">
        <f t="shared" si="50"/>
        <v>#N/A</v>
      </c>
      <c r="Z793" t="e">
        <f t="shared" si="51"/>
        <v>#N/A</v>
      </c>
    </row>
    <row r="794" spans="22:26" x14ac:dyDescent="0.3">
      <c r="V794">
        <v>3.91</v>
      </c>
      <c r="W794">
        <f t="shared" si="48"/>
        <v>1.9104748787459762E-4</v>
      </c>
      <c r="X794" t="e">
        <f t="shared" si="49"/>
        <v>#N/A</v>
      </c>
      <c r="Y794" t="e">
        <f t="shared" si="50"/>
        <v>#N/A</v>
      </c>
      <c r="Z794" t="e">
        <f t="shared" si="51"/>
        <v>#N/A</v>
      </c>
    </row>
    <row r="795" spans="22:26" x14ac:dyDescent="0.3">
      <c r="V795">
        <v>3.92</v>
      </c>
      <c r="W795">
        <f t="shared" si="48"/>
        <v>1.8371249800245711E-4</v>
      </c>
      <c r="X795" t="e">
        <f t="shared" si="49"/>
        <v>#N/A</v>
      </c>
      <c r="Y795" t="e">
        <f t="shared" si="50"/>
        <v>#N/A</v>
      </c>
      <c r="Z795" t="e">
        <f t="shared" si="51"/>
        <v>#N/A</v>
      </c>
    </row>
    <row r="796" spans="22:26" x14ac:dyDescent="0.3">
      <c r="V796">
        <v>3.93</v>
      </c>
      <c r="W796">
        <f t="shared" si="48"/>
        <v>1.7664145934757092E-4</v>
      </c>
      <c r="X796" t="e">
        <f t="shared" si="49"/>
        <v>#N/A</v>
      </c>
      <c r="Y796" t="e">
        <f t="shared" si="50"/>
        <v>#N/A</v>
      </c>
      <c r="Z796" t="e">
        <f t="shared" si="51"/>
        <v>#N/A</v>
      </c>
    </row>
    <row r="797" spans="22:26" x14ac:dyDescent="0.3">
      <c r="V797">
        <v>3.94</v>
      </c>
      <c r="W797">
        <f t="shared" si="48"/>
        <v>1.6982559942934359E-4</v>
      </c>
      <c r="X797" t="e">
        <f t="shared" si="49"/>
        <v>#N/A</v>
      </c>
      <c r="Y797" t="e">
        <f t="shared" si="50"/>
        <v>#N/A</v>
      </c>
      <c r="Z797" t="e">
        <f t="shared" si="51"/>
        <v>#N/A</v>
      </c>
    </row>
    <row r="798" spans="22:26" x14ac:dyDescent="0.3">
      <c r="V798">
        <v>3.95</v>
      </c>
      <c r="W798">
        <f t="shared" si="48"/>
        <v>1.6325640876624199E-4</v>
      </c>
      <c r="X798" t="e">
        <f t="shared" si="49"/>
        <v>#N/A</v>
      </c>
      <c r="Y798" t="e">
        <f t="shared" si="50"/>
        <v>#N/A</v>
      </c>
      <c r="Z798" t="e">
        <f t="shared" si="51"/>
        <v>#N/A</v>
      </c>
    </row>
    <row r="799" spans="22:26" x14ac:dyDescent="0.3">
      <c r="V799">
        <v>3.96</v>
      </c>
      <c r="W799">
        <f t="shared" si="48"/>
        <v>1.5692563406553226E-4</v>
      </c>
      <c r="X799" t="e">
        <f t="shared" si="49"/>
        <v>#N/A</v>
      </c>
      <c r="Y799" t="e">
        <f t="shared" si="50"/>
        <v>#N/A</v>
      </c>
      <c r="Z799" t="e">
        <f t="shared" si="51"/>
        <v>#N/A</v>
      </c>
    </row>
    <row r="800" spans="22:26" x14ac:dyDescent="0.3">
      <c r="V800">
        <v>3.97</v>
      </c>
      <c r="W800">
        <f t="shared" si="48"/>
        <v>1.508252715505178E-4</v>
      </c>
      <c r="X800" t="e">
        <f t="shared" si="49"/>
        <v>#N/A</v>
      </c>
      <c r="Y800" t="e">
        <f t="shared" si="50"/>
        <v>#N/A</v>
      </c>
      <c r="Z800" t="e">
        <f t="shared" si="51"/>
        <v>#N/A</v>
      </c>
    </row>
    <row r="801" spans="22:26" x14ac:dyDescent="0.3">
      <c r="V801">
        <v>3.98</v>
      </c>
      <c r="W801">
        <f t="shared" si="48"/>
        <v>1.4494756042389106E-4</v>
      </c>
      <c r="X801" t="e">
        <f t="shared" si="49"/>
        <v>#N/A</v>
      </c>
      <c r="Y801" t="e">
        <f t="shared" si="50"/>
        <v>#N/A</v>
      </c>
      <c r="Z801" t="e">
        <f t="shared" si="51"/>
        <v>#N/A</v>
      </c>
    </row>
    <row r="802" spans="22:26" x14ac:dyDescent="0.3">
      <c r="V802">
        <v>3.99</v>
      </c>
      <c r="W802">
        <f t="shared" si="48"/>
        <v>1.3928497646575994E-4</v>
      </c>
      <c r="X802" t="e">
        <f t="shared" si="49"/>
        <v>#N/A</v>
      </c>
      <c r="Y802" t="e">
        <f t="shared" si="50"/>
        <v>#N/A</v>
      </c>
      <c r="Z802" t="e">
        <f t="shared" si="51"/>
        <v>#N/A</v>
      </c>
    </row>
    <row r="803" spans="22:26" x14ac:dyDescent="0.3">
      <c r="V803">
        <v>4</v>
      </c>
      <c r="W803">
        <f t="shared" si="48"/>
        <v>1.3383022576488537E-4</v>
      </c>
      <c r="X803" t="e">
        <f t="shared" si="49"/>
        <v>#N/A</v>
      </c>
      <c r="Y803" t="e">
        <f t="shared" si="50"/>
        <v>#N/A</v>
      </c>
      <c r="Z803" t="e">
        <f t="shared" si="51"/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03"/>
  <sheetViews>
    <sheetView workbookViewId="0">
      <selection activeCell="C2" sqref="C2"/>
    </sheetView>
  </sheetViews>
  <sheetFormatPr defaultRowHeight="14.4" x14ac:dyDescent="0.3"/>
  <cols>
    <col min="23" max="23" width="12" bestFit="1" customWidth="1"/>
    <col min="24" max="24" width="12" customWidth="1"/>
  </cols>
  <sheetData>
    <row r="1" spans="1:27" x14ac:dyDescent="0.3">
      <c r="A1" s="3" t="s">
        <v>12</v>
      </c>
      <c r="B1" s="3" t="s">
        <v>7</v>
      </c>
    </row>
    <row r="2" spans="1:27" x14ac:dyDescent="0.3">
      <c r="A2" s="2">
        <v>1.96</v>
      </c>
      <c r="B2" s="2">
        <f>2*_xlfn.NORM.S.DIST(A2,1)-1</f>
        <v>0.95000420970355903</v>
      </c>
      <c r="U2" t="s">
        <v>10</v>
      </c>
      <c r="V2" t="s">
        <v>0</v>
      </c>
      <c r="W2" t="s">
        <v>4</v>
      </c>
      <c r="X2" t="s">
        <v>5</v>
      </c>
      <c r="Y2" t="s">
        <v>15</v>
      </c>
      <c r="Z2" t="s">
        <v>6</v>
      </c>
      <c r="AA2">
        <v>0</v>
      </c>
    </row>
    <row r="3" spans="1:27" x14ac:dyDescent="0.3">
      <c r="U3" t="e">
        <f>IF($A$2=ABS(V3),0,NA())</f>
        <v>#N/A</v>
      </c>
      <c r="V3">
        <v>-4</v>
      </c>
      <c r="W3">
        <f>_xlfn.NORM.S.DIST(V3,0)</f>
        <v>1.3383022576488537E-4</v>
      </c>
      <c r="X3" t="e">
        <f>IF(ABS(V3)=$A$2,W3,NA())</f>
        <v>#N/A</v>
      </c>
      <c r="Y3">
        <f>IF(V3&lt;=$A$2,W3,NA())</f>
        <v>1.3383022576488537E-4</v>
      </c>
      <c r="Z3" t="e">
        <f>IF(ABS(V3)&lt;=$A$2,W3,NA())</f>
        <v>#N/A</v>
      </c>
    </row>
    <row r="4" spans="1:27" x14ac:dyDescent="0.3">
      <c r="U4" t="e">
        <f t="shared" ref="U4:U67" si="0">IF($A$2=ABS(V4),0,NA())</f>
        <v>#N/A</v>
      </c>
      <c r="V4">
        <v>-3.99</v>
      </c>
      <c r="W4">
        <f t="shared" ref="W4:W67" si="1">_xlfn.NORM.S.DIST(V4,0)</f>
        <v>1.3928497646575994E-4</v>
      </c>
      <c r="X4" t="e">
        <f t="shared" ref="X4:X67" si="2">IF(ABS(V4)=$A$2,W4,NA())</f>
        <v>#N/A</v>
      </c>
      <c r="Y4">
        <f t="shared" ref="Y4:Y67" si="3">IF(V4&lt;=$A$2,W4,NA())</f>
        <v>1.3928497646575994E-4</v>
      </c>
      <c r="Z4" t="e">
        <f t="shared" ref="Z4:Z67" si="4">IF(ABS(V4)&lt;=$A$2,W4,NA())</f>
        <v>#N/A</v>
      </c>
    </row>
    <row r="5" spans="1:27" x14ac:dyDescent="0.3">
      <c r="U5" t="e">
        <f t="shared" si="0"/>
        <v>#N/A</v>
      </c>
      <c r="V5">
        <v>-3.98</v>
      </c>
      <c r="W5">
        <f t="shared" si="1"/>
        <v>1.4494756042389106E-4</v>
      </c>
      <c r="X5" t="e">
        <f t="shared" si="2"/>
        <v>#N/A</v>
      </c>
      <c r="Y5">
        <f t="shared" si="3"/>
        <v>1.4494756042389106E-4</v>
      </c>
      <c r="Z5" t="e">
        <f t="shared" si="4"/>
        <v>#N/A</v>
      </c>
    </row>
    <row r="6" spans="1:27" x14ac:dyDescent="0.3">
      <c r="U6" t="e">
        <f t="shared" si="0"/>
        <v>#N/A</v>
      </c>
      <c r="V6">
        <v>-3.97</v>
      </c>
      <c r="W6">
        <f t="shared" si="1"/>
        <v>1.508252715505178E-4</v>
      </c>
      <c r="X6" t="e">
        <f t="shared" si="2"/>
        <v>#N/A</v>
      </c>
      <c r="Y6">
        <f t="shared" si="3"/>
        <v>1.508252715505178E-4</v>
      </c>
      <c r="Z6" t="e">
        <f t="shared" si="4"/>
        <v>#N/A</v>
      </c>
    </row>
    <row r="7" spans="1:27" x14ac:dyDescent="0.3">
      <c r="U7" t="e">
        <f t="shared" si="0"/>
        <v>#N/A</v>
      </c>
      <c r="V7">
        <v>-3.96</v>
      </c>
      <c r="W7">
        <f t="shared" si="1"/>
        <v>1.5692563406553226E-4</v>
      </c>
      <c r="X7" t="e">
        <f t="shared" si="2"/>
        <v>#N/A</v>
      </c>
      <c r="Y7">
        <f t="shared" si="3"/>
        <v>1.5692563406553226E-4</v>
      </c>
      <c r="Z7" t="e">
        <f t="shared" si="4"/>
        <v>#N/A</v>
      </c>
    </row>
    <row r="8" spans="1:27" x14ac:dyDescent="0.3">
      <c r="U8" t="e">
        <f t="shared" si="0"/>
        <v>#N/A</v>
      </c>
      <c r="V8">
        <v>-3.95</v>
      </c>
      <c r="W8">
        <f t="shared" si="1"/>
        <v>1.6325640876624199E-4</v>
      </c>
      <c r="X8" t="e">
        <f t="shared" si="2"/>
        <v>#N/A</v>
      </c>
      <c r="Y8">
        <f t="shared" si="3"/>
        <v>1.6325640876624199E-4</v>
      </c>
      <c r="Z8" t="e">
        <f t="shared" si="4"/>
        <v>#N/A</v>
      </c>
    </row>
    <row r="9" spans="1:27" x14ac:dyDescent="0.3">
      <c r="U9" t="e">
        <f t="shared" si="0"/>
        <v>#N/A</v>
      </c>
      <c r="V9">
        <v>-3.94</v>
      </c>
      <c r="W9">
        <f t="shared" si="1"/>
        <v>1.6982559942934359E-4</v>
      </c>
      <c r="X9" t="e">
        <f t="shared" si="2"/>
        <v>#N/A</v>
      </c>
      <c r="Y9">
        <f t="shared" si="3"/>
        <v>1.6982559942934359E-4</v>
      </c>
      <c r="Z9" t="e">
        <f t="shared" si="4"/>
        <v>#N/A</v>
      </c>
    </row>
    <row r="10" spans="1:27" x14ac:dyDescent="0.3">
      <c r="U10" t="e">
        <f t="shared" si="0"/>
        <v>#N/A</v>
      </c>
      <c r="V10">
        <v>-3.93</v>
      </c>
      <c r="W10">
        <f t="shared" si="1"/>
        <v>1.7664145934757092E-4</v>
      </c>
      <c r="X10" t="e">
        <f t="shared" si="2"/>
        <v>#N/A</v>
      </c>
      <c r="Y10">
        <f t="shared" si="3"/>
        <v>1.7664145934757092E-4</v>
      </c>
      <c r="Z10" t="e">
        <f t="shared" si="4"/>
        <v>#N/A</v>
      </c>
    </row>
    <row r="11" spans="1:27" x14ac:dyDescent="0.3">
      <c r="U11" t="e">
        <f t="shared" si="0"/>
        <v>#N/A</v>
      </c>
      <c r="V11">
        <v>-3.92</v>
      </c>
      <c r="W11">
        <f t="shared" si="1"/>
        <v>1.8371249800245711E-4</v>
      </c>
      <c r="X11" t="e">
        <f t="shared" si="2"/>
        <v>#N/A</v>
      </c>
      <c r="Y11">
        <f t="shared" si="3"/>
        <v>1.8371249800245711E-4</v>
      </c>
      <c r="Z11" t="e">
        <f t="shared" si="4"/>
        <v>#N/A</v>
      </c>
    </row>
    <row r="12" spans="1:27" x14ac:dyDescent="0.3">
      <c r="U12" t="e">
        <f t="shared" si="0"/>
        <v>#N/A</v>
      </c>
      <c r="V12">
        <v>-3.91</v>
      </c>
      <c r="W12">
        <f t="shared" si="1"/>
        <v>1.9104748787459762E-4</v>
      </c>
      <c r="X12" t="e">
        <f t="shared" si="2"/>
        <v>#N/A</v>
      </c>
      <c r="Y12">
        <f t="shared" si="3"/>
        <v>1.9104748787459762E-4</v>
      </c>
      <c r="Z12" t="e">
        <f t="shared" si="4"/>
        <v>#N/A</v>
      </c>
    </row>
    <row r="13" spans="1:27" x14ac:dyDescent="0.3">
      <c r="U13" t="e">
        <f t="shared" si="0"/>
        <v>#N/A</v>
      </c>
      <c r="V13">
        <v>-3.9</v>
      </c>
      <c r="W13">
        <f t="shared" si="1"/>
        <v>1.9865547139277272E-4</v>
      </c>
      <c r="X13" t="e">
        <f t="shared" si="2"/>
        <v>#N/A</v>
      </c>
      <c r="Y13">
        <f t="shared" si="3"/>
        <v>1.9865547139277272E-4</v>
      </c>
      <c r="Z13" t="e">
        <f t="shared" si="4"/>
        <v>#N/A</v>
      </c>
    </row>
    <row r="14" spans="1:27" x14ac:dyDescent="0.3">
      <c r="U14" t="e">
        <f t="shared" si="0"/>
        <v>#N/A</v>
      </c>
      <c r="V14">
        <v>-3.89</v>
      </c>
      <c r="W14">
        <f t="shared" si="1"/>
        <v>2.0654576802322548E-4</v>
      </c>
      <c r="X14" t="e">
        <f t="shared" si="2"/>
        <v>#N/A</v>
      </c>
      <c r="Y14">
        <f t="shared" si="3"/>
        <v>2.0654576802322548E-4</v>
      </c>
      <c r="Z14" t="e">
        <f t="shared" si="4"/>
        <v>#N/A</v>
      </c>
    </row>
    <row r="15" spans="1:27" x14ac:dyDescent="0.3">
      <c r="U15" t="e">
        <f t="shared" si="0"/>
        <v>#N/A</v>
      </c>
      <c r="V15">
        <v>-3.88</v>
      </c>
      <c r="W15">
        <f t="shared" si="1"/>
        <v>2.1472798150036704E-4</v>
      </c>
      <c r="X15" t="e">
        <f t="shared" si="2"/>
        <v>#N/A</v>
      </c>
      <c r="Y15">
        <f t="shared" si="3"/>
        <v>2.1472798150036704E-4</v>
      </c>
      <c r="Z15" t="e">
        <f t="shared" si="4"/>
        <v>#N/A</v>
      </c>
    </row>
    <row r="16" spans="1:27" x14ac:dyDescent="0.3">
      <c r="U16" t="e">
        <f t="shared" si="0"/>
        <v>#N/A</v>
      </c>
      <c r="V16">
        <v>-3.87</v>
      </c>
      <c r="W16">
        <f t="shared" si="1"/>
        <v>2.2321200720010206E-4</v>
      </c>
      <c r="X16" t="e">
        <f t="shared" si="2"/>
        <v>#N/A</v>
      </c>
      <c r="Y16">
        <f t="shared" si="3"/>
        <v>2.2321200720010206E-4</v>
      </c>
      <c r="Z16" t="e">
        <f t="shared" si="4"/>
        <v>#N/A</v>
      </c>
    </row>
    <row r="17" spans="21:26" x14ac:dyDescent="0.3">
      <c r="U17" t="e">
        <f t="shared" si="0"/>
        <v>#N/A</v>
      </c>
      <c r="V17">
        <v>-3.86</v>
      </c>
      <c r="W17">
        <f t="shared" si="1"/>
        <v>2.3200803965694238E-4</v>
      </c>
      <c r="X17" t="e">
        <f t="shared" si="2"/>
        <v>#N/A</v>
      </c>
      <c r="Y17">
        <f t="shared" si="3"/>
        <v>2.3200803965694238E-4</v>
      </c>
      <c r="Z17" t="e">
        <f t="shared" si="4"/>
        <v>#N/A</v>
      </c>
    </row>
    <row r="18" spans="21:26" x14ac:dyDescent="0.3">
      <c r="U18" t="e">
        <f t="shared" si="0"/>
        <v>#N/A</v>
      </c>
      <c r="V18">
        <v>-3.85</v>
      </c>
      <c r="W18">
        <f t="shared" si="1"/>
        <v>2.4112658022599324E-4</v>
      </c>
      <c r="X18" t="e">
        <f t="shared" si="2"/>
        <v>#N/A</v>
      </c>
      <c r="Y18">
        <f t="shared" si="3"/>
        <v>2.4112658022599324E-4</v>
      </c>
      <c r="Z18" t="e">
        <f t="shared" si="4"/>
        <v>#N/A</v>
      </c>
    </row>
    <row r="19" spans="21:26" x14ac:dyDescent="0.3">
      <c r="U19" t="e">
        <f t="shared" si="0"/>
        <v>#N/A</v>
      </c>
      <c r="V19">
        <v>-3.84</v>
      </c>
      <c r="W19">
        <f t="shared" si="1"/>
        <v>2.5057844489086075E-4</v>
      </c>
      <c r="X19" t="e">
        <f t="shared" si="2"/>
        <v>#N/A</v>
      </c>
      <c r="Y19">
        <f t="shared" si="3"/>
        <v>2.5057844489086075E-4</v>
      </c>
      <c r="Z19" t="e">
        <f t="shared" si="4"/>
        <v>#N/A</v>
      </c>
    </row>
    <row r="20" spans="21:26" x14ac:dyDescent="0.3">
      <c r="U20" t="e">
        <f t="shared" si="0"/>
        <v>#N/A</v>
      </c>
      <c r="V20">
        <v>-3.83</v>
      </c>
      <c r="W20">
        <f t="shared" si="1"/>
        <v>2.6037477221844247E-4</v>
      </c>
      <c r="X20" t="e">
        <f t="shared" si="2"/>
        <v>#N/A</v>
      </c>
      <c r="Y20">
        <f t="shared" si="3"/>
        <v>2.6037477221844247E-4</v>
      </c>
      <c r="Z20" t="e">
        <f t="shared" si="4"/>
        <v>#N/A</v>
      </c>
    </row>
    <row r="21" spans="21:26" x14ac:dyDescent="0.3">
      <c r="U21" t="e">
        <f t="shared" si="0"/>
        <v>#N/A</v>
      </c>
      <c r="V21">
        <v>-3.82</v>
      </c>
      <c r="W21">
        <f t="shared" si="1"/>
        <v>2.70527031461521E-4</v>
      </c>
      <c r="X21" t="e">
        <f t="shared" si="2"/>
        <v>#N/A</v>
      </c>
      <c r="Y21">
        <f t="shared" si="3"/>
        <v>2.70527031461521E-4</v>
      </c>
      <c r="Z21" t="e">
        <f t="shared" si="4"/>
        <v>#N/A</v>
      </c>
    </row>
    <row r="22" spans="21:26" x14ac:dyDescent="0.3">
      <c r="U22" t="e">
        <f t="shared" si="0"/>
        <v>#N/A</v>
      </c>
      <c r="V22">
        <v>-3.81</v>
      </c>
      <c r="W22">
        <f t="shared" si="1"/>
        <v>2.8104703080998632E-4</v>
      </c>
      <c r="X22" t="e">
        <f t="shared" si="2"/>
        <v>#N/A</v>
      </c>
      <c r="Y22">
        <f t="shared" si="3"/>
        <v>2.8104703080998632E-4</v>
      </c>
      <c r="Z22" t="e">
        <f t="shared" si="4"/>
        <v>#N/A</v>
      </c>
    </row>
    <row r="23" spans="21:26" x14ac:dyDescent="0.3">
      <c r="U23" t="e">
        <f t="shared" si="0"/>
        <v>#N/A</v>
      </c>
      <c r="V23">
        <v>-3.8</v>
      </c>
      <c r="W23">
        <f t="shared" si="1"/>
        <v>2.9194692579146027E-4</v>
      </c>
      <c r="X23" t="e">
        <f t="shared" si="2"/>
        <v>#N/A</v>
      </c>
      <c r="Y23">
        <f t="shared" si="3"/>
        <v>2.9194692579146027E-4</v>
      </c>
      <c r="Z23" t="e">
        <f t="shared" si="4"/>
        <v>#N/A</v>
      </c>
    </row>
    <row r="24" spans="21:26" x14ac:dyDescent="0.3">
      <c r="U24" t="e">
        <f t="shared" si="0"/>
        <v>#N/A</v>
      </c>
      <c r="V24">
        <v>-3.79</v>
      </c>
      <c r="W24">
        <f t="shared" si="1"/>
        <v>3.0323922782200417E-4</v>
      </c>
      <c r="X24" t="e">
        <f t="shared" si="2"/>
        <v>#N/A</v>
      </c>
      <c r="Y24">
        <f t="shared" si="3"/>
        <v>3.0323922782200417E-4</v>
      </c>
      <c r="Z24" t="e">
        <f t="shared" si="4"/>
        <v>#N/A</v>
      </c>
    </row>
    <row r="25" spans="21:26" x14ac:dyDescent="0.3">
      <c r="U25" t="e">
        <f t="shared" si="0"/>
        <v>#N/A</v>
      </c>
      <c r="V25">
        <v>-3.78</v>
      </c>
      <c r="W25">
        <f t="shared" si="1"/>
        <v>3.1493681290752188E-4</v>
      </c>
      <c r="X25" t="e">
        <f t="shared" si="2"/>
        <v>#N/A</v>
      </c>
      <c r="Y25">
        <f t="shared" si="3"/>
        <v>3.1493681290752188E-4</v>
      </c>
      <c r="Z25" t="e">
        <f t="shared" si="4"/>
        <v>#N/A</v>
      </c>
    </row>
    <row r="26" spans="21:26" x14ac:dyDescent="0.3">
      <c r="U26" t="e">
        <f t="shared" si="0"/>
        <v>#N/A</v>
      </c>
      <c r="V26">
        <v>-3.77</v>
      </c>
      <c r="W26">
        <f t="shared" si="1"/>
        <v>3.2705293049637498E-4</v>
      </c>
      <c r="X26" t="e">
        <f t="shared" si="2"/>
        <v>#N/A</v>
      </c>
      <c r="Y26">
        <f t="shared" si="3"/>
        <v>3.2705293049637498E-4</v>
      </c>
      <c r="Z26" t="e">
        <f t="shared" si="4"/>
        <v>#N/A</v>
      </c>
    </row>
    <row r="27" spans="21:26" x14ac:dyDescent="0.3">
      <c r="U27" t="e">
        <f t="shared" si="0"/>
        <v>#N/A</v>
      </c>
      <c r="V27">
        <v>-3.76</v>
      </c>
      <c r="W27">
        <f t="shared" si="1"/>
        <v>3.3960121248365478E-4</v>
      </c>
      <c r="X27" t="e">
        <f t="shared" si="2"/>
        <v>#N/A</v>
      </c>
      <c r="Y27">
        <f t="shared" si="3"/>
        <v>3.3960121248365478E-4</v>
      </c>
      <c r="Z27" t="e">
        <f t="shared" si="4"/>
        <v>#N/A</v>
      </c>
    </row>
    <row r="28" spans="21:26" x14ac:dyDescent="0.3">
      <c r="U28" t="e">
        <f t="shared" si="0"/>
        <v>#N/A</v>
      </c>
      <c r="V28">
        <v>-3.75</v>
      </c>
      <c r="W28">
        <f t="shared" si="1"/>
        <v>3.5259568236744541E-4</v>
      </c>
      <c r="X28" t="e">
        <f t="shared" si="2"/>
        <v>#N/A</v>
      </c>
      <c r="Y28">
        <f t="shared" si="3"/>
        <v>3.5259568236744541E-4</v>
      </c>
      <c r="Z28" t="e">
        <f t="shared" si="4"/>
        <v>#N/A</v>
      </c>
    </row>
    <row r="29" spans="21:26" x14ac:dyDescent="0.3">
      <c r="U29" t="e">
        <f t="shared" si="0"/>
        <v>#N/A</v>
      </c>
      <c r="V29">
        <v>-3.74</v>
      </c>
      <c r="W29">
        <f t="shared" si="1"/>
        <v>3.6605076455733496E-4</v>
      </c>
      <c r="X29" t="e">
        <f t="shared" si="2"/>
        <v>#N/A</v>
      </c>
      <c r="Y29">
        <f t="shared" si="3"/>
        <v>3.6605076455733496E-4</v>
      </c>
      <c r="Z29" t="e">
        <f t="shared" si="4"/>
        <v>#N/A</v>
      </c>
    </row>
    <row r="30" spans="21:26" x14ac:dyDescent="0.3">
      <c r="U30" t="e">
        <f t="shared" si="0"/>
        <v>#N/A</v>
      </c>
      <c r="V30">
        <v>-3.73</v>
      </c>
      <c r="W30">
        <f t="shared" si="1"/>
        <v>3.7998129383532141E-4</v>
      </c>
      <c r="X30" t="e">
        <f t="shared" si="2"/>
        <v>#N/A</v>
      </c>
      <c r="Y30">
        <f t="shared" si="3"/>
        <v>3.7998129383532141E-4</v>
      </c>
      <c r="Z30" t="e">
        <f t="shared" si="4"/>
        <v>#N/A</v>
      </c>
    </row>
    <row r="31" spans="21:26" x14ac:dyDescent="0.3">
      <c r="U31" t="e">
        <f t="shared" si="0"/>
        <v>#N/A</v>
      </c>
      <c r="V31">
        <v>-3.72</v>
      </c>
      <c r="W31">
        <f t="shared" si="1"/>
        <v>3.9440252496915622E-4</v>
      </c>
      <c r="X31" t="e">
        <f t="shared" si="2"/>
        <v>#N/A</v>
      </c>
      <c r="Y31">
        <f t="shared" si="3"/>
        <v>3.9440252496915622E-4</v>
      </c>
      <c r="Z31" t="e">
        <f t="shared" si="4"/>
        <v>#N/A</v>
      </c>
    </row>
    <row r="32" spans="21:26" x14ac:dyDescent="0.3">
      <c r="U32" t="e">
        <f t="shared" si="0"/>
        <v>#N/A</v>
      </c>
      <c r="V32">
        <v>-3.71</v>
      </c>
      <c r="W32">
        <f t="shared" si="1"/>
        <v>4.0933014247807883E-4</v>
      </c>
      <c r="X32" t="e">
        <f t="shared" si="2"/>
        <v>#N/A</v>
      </c>
      <c r="Y32">
        <f t="shared" si="3"/>
        <v>4.0933014247807883E-4</v>
      </c>
      <c r="Z32" t="e">
        <f t="shared" si="4"/>
        <v>#N/A</v>
      </c>
    </row>
    <row r="33" spans="21:26" x14ac:dyDescent="0.3">
      <c r="U33" t="e">
        <f t="shared" si="0"/>
        <v>#N/A</v>
      </c>
      <c r="V33">
        <v>-3.7</v>
      </c>
      <c r="W33">
        <f t="shared" si="1"/>
        <v>4.2478027055075143E-4</v>
      </c>
      <c r="X33" t="e">
        <f t="shared" si="2"/>
        <v>#N/A</v>
      </c>
      <c r="Y33">
        <f t="shared" si="3"/>
        <v>4.2478027055075143E-4</v>
      </c>
      <c r="Z33" t="e">
        <f t="shared" si="4"/>
        <v>#N/A</v>
      </c>
    </row>
    <row r="34" spans="21:26" x14ac:dyDescent="0.3">
      <c r="U34" t="e">
        <f t="shared" si="0"/>
        <v>#N/A</v>
      </c>
      <c r="V34">
        <v>-3.69</v>
      </c>
      <c r="W34">
        <f t="shared" si="1"/>
        <v>4.4076948311513252E-4</v>
      </c>
      <c r="X34" t="e">
        <f t="shared" si="2"/>
        <v>#N/A</v>
      </c>
      <c r="Y34">
        <f t="shared" si="3"/>
        <v>4.4076948311513252E-4</v>
      </c>
      <c r="Z34" t="e">
        <f t="shared" si="4"/>
        <v>#N/A</v>
      </c>
    </row>
    <row r="35" spans="21:26" x14ac:dyDescent="0.3">
      <c r="U35" t="e">
        <f t="shared" si="0"/>
        <v>#N/A</v>
      </c>
      <c r="V35">
        <v>-3.68</v>
      </c>
      <c r="W35">
        <f t="shared" si="1"/>
        <v>4.5731481405985675E-4</v>
      </c>
      <c r="X35" t="e">
        <f t="shared" si="2"/>
        <v>#N/A</v>
      </c>
      <c r="Y35">
        <f t="shared" si="3"/>
        <v>4.5731481405985675E-4</v>
      </c>
      <c r="Z35" t="e">
        <f t="shared" si="4"/>
        <v>#N/A</v>
      </c>
    </row>
    <row r="36" spans="21:26" x14ac:dyDescent="0.3">
      <c r="U36" t="e">
        <f t="shared" si="0"/>
        <v>#N/A</v>
      </c>
      <c r="V36">
        <v>-3.67</v>
      </c>
      <c r="W36">
        <f t="shared" si="1"/>
        <v>4.7443376760662064E-4</v>
      </c>
      <c r="X36" t="e">
        <f t="shared" si="2"/>
        <v>#N/A</v>
      </c>
      <c r="Y36">
        <f t="shared" si="3"/>
        <v>4.7443376760662064E-4</v>
      </c>
      <c r="Z36" t="e">
        <f t="shared" si="4"/>
        <v>#N/A</v>
      </c>
    </row>
    <row r="37" spans="21:26" x14ac:dyDescent="0.3">
      <c r="U37" t="e">
        <f t="shared" si="0"/>
        <v>#N/A</v>
      </c>
      <c r="V37">
        <v>-3.66</v>
      </c>
      <c r="W37">
        <f t="shared" si="1"/>
        <v>4.9214432883289312E-4</v>
      </c>
      <c r="X37" t="e">
        <f t="shared" si="2"/>
        <v>#N/A</v>
      </c>
      <c r="Y37">
        <f t="shared" si="3"/>
        <v>4.9214432883289312E-4</v>
      </c>
      <c r="Z37" t="e">
        <f t="shared" si="4"/>
        <v>#N/A</v>
      </c>
    </row>
    <row r="38" spans="21:26" x14ac:dyDescent="0.3">
      <c r="U38" t="e">
        <f t="shared" si="0"/>
        <v>#N/A</v>
      </c>
      <c r="V38">
        <v>-3.65</v>
      </c>
      <c r="W38">
        <f t="shared" si="1"/>
        <v>5.104649743441856E-4</v>
      </c>
      <c r="X38" t="e">
        <f t="shared" si="2"/>
        <v>#N/A</v>
      </c>
      <c r="Y38">
        <f t="shared" si="3"/>
        <v>5.104649743441856E-4</v>
      </c>
      <c r="Z38" t="e">
        <f t="shared" si="4"/>
        <v>#N/A</v>
      </c>
    </row>
    <row r="39" spans="21:26" x14ac:dyDescent="0.3">
      <c r="U39" t="e">
        <f t="shared" si="0"/>
        <v>#N/A</v>
      </c>
      <c r="V39">
        <v>-3.64</v>
      </c>
      <c r="W39">
        <f t="shared" si="1"/>
        <v>5.2941468309493475E-4</v>
      </c>
      <c r="X39" t="e">
        <f t="shared" si="2"/>
        <v>#N/A</v>
      </c>
      <c r="Y39">
        <f t="shared" si="3"/>
        <v>5.2941468309493475E-4</v>
      </c>
      <c r="Z39" t="e">
        <f t="shared" si="4"/>
        <v>#N/A</v>
      </c>
    </row>
    <row r="40" spans="21:26" x14ac:dyDescent="0.3">
      <c r="U40" t="e">
        <f t="shared" si="0"/>
        <v>#N/A</v>
      </c>
      <c r="V40">
        <v>-3.63</v>
      </c>
      <c r="W40">
        <f t="shared" si="1"/>
        <v>5.490129473569587E-4</v>
      </c>
      <c r="X40" t="e">
        <f t="shared" si="2"/>
        <v>#N/A</v>
      </c>
      <c r="Y40">
        <f t="shared" si="3"/>
        <v>5.490129473569587E-4</v>
      </c>
      <c r="Z40" t="e">
        <f t="shared" si="4"/>
        <v>#N/A</v>
      </c>
    </row>
    <row r="41" spans="21:26" x14ac:dyDescent="0.3">
      <c r="U41" t="e">
        <f t="shared" si="0"/>
        <v>#N/A</v>
      </c>
      <c r="V41">
        <v>-3.62</v>
      </c>
      <c r="W41">
        <f t="shared" si="1"/>
        <v>5.6927978383425261E-4</v>
      </c>
      <c r="X41" t="e">
        <f t="shared" si="2"/>
        <v>#N/A</v>
      </c>
      <c r="Y41">
        <f t="shared" si="3"/>
        <v>5.6927978383425261E-4</v>
      </c>
      <c r="Z41" t="e">
        <f t="shared" si="4"/>
        <v>#N/A</v>
      </c>
    </row>
    <row r="42" spans="21:26" x14ac:dyDescent="0.3">
      <c r="U42" t="e">
        <f t="shared" si="0"/>
        <v>#N/A</v>
      </c>
      <c r="V42">
        <v>-3.61</v>
      </c>
      <c r="W42">
        <f t="shared" si="1"/>
        <v>5.9023574492278561E-4</v>
      </c>
      <c r="X42" t="e">
        <f t="shared" si="2"/>
        <v>#N/A</v>
      </c>
      <c r="Y42">
        <f t="shared" si="3"/>
        <v>5.9023574492278561E-4</v>
      </c>
      <c r="Z42" t="e">
        <f t="shared" si="4"/>
        <v>#N/A</v>
      </c>
    </row>
    <row r="43" spans="21:26" x14ac:dyDescent="0.3">
      <c r="U43" t="e">
        <f t="shared" si="0"/>
        <v>#N/A</v>
      </c>
      <c r="V43">
        <v>-3.6</v>
      </c>
      <c r="W43">
        <f t="shared" si="1"/>
        <v>6.119019301137719E-4</v>
      </c>
      <c r="X43" t="e">
        <f t="shared" si="2"/>
        <v>#N/A</v>
      </c>
      <c r="Y43">
        <f t="shared" si="3"/>
        <v>6.119019301137719E-4</v>
      </c>
      <c r="Z43" t="e">
        <f t="shared" si="4"/>
        <v>#N/A</v>
      </c>
    </row>
    <row r="44" spans="21:26" x14ac:dyDescent="0.3">
      <c r="U44" t="e">
        <f t="shared" si="0"/>
        <v>#N/A</v>
      </c>
      <c r="V44">
        <v>-3.59</v>
      </c>
      <c r="W44">
        <f t="shared" si="1"/>
        <v>6.342999975387576E-4</v>
      </c>
      <c r="X44" t="e">
        <f t="shared" si="2"/>
        <v>#N/A</v>
      </c>
      <c r="Y44">
        <f t="shared" si="3"/>
        <v>6.342999975387576E-4</v>
      </c>
      <c r="Z44" t="e">
        <f t="shared" si="4"/>
        <v>#N/A</v>
      </c>
    </row>
    <row r="45" spans="21:26" x14ac:dyDescent="0.3">
      <c r="U45" t="e">
        <f t="shared" si="0"/>
        <v>#N/A</v>
      </c>
      <c r="V45">
        <v>-3.58</v>
      </c>
      <c r="W45">
        <f t="shared" si="1"/>
        <v>6.5745217565467645E-4</v>
      </c>
      <c r="X45" t="e">
        <f t="shared" si="2"/>
        <v>#N/A</v>
      </c>
      <c r="Y45">
        <f t="shared" si="3"/>
        <v>6.5745217565467645E-4</v>
      </c>
      <c r="Z45" t="e">
        <f t="shared" si="4"/>
        <v>#N/A</v>
      </c>
    </row>
    <row r="46" spans="21:26" x14ac:dyDescent="0.3">
      <c r="U46" t="e">
        <f t="shared" si="0"/>
        <v>#N/A</v>
      </c>
      <c r="V46">
        <v>-3.57</v>
      </c>
      <c r="W46">
        <f t="shared" si="1"/>
        <v>6.8138127506689212E-4</v>
      </c>
      <c r="X46" t="e">
        <f t="shared" si="2"/>
        <v>#N/A</v>
      </c>
      <c r="Y46">
        <f t="shared" si="3"/>
        <v>6.8138127506689212E-4</v>
      </c>
      <c r="Z46" t="e">
        <f t="shared" si="4"/>
        <v>#N/A</v>
      </c>
    </row>
    <row r="47" spans="21:26" x14ac:dyDescent="0.3">
      <c r="U47" t="e">
        <f t="shared" si="0"/>
        <v>#N/A</v>
      </c>
      <c r="V47">
        <v>-3.56</v>
      </c>
      <c r="W47">
        <f t="shared" si="1"/>
        <v>7.061107004880362E-4</v>
      </c>
      <c r="X47" t="e">
        <f t="shared" si="2"/>
        <v>#N/A</v>
      </c>
      <c r="Y47">
        <f t="shared" si="3"/>
        <v>7.061107004880362E-4</v>
      </c>
      <c r="Z47" t="e">
        <f t="shared" si="4"/>
        <v>#N/A</v>
      </c>
    </row>
    <row r="48" spans="21:26" x14ac:dyDescent="0.3">
      <c r="U48" t="e">
        <f t="shared" si="0"/>
        <v>#N/A</v>
      </c>
      <c r="V48">
        <v>-3.55</v>
      </c>
      <c r="W48">
        <f t="shared" si="1"/>
        <v>7.3166446283031089E-4</v>
      </c>
      <c r="X48" t="e">
        <f t="shared" si="2"/>
        <v>#N/A</v>
      </c>
      <c r="Y48">
        <f t="shared" si="3"/>
        <v>7.3166446283031089E-4</v>
      </c>
      <c r="Z48" t="e">
        <f t="shared" si="4"/>
        <v>#N/A</v>
      </c>
    </row>
    <row r="49" spans="21:26" x14ac:dyDescent="0.3">
      <c r="U49" t="e">
        <f t="shared" si="0"/>
        <v>#N/A</v>
      </c>
      <c r="V49">
        <v>-3.54</v>
      </c>
      <c r="W49">
        <f t="shared" si="1"/>
        <v>7.580671914287103E-4</v>
      </c>
      <c r="X49" t="e">
        <f t="shared" si="2"/>
        <v>#N/A</v>
      </c>
      <c r="Y49">
        <f t="shared" si="3"/>
        <v>7.580671914287103E-4</v>
      </c>
      <c r="Z49" t="e">
        <f t="shared" si="4"/>
        <v>#N/A</v>
      </c>
    </row>
    <row r="50" spans="21:26" x14ac:dyDescent="0.3">
      <c r="U50" t="e">
        <f t="shared" si="0"/>
        <v>#N/A</v>
      </c>
      <c r="V50">
        <v>-3.53</v>
      </c>
      <c r="W50">
        <f t="shared" si="1"/>
        <v>7.8534414639246997E-4</v>
      </c>
      <c r="X50" t="e">
        <f t="shared" si="2"/>
        <v>#N/A</v>
      </c>
      <c r="Y50">
        <f t="shared" si="3"/>
        <v>7.8534414639246997E-4</v>
      </c>
      <c r="Z50" t="e">
        <f t="shared" si="4"/>
        <v>#N/A</v>
      </c>
    </row>
    <row r="51" spans="21:26" x14ac:dyDescent="0.3">
      <c r="U51" t="e">
        <f t="shared" si="0"/>
        <v>#N/A</v>
      </c>
      <c r="V51">
        <v>-3.52</v>
      </c>
      <c r="W51">
        <f t="shared" si="1"/>
        <v>8.1352123108180841E-4</v>
      </c>
      <c r="X51" t="e">
        <f t="shared" si="2"/>
        <v>#N/A</v>
      </c>
      <c r="Y51">
        <f t="shared" si="3"/>
        <v>8.1352123108180841E-4</v>
      </c>
      <c r="Z51" t="e">
        <f t="shared" si="4"/>
        <v>#N/A</v>
      </c>
    </row>
    <row r="52" spans="21:26" x14ac:dyDescent="0.3">
      <c r="U52" t="e">
        <f t="shared" si="0"/>
        <v>#N/A</v>
      </c>
      <c r="V52">
        <v>-3.51</v>
      </c>
      <c r="W52">
        <f t="shared" si="1"/>
        <v>8.4262500470690268E-4</v>
      </c>
      <c r="X52" t="e">
        <f t="shared" si="2"/>
        <v>#N/A</v>
      </c>
      <c r="Y52">
        <f t="shared" si="3"/>
        <v>8.4262500470690268E-4</v>
      </c>
      <c r="Z52" t="e">
        <f t="shared" si="4"/>
        <v>#N/A</v>
      </c>
    </row>
    <row r="53" spans="21:26" x14ac:dyDescent="0.3">
      <c r="U53" t="e">
        <f t="shared" si="0"/>
        <v>#N/A</v>
      </c>
      <c r="V53">
        <v>-3.5</v>
      </c>
      <c r="W53">
        <f t="shared" si="1"/>
        <v>8.7268269504576015E-4</v>
      </c>
      <c r="X53" t="e">
        <f t="shared" si="2"/>
        <v>#N/A</v>
      </c>
      <c r="Y53">
        <f t="shared" si="3"/>
        <v>8.7268269504576015E-4</v>
      </c>
      <c r="Z53" t="e">
        <f t="shared" si="4"/>
        <v>#N/A</v>
      </c>
    </row>
    <row r="54" spans="21:26" x14ac:dyDescent="0.3">
      <c r="U54" t="e">
        <f t="shared" si="0"/>
        <v>#N/A</v>
      </c>
      <c r="V54">
        <v>-3.49</v>
      </c>
      <c r="W54">
        <f t="shared" si="1"/>
        <v>9.0372221127752448E-4</v>
      </c>
      <c r="X54" t="e">
        <f t="shared" si="2"/>
        <v>#N/A</v>
      </c>
      <c r="Y54">
        <f t="shared" si="3"/>
        <v>9.0372221127752448E-4</v>
      </c>
      <c r="Z54" t="e">
        <f t="shared" si="4"/>
        <v>#N/A</v>
      </c>
    </row>
    <row r="55" spans="21:26" x14ac:dyDescent="0.3">
      <c r="U55" t="e">
        <f t="shared" si="0"/>
        <v>#N/A</v>
      </c>
      <c r="V55">
        <v>-3.48</v>
      </c>
      <c r="W55">
        <f t="shared" si="1"/>
        <v>9.3577215692747977E-4</v>
      </c>
      <c r="X55" t="e">
        <f t="shared" si="2"/>
        <v>#N/A</v>
      </c>
      <c r="Y55">
        <f t="shared" si="3"/>
        <v>9.3577215692747977E-4</v>
      </c>
      <c r="Z55" t="e">
        <f t="shared" si="4"/>
        <v>#N/A</v>
      </c>
    </row>
    <row r="56" spans="21:26" x14ac:dyDescent="0.3">
      <c r="U56" t="e">
        <f t="shared" si="0"/>
        <v>#N/A</v>
      </c>
      <c r="V56">
        <v>-3.47</v>
      </c>
      <c r="W56">
        <f t="shared" si="1"/>
        <v>9.6886184291984591E-4</v>
      </c>
      <c r="X56" t="e">
        <f t="shared" si="2"/>
        <v>#N/A</v>
      </c>
      <c r="Y56">
        <f t="shared" si="3"/>
        <v>9.6886184291984591E-4</v>
      </c>
      <c r="Z56" t="e">
        <f t="shared" si="4"/>
        <v>#N/A</v>
      </c>
    </row>
    <row r="57" spans="21:26" x14ac:dyDescent="0.3">
      <c r="U57" t="e">
        <f t="shared" si="0"/>
        <v>#N/A</v>
      </c>
      <c r="V57">
        <v>-3.46</v>
      </c>
      <c r="W57">
        <f t="shared" si="1"/>
        <v>1.0030213007342376E-3</v>
      </c>
      <c r="X57" t="e">
        <f t="shared" si="2"/>
        <v>#N/A</v>
      </c>
      <c r="Y57">
        <f t="shared" si="3"/>
        <v>1.0030213007342376E-3</v>
      </c>
      <c r="Z57" t="e">
        <f t="shared" si="4"/>
        <v>#N/A</v>
      </c>
    </row>
    <row r="58" spans="21:26" x14ac:dyDescent="0.3">
      <c r="U58" t="e">
        <f t="shared" si="0"/>
        <v>#N/A</v>
      </c>
      <c r="V58">
        <v>-3.45</v>
      </c>
      <c r="W58">
        <f t="shared" si="1"/>
        <v>1.0382812956614103E-3</v>
      </c>
      <c r="X58" t="e">
        <f t="shared" si="2"/>
        <v>#N/A</v>
      </c>
      <c r="Y58">
        <f t="shared" si="3"/>
        <v>1.0382812956614103E-3</v>
      </c>
      <c r="Z58" t="e">
        <f t="shared" si="4"/>
        <v>#N/A</v>
      </c>
    </row>
    <row r="59" spans="21:26" x14ac:dyDescent="0.3">
      <c r="U59" t="e">
        <f t="shared" si="0"/>
        <v>#N/A</v>
      </c>
      <c r="V59">
        <v>-3.44</v>
      </c>
      <c r="W59">
        <f t="shared" si="1"/>
        <v>1.0746733401537356E-3</v>
      </c>
      <c r="X59" t="e">
        <f t="shared" si="2"/>
        <v>#N/A</v>
      </c>
      <c r="Y59">
        <f t="shared" si="3"/>
        <v>1.0746733401537356E-3</v>
      </c>
      <c r="Z59" t="e">
        <f t="shared" si="4"/>
        <v>#N/A</v>
      </c>
    </row>
    <row r="60" spans="21:26" x14ac:dyDescent="0.3">
      <c r="U60" t="e">
        <f t="shared" si="0"/>
        <v>#N/A</v>
      </c>
      <c r="V60">
        <v>-3.43</v>
      </c>
      <c r="W60">
        <f t="shared" si="1"/>
        <v>1.1122297072655649E-3</v>
      </c>
      <c r="X60" t="e">
        <f t="shared" si="2"/>
        <v>#N/A</v>
      </c>
      <c r="Y60">
        <f t="shared" si="3"/>
        <v>1.1122297072655649E-3</v>
      </c>
      <c r="Z60" t="e">
        <f t="shared" si="4"/>
        <v>#N/A</v>
      </c>
    </row>
    <row r="61" spans="21:26" x14ac:dyDescent="0.3">
      <c r="U61" t="e">
        <f t="shared" si="0"/>
        <v>#N/A</v>
      </c>
      <c r="V61">
        <v>-3.42</v>
      </c>
      <c r="W61">
        <f t="shared" si="1"/>
        <v>1.1509834441784845E-3</v>
      </c>
      <c r="X61" t="e">
        <f t="shared" si="2"/>
        <v>#N/A</v>
      </c>
      <c r="Y61">
        <f t="shared" si="3"/>
        <v>1.1509834441784845E-3</v>
      </c>
      <c r="Z61" t="e">
        <f t="shared" si="4"/>
        <v>#N/A</v>
      </c>
    </row>
    <row r="62" spans="21:26" x14ac:dyDescent="0.3">
      <c r="U62" t="e">
        <f t="shared" si="0"/>
        <v>#N/A</v>
      </c>
      <c r="V62">
        <v>-3.41</v>
      </c>
      <c r="W62">
        <f t="shared" si="1"/>
        <v>1.1909683858061166E-3</v>
      </c>
      <c r="X62" t="e">
        <f t="shared" si="2"/>
        <v>#N/A</v>
      </c>
      <c r="Y62">
        <f t="shared" si="3"/>
        <v>1.1909683858061166E-3</v>
      </c>
      <c r="Z62" t="e">
        <f t="shared" si="4"/>
        <v>#N/A</v>
      </c>
    </row>
    <row r="63" spans="21:26" x14ac:dyDescent="0.3">
      <c r="U63" t="e">
        <f t="shared" si="0"/>
        <v>#N/A</v>
      </c>
      <c r="V63">
        <v>-3.4</v>
      </c>
      <c r="W63">
        <f t="shared" si="1"/>
        <v>1.2322191684730199E-3</v>
      </c>
      <c r="X63" t="e">
        <f t="shared" si="2"/>
        <v>#N/A</v>
      </c>
      <c r="Y63">
        <f t="shared" si="3"/>
        <v>1.2322191684730199E-3</v>
      </c>
      <c r="Z63" t="e">
        <f t="shared" si="4"/>
        <v>#N/A</v>
      </c>
    </row>
    <row r="64" spans="21:26" x14ac:dyDescent="0.3">
      <c r="U64" t="e">
        <f t="shared" si="0"/>
        <v>#N/A</v>
      </c>
      <c r="V64">
        <v>-3.39</v>
      </c>
      <c r="W64">
        <f t="shared" si="1"/>
        <v>1.2747712436618327E-3</v>
      </c>
      <c r="X64" t="e">
        <f t="shared" si="2"/>
        <v>#N/A</v>
      </c>
      <c r="Y64">
        <f t="shared" si="3"/>
        <v>1.2747712436618327E-3</v>
      </c>
      <c r="Z64" t="e">
        <f t="shared" si="4"/>
        <v>#N/A</v>
      </c>
    </row>
    <row r="65" spans="21:26" x14ac:dyDescent="0.3">
      <c r="U65" t="e">
        <f t="shared" si="0"/>
        <v>#N/A</v>
      </c>
      <c r="V65">
        <v>-3.38</v>
      </c>
      <c r="W65">
        <f t="shared" si="1"/>
        <v>1.3186608918227423E-3</v>
      </c>
      <c r="X65" t="e">
        <f t="shared" si="2"/>
        <v>#N/A</v>
      </c>
      <c r="Y65">
        <f t="shared" si="3"/>
        <v>1.3186608918227423E-3</v>
      </c>
      <c r="Z65" t="e">
        <f t="shared" si="4"/>
        <v>#N/A</v>
      </c>
    </row>
    <row r="66" spans="21:26" x14ac:dyDescent="0.3">
      <c r="U66" t="e">
        <f t="shared" si="0"/>
        <v>#N/A</v>
      </c>
      <c r="V66">
        <v>-3.37</v>
      </c>
      <c r="W66">
        <f t="shared" si="1"/>
        <v>1.3639252362389036E-3</v>
      </c>
      <c r="X66" t="e">
        <f t="shared" si="2"/>
        <v>#N/A</v>
      </c>
      <c r="Y66">
        <f t="shared" si="3"/>
        <v>1.3639252362389036E-3</v>
      </c>
      <c r="Z66" t="e">
        <f t="shared" si="4"/>
        <v>#N/A</v>
      </c>
    </row>
    <row r="67" spans="21:26" x14ac:dyDescent="0.3">
      <c r="U67" t="e">
        <f t="shared" si="0"/>
        <v>#N/A</v>
      </c>
      <c r="V67">
        <v>-3.36</v>
      </c>
      <c r="W67">
        <f t="shared" si="1"/>
        <v>1.4106022569413848E-3</v>
      </c>
      <c r="X67" t="e">
        <f t="shared" si="2"/>
        <v>#N/A</v>
      </c>
      <c r="Y67">
        <f t="shared" si="3"/>
        <v>1.4106022569413848E-3</v>
      </c>
      <c r="Z67" t="e">
        <f t="shared" si="4"/>
        <v>#N/A</v>
      </c>
    </row>
    <row r="68" spans="21:26" x14ac:dyDescent="0.3">
      <c r="U68" t="e">
        <f t="shared" ref="U68:U131" si="5">IF($A$2=ABS(V68),0,NA())</f>
        <v>#N/A</v>
      </c>
      <c r="V68">
        <v>-3.35</v>
      </c>
      <c r="W68">
        <f t="shared" ref="W68:W131" si="6">_xlfn.NORM.S.DIST(V68,0)</f>
        <v>1.4587308046667459E-3</v>
      </c>
      <c r="X68" t="e">
        <f t="shared" ref="X68:X131" si="7">IF(ABS(V68)=$A$2,W68,NA())</f>
        <v>#N/A</v>
      </c>
      <c r="Y68">
        <f t="shared" ref="Y68:Y131" si="8">IF(V68&lt;=$A$2,W68,NA())</f>
        <v>1.4587308046667459E-3</v>
      </c>
      <c r="Z68" t="e">
        <f t="shared" ref="Z68:Z131" si="9">IF(ABS(V68)&lt;=$A$2,W68,NA())</f>
        <v>#N/A</v>
      </c>
    </row>
    <row r="69" spans="21:26" x14ac:dyDescent="0.3">
      <c r="U69" t="e">
        <f t="shared" si="5"/>
        <v>#N/A</v>
      </c>
      <c r="V69">
        <v>-3.34</v>
      </c>
      <c r="W69">
        <f t="shared" si="6"/>
        <v>1.5083506148503073E-3</v>
      </c>
      <c r="X69" t="e">
        <f t="shared" si="7"/>
        <v>#N/A</v>
      </c>
      <c r="Y69">
        <f t="shared" si="8"/>
        <v>1.5083506148503073E-3</v>
      </c>
      <c r="Z69" t="e">
        <f t="shared" si="9"/>
        <v>#N/A</v>
      </c>
    </row>
    <row r="70" spans="21:26" x14ac:dyDescent="0.3">
      <c r="U70" t="e">
        <f t="shared" si="5"/>
        <v>#N/A</v>
      </c>
      <c r="V70">
        <v>-3.33</v>
      </c>
      <c r="W70">
        <f t="shared" si="6"/>
        <v>1.5595023216476915E-3</v>
      </c>
      <c r="X70" t="e">
        <f t="shared" si="7"/>
        <v>#N/A</v>
      </c>
      <c r="Y70">
        <f t="shared" si="8"/>
        <v>1.5595023216476915E-3</v>
      </c>
      <c r="Z70" t="e">
        <f t="shared" si="9"/>
        <v>#N/A</v>
      </c>
    </row>
    <row r="71" spans="21:26" x14ac:dyDescent="0.3">
      <c r="U71" t="e">
        <f t="shared" si="5"/>
        <v>#N/A</v>
      </c>
      <c r="V71">
        <v>-3.32</v>
      </c>
      <c r="W71">
        <f t="shared" si="6"/>
        <v>1.6122274719771244E-3</v>
      </c>
      <c r="X71" t="e">
        <f t="shared" si="7"/>
        <v>#N/A</v>
      </c>
      <c r="Y71">
        <f t="shared" si="8"/>
        <v>1.6122274719771244E-3</v>
      </c>
      <c r="Z71" t="e">
        <f t="shared" si="9"/>
        <v>#N/A</v>
      </c>
    </row>
    <row r="72" spans="21:26" x14ac:dyDescent="0.3">
      <c r="U72" t="e">
        <f t="shared" si="5"/>
        <v>#N/A</v>
      </c>
      <c r="V72">
        <v>-3.31</v>
      </c>
      <c r="W72">
        <f t="shared" si="6"/>
        <v>1.6665685395745797E-3</v>
      </c>
      <c r="X72" t="e">
        <f t="shared" si="7"/>
        <v>#N/A</v>
      </c>
      <c r="Y72">
        <f t="shared" si="8"/>
        <v>1.6665685395745797E-3</v>
      </c>
      <c r="Z72" t="e">
        <f t="shared" si="9"/>
        <v>#N/A</v>
      </c>
    </row>
    <row r="73" spans="21:26" x14ac:dyDescent="0.3">
      <c r="U73" t="e">
        <f t="shared" si="5"/>
        <v>#N/A</v>
      </c>
      <c r="V73">
        <v>-3.3</v>
      </c>
      <c r="W73">
        <f t="shared" si="6"/>
        <v>1.7225689390536812E-3</v>
      </c>
      <c r="X73" t="e">
        <f t="shared" si="7"/>
        <v>#N/A</v>
      </c>
      <c r="Y73">
        <f t="shared" si="8"/>
        <v>1.7225689390536812E-3</v>
      </c>
      <c r="Z73" t="e">
        <f t="shared" si="9"/>
        <v>#N/A</v>
      </c>
    </row>
    <row r="74" spans="21:26" x14ac:dyDescent="0.3">
      <c r="U74" t="e">
        <f t="shared" si="5"/>
        <v>#N/A</v>
      </c>
      <c r="V74">
        <v>-3.29</v>
      </c>
      <c r="W74">
        <f t="shared" si="6"/>
        <v>1.7802730399618786E-3</v>
      </c>
      <c r="X74" t="e">
        <f t="shared" si="7"/>
        <v>#N/A</v>
      </c>
      <c r="Y74">
        <f t="shared" si="8"/>
        <v>1.7802730399618786E-3</v>
      </c>
      <c r="Z74" t="e">
        <f t="shared" si="9"/>
        <v>#N/A</v>
      </c>
    </row>
    <row r="75" spans="21:26" x14ac:dyDescent="0.3">
      <c r="U75" t="e">
        <f t="shared" si="5"/>
        <v>#N/A</v>
      </c>
      <c r="V75">
        <v>-3.28</v>
      </c>
      <c r="W75">
        <f t="shared" si="6"/>
        <v>1.839726180824281E-3</v>
      </c>
      <c r="X75" t="e">
        <f t="shared" si="7"/>
        <v>#N/A</v>
      </c>
      <c r="Y75">
        <f t="shared" si="8"/>
        <v>1.839726180824281E-3</v>
      </c>
      <c r="Z75" t="e">
        <f t="shared" si="9"/>
        <v>#N/A</v>
      </c>
    </row>
    <row r="76" spans="21:26" x14ac:dyDescent="0.3">
      <c r="U76" t="e">
        <f t="shared" si="5"/>
        <v>#N/A</v>
      </c>
      <c r="V76">
        <v>-3.27</v>
      </c>
      <c r="W76">
        <f t="shared" si="6"/>
        <v>1.9009746831660803E-3</v>
      </c>
      <c r="X76" t="e">
        <f t="shared" si="7"/>
        <v>#N/A</v>
      </c>
      <c r="Y76">
        <f t="shared" si="8"/>
        <v>1.9009746831660803E-3</v>
      </c>
      <c r="Z76" t="e">
        <f t="shared" si="9"/>
        <v>#N/A</v>
      </c>
    </row>
    <row r="77" spans="21:26" x14ac:dyDescent="0.3">
      <c r="U77" t="e">
        <f t="shared" si="5"/>
        <v>#N/A</v>
      </c>
      <c r="V77">
        <v>-3.26</v>
      </c>
      <c r="W77">
        <f t="shared" si="6"/>
        <v>1.9640658655043761E-3</v>
      </c>
      <c r="X77" t="e">
        <f t="shared" si="7"/>
        <v>#N/A</v>
      </c>
      <c r="Y77">
        <f t="shared" si="8"/>
        <v>1.9640658655043761E-3</v>
      </c>
      <c r="Z77" t="e">
        <f t="shared" si="9"/>
        <v>#N/A</v>
      </c>
    </row>
    <row r="78" spans="21:26" x14ac:dyDescent="0.3">
      <c r="U78" t="e">
        <f t="shared" si="5"/>
        <v>#N/A</v>
      </c>
      <c r="V78">
        <v>-3.25</v>
      </c>
      <c r="W78">
        <f t="shared" si="6"/>
        <v>2.0290480572997681E-3</v>
      </c>
      <c r="X78" t="e">
        <f t="shared" si="7"/>
        <v>#N/A</v>
      </c>
      <c r="Y78">
        <f t="shared" si="8"/>
        <v>2.0290480572997681E-3</v>
      </c>
      <c r="Z78" t="e">
        <f t="shared" si="9"/>
        <v>#N/A</v>
      </c>
    </row>
    <row r="79" spans="21:26" x14ac:dyDescent="0.3">
      <c r="U79" t="e">
        <f t="shared" si="5"/>
        <v>#N/A</v>
      </c>
      <c r="V79">
        <v>-3.24</v>
      </c>
      <c r="W79">
        <f t="shared" si="6"/>
        <v>2.0959706128579419E-3</v>
      </c>
      <c r="X79" t="e">
        <f t="shared" si="7"/>
        <v>#N/A</v>
      </c>
      <c r="Y79">
        <f t="shared" si="8"/>
        <v>2.0959706128579419E-3</v>
      </c>
      <c r="Z79" t="e">
        <f t="shared" si="9"/>
        <v>#N/A</v>
      </c>
    </row>
    <row r="80" spans="21:26" x14ac:dyDescent="0.3">
      <c r="U80" t="e">
        <f t="shared" si="5"/>
        <v>#N/A</v>
      </c>
      <c r="V80">
        <v>-3.23</v>
      </c>
      <c r="W80">
        <f t="shared" si="6"/>
        <v>2.164883925171062E-3</v>
      </c>
      <c r="X80" t="e">
        <f t="shared" si="7"/>
        <v>#N/A</v>
      </c>
      <c r="Y80">
        <f t="shared" si="8"/>
        <v>2.164883925171062E-3</v>
      </c>
      <c r="Z80" t="e">
        <f t="shared" si="9"/>
        <v>#N/A</v>
      </c>
    </row>
    <row r="81" spans="21:26" x14ac:dyDescent="0.3">
      <c r="U81" t="e">
        <f t="shared" si="5"/>
        <v>#N/A</v>
      </c>
      <c r="V81">
        <v>-3.22</v>
      </c>
      <c r="W81">
        <f t="shared" si="6"/>
        <v>2.2358394396885385E-3</v>
      </c>
      <c r="X81" t="e">
        <f t="shared" si="7"/>
        <v>#N/A</v>
      </c>
      <c r="Y81">
        <f t="shared" si="8"/>
        <v>2.2358394396885385E-3</v>
      </c>
      <c r="Z81" t="e">
        <f t="shared" si="9"/>
        <v>#N/A</v>
      </c>
    </row>
    <row r="82" spans="21:26" x14ac:dyDescent="0.3">
      <c r="U82" t="e">
        <f t="shared" si="5"/>
        <v>#N/A</v>
      </c>
      <c r="V82">
        <v>-3.21</v>
      </c>
      <c r="W82">
        <f t="shared" si="6"/>
        <v>2.3088896680064958E-3</v>
      </c>
      <c r="X82" t="e">
        <f t="shared" si="7"/>
        <v>#N/A</v>
      </c>
      <c r="Y82">
        <f t="shared" si="8"/>
        <v>2.3088896680064958E-3</v>
      </c>
      <c r="Z82" t="e">
        <f t="shared" si="9"/>
        <v>#N/A</v>
      </c>
    </row>
    <row r="83" spans="21:26" x14ac:dyDescent="0.3">
      <c r="U83" t="e">
        <f t="shared" si="5"/>
        <v>#N/A</v>
      </c>
      <c r="V83">
        <v>-3.2</v>
      </c>
      <c r="W83">
        <f t="shared" si="6"/>
        <v>2.3840882014648404E-3</v>
      </c>
      <c r="X83" t="e">
        <f t="shared" si="7"/>
        <v>#N/A</v>
      </c>
      <c r="Y83">
        <f t="shared" si="8"/>
        <v>2.3840882014648404E-3</v>
      </c>
      <c r="Z83" t="e">
        <f t="shared" si="9"/>
        <v>#N/A</v>
      </c>
    </row>
    <row r="84" spans="21:26" x14ac:dyDescent="0.3">
      <c r="U84" t="e">
        <f t="shared" si="5"/>
        <v>#N/A</v>
      </c>
      <c r="V84">
        <v>-3.19</v>
      </c>
      <c r="W84">
        <f t="shared" si="6"/>
        <v>2.4614897246407006E-3</v>
      </c>
      <c r="X84" t="e">
        <f t="shared" si="7"/>
        <v>#N/A</v>
      </c>
      <c r="Y84">
        <f t="shared" si="8"/>
        <v>2.4614897246407006E-3</v>
      </c>
      <c r="Z84" t="e">
        <f t="shared" si="9"/>
        <v>#N/A</v>
      </c>
    </row>
    <row r="85" spans="21:26" x14ac:dyDescent="0.3">
      <c r="U85" t="e">
        <f t="shared" si="5"/>
        <v>#N/A</v>
      </c>
      <c r="V85">
        <v>-3.18</v>
      </c>
      <c r="W85">
        <f t="shared" si="6"/>
        <v>2.5411500287265214E-3</v>
      </c>
      <c r="X85" t="e">
        <f t="shared" si="7"/>
        <v>#N/A</v>
      </c>
      <c r="Y85">
        <f t="shared" si="8"/>
        <v>2.5411500287265214E-3</v>
      </c>
      <c r="Z85" t="e">
        <f t="shared" si="9"/>
        <v>#N/A</v>
      </c>
    </row>
    <row r="86" spans="21:26" x14ac:dyDescent="0.3">
      <c r="U86" t="e">
        <f t="shared" si="5"/>
        <v>#N/A</v>
      </c>
      <c r="V86">
        <v>-3.17</v>
      </c>
      <c r="W86">
        <f t="shared" si="6"/>
        <v>2.6231260247810244E-3</v>
      </c>
      <c r="X86" t="e">
        <f t="shared" si="7"/>
        <v>#N/A</v>
      </c>
      <c r="Y86">
        <f t="shared" si="8"/>
        <v>2.6231260247810244E-3</v>
      </c>
      <c r="Z86" t="e">
        <f t="shared" si="9"/>
        <v>#N/A</v>
      </c>
    </row>
    <row r="87" spans="21:26" x14ac:dyDescent="0.3">
      <c r="U87" t="e">
        <f t="shared" si="5"/>
        <v>#N/A</v>
      </c>
      <c r="V87">
        <v>-3.16</v>
      </c>
      <c r="W87">
        <f t="shared" si="6"/>
        <v>2.7074757568406999E-3</v>
      </c>
      <c r="X87" t="e">
        <f t="shared" si="7"/>
        <v>#N/A</v>
      </c>
      <c r="Y87">
        <f t="shared" si="8"/>
        <v>2.7074757568406999E-3</v>
      </c>
      <c r="Z87" t="e">
        <f t="shared" si="9"/>
        <v>#N/A</v>
      </c>
    </row>
    <row r="88" spans="21:26" x14ac:dyDescent="0.3">
      <c r="U88" t="e">
        <f t="shared" si="5"/>
        <v>#N/A</v>
      </c>
      <c r="V88">
        <v>-3.15</v>
      </c>
      <c r="W88">
        <f t="shared" si="6"/>
        <v>2.7942584148794472E-3</v>
      </c>
      <c r="X88" t="e">
        <f t="shared" si="7"/>
        <v>#N/A</v>
      </c>
      <c r="Y88">
        <f t="shared" si="8"/>
        <v>2.7942584148794472E-3</v>
      </c>
      <c r="Z88" t="e">
        <f t="shared" si="9"/>
        <v>#N/A</v>
      </c>
    </row>
    <row r="89" spans="21:26" x14ac:dyDescent="0.3">
      <c r="U89" t="e">
        <f t="shared" si="5"/>
        <v>#N/A</v>
      </c>
      <c r="V89">
        <v>-3.14</v>
      </c>
      <c r="W89">
        <f t="shared" si="6"/>
        <v>2.8835343476034392E-3</v>
      </c>
      <c r="X89" t="e">
        <f t="shared" si="7"/>
        <v>#N/A</v>
      </c>
      <c r="Y89">
        <f t="shared" si="8"/>
        <v>2.8835343476034392E-3</v>
      </c>
      <c r="Z89" t="e">
        <f t="shared" si="9"/>
        <v>#N/A</v>
      </c>
    </row>
    <row r="90" spans="21:26" x14ac:dyDescent="0.3">
      <c r="U90" t="e">
        <f t="shared" si="5"/>
        <v>#N/A</v>
      </c>
      <c r="V90">
        <v>-3.13</v>
      </c>
      <c r="W90">
        <f t="shared" si="6"/>
        <v>2.9753650750682535E-3</v>
      </c>
      <c r="X90" t="e">
        <f t="shared" si="7"/>
        <v>#N/A</v>
      </c>
      <c r="Y90">
        <f t="shared" si="8"/>
        <v>2.9753650750682535E-3</v>
      </c>
      <c r="Z90" t="e">
        <f t="shared" si="9"/>
        <v>#N/A</v>
      </c>
    </row>
    <row r="91" spans="21:26" x14ac:dyDescent="0.3">
      <c r="U91" t="e">
        <f t="shared" si="5"/>
        <v>#N/A</v>
      </c>
      <c r="V91">
        <v>-3.12</v>
      </c>
      <c r="W91">
        <f t="shared" si="6"/>
        <v>3.0698133011047403E-3</v>
      </c>
      <c r="X91" t="e">
        <f t="shared" si="7"/>
        <v>#N/A</v>
      </c>
      <c r="Y91">
        <f t="shared" si="8"/>
        <v>3.0698133011047403E-3</v>
      </c>
      <c r="Z91" t="e">
        <f t="shared" si="9"/>
        <v>#N/A</v>
      </c>
    </row>
    <row r="92" spans="21:26" x14ac:dyDescent="0.3">
      <c r="U92" t="e">
        <f t="shared" si="5"/>
        <v>#N/A</v>
      </c>
      <c r="V92">
        <v>-3.11</v>
      </c>
      <c r="W92">
        <f t="shared" si="6"/>
        <v>3.1669429255400811E-3</v>
      </c>
      <c r="X92" t="e">
        <f t="shared" si="7"/>
        <v>#N/A</v>
      </c>
      <c r="Y92">
        <f t="shared" si="8"/>
        <v>3.1669429255400811E-3</v>
      </c>
      <c r="Z92" t="e">
        <f t="shared" si="9"/>
        <v>#N/A</v>
      </c>
    </row>
    <row r="93" spans="21:26" x14ac:dyDescent="0.3">
      <c r="U93" t="e">
        <f t="shared" si="5"/>
        <v>#N/A</v>
      </c>
      <c r="V93">
        <v>-3.1</v>
      </c>
      <c r="W93">
        <f t="shared" si="6"/>
        <v>3.2668190561999182E-3</v>
      </c>
      <c r="X93" t="e">
        <f t="shared" si="7"/>
        <v>#N/A</v>
      </c>
      <c r="Y93">
        <f t="shared" si="8"/>
        <v>3.2668190561999182E-3</v>
      </c>
      <c r="Z93" t="e">
        <f t="shared" si="9"/>
        <v>#N/A</v>
      </c>
    </row>
    <row r="94" spans="21:26" x14ac:dyDescent="0.3">
      <c r="U94" t="e">
        <f t="shared" si="5"/>
        <v>#N/A</v>
      </c>
      <c r="V94">
        <v>-3.09</v>
      </c>
      <c r="W94">
        <f t="shared" si="6"/>
        <v>3.3695080206774812E-3</v>
      </c>
      <c r="X94" t="e">
        <f t="shared" si="7"/>
        <v>#N/A</v>
      </c>
      <c r="Y94">
        <f t="shared" si="8"/>
        <v>3.3695080206774812E-3</v>
      </c>
      <c r="Z94" t="e">
        <f t="shared" si="9"/>
        <v>#N/A</v>
      </c>
    </row>
    <row r="95" spans="21:26" x14ac:dyDescent="0.3">
      <c r="U95" t="e">
        <f t="shared" si="5"/>
        <v>#N/A</v>
      </c>
      <c r="V95">
        <v>-3.08</v>
      </c>
      <c r="W95">
        <f t="shared" si="6"/>
        <v>3.4750773778549375E-3</v>
      </c>
      <c r="X95" t="e">
        <f t="shared" si="7"/>
        <v>#N/A</v>
      </c>
      <c r="Y95">
        <f t="shared" si="8"/>
        <v>3.4750773778549375E-3</v>
      </c>
      <c r="Z95" t="e">
        <f t="shared" si="9"/>
        <v>#N/A</v>
      </c>
    </row>
    <row r="96" spans="21:26" x14ac:dyDescent="0.3">
      <c r="U96" t="e">
        <f t="shared" si="5"/>
        <v>#N/A</v>
      </c>
      <c r="V96">
        <v>-3.07</v>
      </c>
      <c r="W96">
        <f t="shared" si="6"/>
        <v>3.5835959291623614E-3</v>
      </c>
      <c r="X96" t="e">
        <f t="shared" si="7"/>
        <v>#N/A</v>
      </c>
      <c r="Y96">
        <f t="shared" si="8"/>
        <v>3.5835959291623614E-3</v>
      </c>
      <c r="Z96" t="e">
        <f t="shared" si="9"/>
        <v>#N/A</v>
      </c>
    </row>
    <row r="97" spans="21:26" x14ac:dyDescent="0.3">
      <c r="U97" t="e">
        <f t="shared" si="5"/>
        <v>#N/A</v>
      </c>
      <c r="V97">
        <v>-3.06</v>
      </c>
      <c r="W97">
        <f t="shared" si="6"/>
        <v>3.6951337295590349E-3</v>
      </c>
      <c r="X97" t="e">
        <f t="shared" si="7"/>
        <v>#N/A</v>
      </c>
      <c r="Y97">
        <f t="shared" si="8"/>
        <v>3.6951337295590349E-3</v>
      </c>
      <c r="Z97" t="e">
        <f t="shared" si="9"/>
        <v>#N/A</v>
      </c>
    </row>
    <row r="98" spans="21:26" x14ac:dyDescent="0.3">
      <c r="U98" t="e">
        <f t="shared" si="5"/>
        <v>#N/A</v>
      </c>
      <c r="V98">
        <v>-3.05</v>
      </c>
      <c r="W98">
        <f t="shared" si="6"/>
        <v>3.8097620982218104E-3</v>
      </c>
      <c r="X98" t="e">
        <f t="shared" si="7"/>
        <v>#N/A</v>
      </c>
      <c r="Y98">
        <f t="shared" si="8"/>
        <v>3.8097620982218104E-3</v>
      </c>
      <c r="Z98" t="e">
        <f t="shared" si="9"/>
        <v>#N/A</v>
      </c>
    </row>
    <row r="99" spans="21:26" x14ac:dyDescent="0.3">
      <c r="U99" t="e">
        <f t="shared" si="5"/>
        <v>#N/A</v>
      </c>
      <c r="V99">
        <v>-3.04</v>
      </c>
      <c r="W99">
        <f t="shared" si="6"/>
        <v>3.9275536289247789E-3</v>
      </c>
      <c r="X99" t="e">
        <f t="shared" si="7"/>
        <v>#N/A</v>
      </c>
      <c r="Y99">
        <f t="shared" si="8"/>
        <v>3.9275536289247789E-3</v>
      </c>
      <c r="Z99" t="e">
        <f t="shared" si="9"/>
        <v>#N/A</v>
      </c>
    </row>
    <row r="100" spans="21:26" x14ac:dyDescent="0.3">
      <c r="U100" t="e">
        <f t="shared" si="5"/>
        <v>#N/A</v>
      </c>
      <c r="V100">
        <v>-3.03</v>
      </c>
      <c r="W100">
        <f t="shared" si="6"/>
        <v>4.04858220009443E-3</v>
      </c>
      <c r="X100" t="e">
        <f t="shared" si="7"/>
        <v>#N/A</v>
      </c>
      <c r="Y100">
        <f t="shared" si="8"/>
        <v>4.04858220009443E-3</v>
      </c>
      <c r="Z100" t="e">
        <f t="shared" si="9"/>
        <v>#N/A</v>
      </c>
    </row>
    <row r="101" spans="21:26" x14ac:dyDescent="0.3">
      <c r="U101" t="e">
        <f t="shared" si="5"/>
        <v>#N/A</v>
      </c>
      <c r="V101">
        <v>-3.02</v>
      </c>
      <c r="W101">
        <f t="shared" si="6"/>
        <v>4.1729229845239623E-3</v>
      </c>
      <c r="X101" t="e">
        <f t="shared" si="7"/>
        <v>#N/A</v>
      </c>
      <c r="Y101">
        <f t="shared" si="8"/>
        <v>4.1729229845239623E-3</v>
      </c>
      <c r="Z101" t="e">
        <f t="shared" si="9"/>
        <v>#N/A</v>
      </c>
    </row>
    <row r="102" spans="21:26" x14ac:dyDescent="0.3">
      <c r="U102" t="e">
        <f t="shared" si="5"/>
        <v>#N/A</v>
      </c>
      <c r="V102">
        <v>-3.01</v>
      </c>
      <c r="W102">
        <f t="shared" si="6"/>
        <v>4.3006524587304498E-3</v>
      </c>
      <c r="X102" t="e">
        <f t="shared" si="7"/>
        <v>#N/A</v>
      </c>
      <c r="Y102">
        <f t="shared" si="8"/>
        <v>4.3006524587304498E-3</v>
      </c>
      <c r="Z102" t="e">
        <f t="shared" si="9"/>
        <v>#N/A</v>
      </c>
    </row>
    <row r="103" spans="21:26" x14ac:dyDescent="0.3">
      <c r="U103" t="e">
        <f t="shared" si="5"/>
        <v>#N/A</v>
      </c>
      <c r="V103">
        <v>-3</v>
      </c>
      <c r="W103">
        <f t="shared" si="6"/>
        <v>4.4318484119380075E-3</v>
      </c>
      <c r="X103" t="e">
        <f t="shared" si="7"/>
        <v>#N/A</v>
      </c>
      <c r="Y103">
        <f t="shared" si="8"/>
        <v>4.4318484119380075E-3</v>
      </c>
      <c r="Z103" t="e">
        <f t="shared" si="9"/>
        <v>#N/A</v>
      </c>
    </row>
    <row r="104" spans="21:26" x14ac:dyDescent="0.3">
      <c r="U104" t="e">
        <f t="shared" si="5"/>
        <v>#N/A</v>
      </c>
      <c r="V104">
        <v>-2.99</v>
      </c>
      <c r="W104">
        <f t="shared" si="6"/>
        <v>4.5665899546701444E-3</v>
      </c>
      <c r="X104" t="e">
        <f t="shared" si="7"/>
        <v>#N/A</v>
      </c>
      <c r="Y104">
        <f t="shared" si="8"/>
        <v>4.5665899546701444E-3</v>
      </c>
      <c r="Z104" t="e">
        <f t="shared" si="9"/>
        <v>#N/A</v>
      </c>
    </row>
    <row r="105" spans="21:26" x14ac:dyDescent="0.3">
      <c r="U105" t="e">
        <f t="shared" si="5"/>
        <v>#N/A</v>
      </c>
      <c r="V105">
        <v>-2.98</v>
      </c>
      <c r="W105">
        <f t="shared" si="6"/>
        <v>4.7049575269339792E-3</v>
      </c>
      <c r="X105" t="e">
        <f t="shared" si="7"/>
        <v>#N/A</v>
      </c>
      <c r="Y105">
        <f t="shared" si="8"/>
        <v>4.7049575269339792E-3</v>
      </c>
      <c r="Z105" t="e">
        <f t="shared" si="9"/>
        <v>#N/A</v>
      </c>
    </row>
    <row r="106" spans="21:26" x14ac:dyDescent="0.3">
      <c r="U106" t="e">
        <f t="shared" si="5"/>
        <v>#N/A</v>
      </c>
      <c r="V106">
        <v>-2.97</v>
      </c>
      <c r="W106">
        <f t="shared" si="6"/>
        <v>4.847032905978944E-3</v>
      </c>
      <c r="X106" t="e">
        <f t="shared" si="7"/>
        <v>#N/A</v>
      </c>
      <c r="Y106">
        <f t="shared" si="8"/>
        <v>4.847032905978944E-3</v>
      </c>
      <c r="Z106" t="e">
        <f t="shared" si="9"/>
        <v>#N/A</v>
      </c>
    </row>
    <row r="107" spans="21:26" x14ac:dyDescent="0.3">
      <c r="U107" t="e">
        <f t="shared" si="5"/>
        <v>#N/A</v>
      </c>
      <c r="V107">
        <v>-2.96</v>
      </c>
      <c r="W107">
        <f t="shared" si="6"/>
        <v>4.9928992136123763E-3</v>
      </c>
      <c r="X107" t="e">
        <f t="shared" si="7"/>
        <v>#N/A</v>
      </c>
      <c r="Y107">
        <f t="shared" si="8"/>
        <v>4.9928992136123763E-3</v>
      </c>
      <c r="Z107" t="e">
        <f t="shared" si="9"/>
        <v>#N/A</v>
      </c>
    </row>
    <row r="108" spans="21:26" x14ac:dyDescent="0.3">
      <c r="U108" t="e">
        <f t="shared" si="5"/>
        <v>#N/A</v>
      </c>
      <c r="V108">
        <v>-2.95</v>
      </c>
      <c r="W108">
        <f t="shared" si="6"/>
        <v>5.1426409230539392E-3</v>
      </c>
      <c r="X108" t="e">
        <f t="shared" si="7"/>
        <v>#N/A</v>
      </c>
      <c r="Y108">
        <f t="shared" si="8"/>
        <v>5.1426409230539392E-3</v>
      </c>
      <c r="Z108" t="e">
        <f t="shared" si="9"/>
        <v>#N/A</v>
      </c>
    </row>
    <row r="109" spans="21:26" x14ac:dyDescent="0.3">
      <c r="U109" t="e">
        <f t="shared" si="5"/>
        <v>#N/A</v>
      </c>
      <c r="V109">
        <v>-2.94</v>
      </c>
      <c r="W109">
        <f t="shared" si="6"/>
        <v>5.2963438653110201E-3</v>
      </c>
      <c r="X109" t="e">
        <f t="shared" si="7"/>
        <v>#N/A</v>
      </c>
      <c r="Y109">
        <f t="shared" si="8"/>
        <v>5.2963438653110201E-3</v>
      </c>
      <c r="Z109" t="e">
        <f t="shared" si="9"/>
        <v>#N/A</v>
      </c>
    </row>
    <row r="110" spans="21:26" x14ac:dyDescent="0.3">
      <c r="U110" t="e">
        <f t="shared" si="5"/>
        <v>#N/A</v>
      </c>
      <c r="V110">
        <v>-2.93</v>
      </c>
      <c r="W110">
        <f t="shared" si="6"/>
        <v>5.4540952350565454E-3</v>
      </c>
      <c r="X110" t="e">
        <f t="shared" si="7"/>
        <v>#N/A</v>
      </c>
      <c r="Y110">
        <f t="shared" si="8"/>
        <v>5.4540952350565454E-3</v>
      </c>
      <c r="Z110" t="e">
        <f t="shared" si="9"/>
        <v>#N/A</v>
      </c>
    </row>
    <row r="111" spans="21:26" x14ac:dyDescent="0.3">
      <c r="U111" t="e">
        <f t="shared" si="5"/>
        <v>#N/A</v>
      </c>
      <c r="V111">
        <v>-2.92</v>
      </c>
      <c r="W111">
        <f t="shared" si="6"/>
        <v>5.615983595990969E-3</v>
      </c>
      <c r="X111" t="e">
        <f t="shared" si="7"/>
        <v>#N/A</v>
      </c>
      <c r="Y111">
        <f t="shared" si="8"/>
        <v>5.615983595990969E-3</v>
      </c>
      <c r="Z111" t="e">
        <f t="shared" si="9"/>
        <v>#N/A</v>
      </c>
    </row>
    <row r="112" spans="21:26" x14ac:dyDescent="0.3">
      <c r="U112" t="e">
        <f t="shared" si="5"/>
        <v>#N/A</v>
      </c>
      <c r="V112">
        <v>-2.91</v>
      </c>
      <c r="W112">
        <f t="shared" si="6"/>
        <v>5.7820988856694729E-3</v>
      </c>
      <c r="X112" t="e">
        <f t="shared" si="7"/>
        <v>#N/A</v>
      </c>
      <c r="Y112">
        <f t="shared" si="8"/>
        <v>5.7820988856694729E-3</v>
      </c>
      <c r="Z112" t="e">
        <f t="shared" si="9"/>
        <v>#N/A</v>
      </c>
    </row>
    <row r="113" spans="21:26" x14ac:dyDescent="0.3">
      <c r="U113" t="e">
        <f t="shared" si="5"/>
        <v>#N/A</v>
      </c>
      <c r="V113">
        <v>-2.9</v>
      </c>
      <c r="W113">
        <f t="shared" si="6"/>
        <v>5.9525324197758538E-3</v>
      </c>
      <c r="X113" t="e">
        <f t="shared" si="7"/>
        <v>#N/A</v>
      </c>
      <c r="Y113">
        <f t="shared" si="8"/>
        <v>5.9525324197758538E-3</v>
      </c>
      <c r="Z113" t="e">
        <f t="shared" si="9"/>
        <v>#N/A</v>
      </c>
    </row>
    <row r="114" spans="21:26" x14ac:dyDescent="0.3">
      <c r="U114" t="e">
        <f t="shared" si="5"/>
        <v>#N/A</v>
      </c>
      <c r="V114">
        <v>-2.89</v>
      </c>
      <c r="W114">
        <f t="shared" si="6"/>
        <v>6.1273768958236873E-3</v>
      </c>
      <c r="X114" t="e">
        <f t="shared" si="7"/>
        <v>#N/A</v>
      </c>
      <c r="Y114">
        <f t="shared" si="8"/>
        <v>6.1273768958236873E-3</v>
      </c>
      <c r="Z114" t="e">
        <f t="shared" si="9"/>
        <v>#N/A</v>
      </c>
    </row>
    <row r="115" spans="21:26" x14ac:dyDescent="0.3">
      <c r="U115" t="e">
        <f t="shared" si="5"/>
        <v>#N/A</v>
      </c>
      <c r="V115">
        <v>-2.88</v>
      </c>
      <c r="W115">
        <f t="shared" si="6"/>
        <v>6.3067263962659275E-3</v>
      </c>
      <c r="X115" t="e">
        <f t="shared" si="7"/>
        <v>#N/A</v>
      </c>
      <c r="Y115">
        <f t="shared" si="8"/>
        <v>6.3067263962659275E-3</v>
      </c>
      <c r="Z115" t="e">
        <f t="shared" si="9"/>
        <v>#N/A</v>
      </c>
    </row>
    <row r="116" spans="21:26" x14ac:dyDescent="0.3">
      <c r="U116" t="e">
        <f t="shared" si="5"/>
        <v>#N/A</v>
      </c>
      <c r="V116">
        <v>-2.87</v>
      </c>
      <c r="W116">
        <f t="shared" si="6"/>
        <v>6.4906763909933643E-3</v>
      </c>
      <c r="X116" t="e">
        <f t="shared" si="7"/>
        <v>#N/A</v>
      </c>
      <c r="Y116">
        <f t="shared" si="8"/>
        <v>6.4906763909933643E-3</v>
      </c>
      <c r="Z116" t="e">
        <f t="shared" si="9"/>
        <v>#N/A</v>
      </c>
    </row>
    <row r="117" spans="21:26" x14ac:dyDescent="0.3">
      <c r="U117" t="e">
        <f t="shared" si="5"/>
        <v>#N/A</v>
      </c>
      <c r="V117">
        <v>-2.86</v>
      </c>
      <c r="W117">
        <f t="shared" si="6"/>
        <v>6.6793237392026202E-3</v>
      </c>
      <c r="X117" t="e">
        <f t="shared" si="7"/>
        <v>#N/A</v>
      </c>
      <c r="Y117">
        <f t="shared" si="8"/>
        <v>6.6793237392026202E-3</v>
      </c>
      <c r="Z117" t="e">
        <f t="shared" si="9"/>
        <v>#N/A</v>
      </c>
    </row>
    <row r="118" spans="21:26" x14ac:dyDescent="0.3">
      <c r="U118" t="e">
        <f t="shared" si="5"/>
        <v>#N/A</v>
      </c>
      <c r="V118">
        <v>-2.85</v>
      </c>
      <c r="W118">
        <f t="shared" si="6"/>
        <v>6.8727666906139712E-3</v>
      </c>
      <c r="X118" t="e">
        <f t="shared" si="7"/>
        <v>#N/A</v>
      </c>
      <c r="Y118">
        <f t="shared" si="8"/>
        <v>6.8727666906139712E-3</v>
      </c>
      <c r="Z118" t="e">
        <f t="shared" si="9"/>
        <v>#N/A</v>
      </c>
    </row>
    <row r="119" spans="21:26" x14ac:dyDescent="0.3">
      <c r="U119" t="e">
        <f t="shared" si="5"/>
        <v>#N/A</v>
      </c>
      <c r="V119">
        <v>-2.84</v>
      </c>
      <c r="W119">
        <f t="shared" si="6"/>
        <v>7.0711048860194487E-3</v>
      </c>
      <c r="X119" t="e">
        <f t="shared" si="7"/>
        <v>#N/A</v>
      </c>
      <c r="Y119">
        <f t="shared" si="8"/>
        <v>7.0711048860194487E-3</v>
      </c>
      <c r="Z119" t="e">
        <f t="shared" si="9"/>
        <v>#N/A</v>
      </c>
    </row>
    <row r="120" spans="21:26" x14ac:dyDescent="0.3">
      <c r="U120" t="e">
        <f t="shared" si="5"/>
        <v>#N/A</v>
      </c>
      <c r="V120">
        <v>-2.83</v>
      </c>
      <c r="W120">
        <f t="shared" si="6"/>
        <v>7.2744393571412182E-3</v>
      </c>
      <c r="X120" t="e">
        <f t="shared" si="7"/>
        <v>#N/A</v>
      </c>
      <c r="Y120">
        <f t="shared" si="8"/>
        <v>7.2744393571412182E-3</v>
      </c>
      <c r="Z120" t="e">
        <f t="shared" si="9"/>
        <v>#N/A</v>
      </c>
    </row>
    <row r="121" spans="21:26" x14ac:dyDescent="0.3">
      <c r="U121" t="e">
        <f t="shared" si="5"/>
        <v>#N/A</v>
      </c>
      <c r="V121">
        <v>-2.82</v>
      </c>
      <c r="W121">
        <f t="shared" si="6"/>
        <v>7.4828725257805638E-3</v>
      </c>
      <c r="X121" t="e">
        <f t="shared" si="7"/>
        <v>#N/A</v>
      </c>
      <c r="Y121">
        <f t="shared" si="8"/>
        <v>7.4828725257805638E-3</v>
      </c>
      <c r="Z121" t="e">
        <f t="shared" si="9"/>
        <v>#N/A</v>
      </c>
    </row>
    <row r="122" spans="21:26" x14ac:dyDescent="0.3">
      <c r="U122" t="e">
        <f t="shared" si="5"/>
        <v>#N/A</v>
      </c>
      <c r="V122">
        <v>-2.81</v>
      </c>
      <c r="W122">
        <f t="shared" si="6"/>
        <v>7.6965082022373218E-3</v>
      </c>
      <c r="X122" t="e">
        <f t="shared" si="7"/>
        <v>#N/A</v>
      </c>
      <c r="Y122">
        <f t="shared" si="8"/>
        <v>7.6965082022373218E-3</v>
      </c>
      <c r="Z122" t="e">
        <f t="shared" si="9"/>
        <v>#N/A</v>
      </c>
    </row>
    <row r="123" spans="21:26" x14ac:dyDescent="0.3">
      <c r="U123" t="e">
        <f t="shared" si="5"/>
        <v>#N/A</v>
      </c>
      <c r="V123">
        <v>-2.8</v>
      </c>
      <c r="W123">
        <f t="shared" si="6"/>
        <v>7.9154515829799686E-3</v>
      </c>
      <c r="X123" t="e">
        <f t="shared" si="7"/>
        <v>#N/A</v>
      </c>
      <c r="Y123">
        <f t="shared" si="8"/>
        <v>7.9154515829799686E-3</v>
      </c>
      <c r="Z123" t="e">
        <f t="shared" si="9"/>
        <v>#N/A</v>
      </c>
    </row>
    <row r="124" spans="21:26" x14ac:dyDescent="0.3">
      <c r="U124" t="e">
        <f t="shared" si="5"/>
        <v>#N/A</v>
      </c>
      <c r="V124">
        <v>-2.79</v>
      </c>
      <c r="W124">
        <f t="shared" si="6"/>
        <v>8.1398092475460215E-3</v>
      </c>
      <c r="X124" t="e">
        <f t="shared" si="7"/>
        <v>#N/A</v>
      </c>
      <c r="Y124">
        <f t="shared" si="8"/>
        <v>8.1398092475460215E-3</v>
      </c>
      <c r="Z124" t="e">
        <f t="shared" si="9"/>
        <v>#N/A</v>
      </c>
    </row>
    <row r="125" spans="21:26" x14ac:dyDescent="0.3">
      <c r="U125" t="e">
        <f t="shared" si="5"/>
        <v>#N/A</v>
      </c>
      <c r="V125">
        <v>-2.78</v>
      </c>
      <c r="W125">
        <f t="shared" si="6"/>
        <v>8.369689154653033E-3</v>
      </c>
      <c r="X125" t="e">
        <f t="shared" si="7"/>
        <v>#N/A</v>
      </c>
      <c r="Y125">
        <f t="shared" si="8"/>
        <v>8.369689154653033E-3</v>
      </c>
      <c r="Z125" t="e">
        <f t="shared" si="9"/>
        <v>#N/A</v>
      </c>
    </row>
    <row r="126" spans="21:26" x14ac:dyDescent="0.3">
      <c r="U126" t="e">
        <f t="shared" si="5"/>
        <v>#N/A</v>
      </c>
      <c r="V126">
        <v>-2.77</v>
      </c>
      <c r="W126">
        <f t="shared" si="6"/>
        <v>8.6052006374996715E-3</v>
      </c>
      <c r="X126" t="e">
        <f t="shared" si="7"/>
        <v>#N/A</v>
      </c>
      <c r="Y126">
        <f t="shared" si="8"/>
        <v>8.6052006374996715E-3</v>
      </c>
      <c r="Z126" t="e">
        <f t="shared" si="9"/>
        <v>#N/A</v>
      </c>
    </row>
    <row r="127" spans="21:26" x14ac:dyDescent="0.3">
      <c r="U127" t="e">
        <f t="shared" si="5"/>
        <v>#N/A</v>
      </c>
      <c r="V127">
        <v>-2.76</v>
      </c>
      <c r="W127">
        <f t="shared" si="6"/>
        <v>8.8464543982372315E-3</v>
      </c>
      <c r="X127" t="e">
        <f t="shared" si="7"/>
        <v>#N/A</v>
      </c>
      <c r="Y127">
        <f t="shared" si="8"/>
        <v>8.8464543982372315E-3</v>
      </c>
      <c r="Z127" t="e">
        <f t="shared" si="9"/>
        <v>#N/A</v>
      </c>
    </row>
    <row r="128" spans="21:26" x14ac:dyDescent="0.3">
      <c r="U128" t="e">
        <f t="shared" si="5"/>
        <v>#N/A</v>
      </c>
      <c r="V128">
        <v>-2.75</v>
      </c>
      <c r="W128">
        <f t="shared" si="6"/>
        <v>9.0935625015910529E-3</v>
      </c>
      <c r="X128" t="e">
        <f t="shared" si="7"/>
        <v>#N/A</v>
      </c>
      <c r="Y128">
        <f t="shared" si="8"/>
        <v>9.0935625015910529E-3</v>
      </c>
      <c r="Z128" t="e">
        <f t="shared" si="9"/>
        <v>#N/A</v>
      </c>
    </row>
    <row r="129" spans="21:26" x14ac:dyDescent="0.3">
      <c r="U129" t="e">
        <f t="shared" si="5"/>
        <v>#N/A</v>
      </c>
      <c r="V129">
        <v>-2.74</v>
      </c>
      <c r="W129">
        <f t="shared" si="6"/>
        <v>9.3466383676122835E-3</v>
      </c>
      <c r="X129" t="e">
        <f t="shared" si="7"/>
        <v>#N/A</v>
      </c>
      <c r="Y129">
        <f t="shared" si="8"/>
        <v>9.3466383676122835E-3</v>
      </c>
      <c r="Z129" t="e">
        <f t="shared" si="9"/>
        <v>#N/A</v>
      </c>
    </row>
    <row r="130" spans="21:26" x14ac:dyDescent="0.3">
      <c r="U130" t="e">
        <f t="shared" si="5"/>
        <v>#N/A</v>
      </c>
      <c r="V130">
        <v>-2.73</v>
      </c>
      <c r="W130">
        <f t="shared" si="6"/>
        <v>9.6057967635395872E-3</v>
      </c>
      <c r="X130" t="e">
        <f t="shared" si="7"/>
        <v>#N/A</v>
      </c>
      <c r="Y130">
        <f t="shared" si="8"/>
        <v>9.6057967635395872E-3</v>
      </c>
      <c r="Z130" t="e">
        <f t="shared" si="9"/>
        <v>#N/A</v>
      </c>
    </row>
    <row r="131" spans="21:26" x14ac:dyDescent="0.3">
      <c r="U131" t="e">
        <f t="shared" si="5"/>
        <v>#N/A</v>
      </c>
      <c r="V131">
        <v>-2.72</v>
      </c>
      <c r="W131">
        <f t="shared" si="6"/>
        <v>9.8711537947511301E-3</v>
      </c>
      <c r="X131" t="e">
        <f t="shared" si="7"/>
        <v>#N/A</v>
      </c>
      <c r="Y131">
        <f t="shared" si="8"/>
        <v>9.8711537947511301E-3</v>
      </c>
      <c r="Z131" t="e">
        <f t="shared" si="9"/>
        <v>#N/A</v>
      </c>
    </row>
    <row r="132" spans="21:26" x14ac:dyDescent="0.3">
      <c r="U132" t="e">
        <f t="shared" ref="U132:U195" si="10">IF($A$2=ABS(V132),0,NA())</f>
        <v>#N/A</v>
      </c>
      <c r="V132">
        <v>-2.71</v>
      </c>
      <c r="W132">
        <f t="shared" ref="W132:W195" si="11">_xlfn.NORM.S.DIST(V132,0)</f>
        <v>1.0142826894787077E-2</v>
      </c>
      <c r="X132" t="e">
        <f t="shared" ref="X132:X195" si="12">IF(ABS(V132)=$A$2,W132,NA())</f>
        <v>#N/A</v>
      </c>
      <c r="Y132">
        <f t="shared" ref="Y132:Y195" si="13">IF(V132&lt;=$A$2,W132,NA())</f>
        <v>1.0142826894787077E-2</v>
      </c>
      <c r="Z132" t="e">
        <f t="shared" ref="Z132:Z195" si="14">IF(ABS(V132)&lt;=$A$2,W132,NA())</f>
        <v>#N/A</v>
      </c>
    </row>
    <row r="133" spans="21:26" x14ac:dyDescent="0.3">
      <c r="U133" t="e">
        <f t="shared" si="10"/>
        <v>#N/A</v>
      </c>
      <c r="V133">
        <v>-2.7</v>
      </c>
      <c r="W133">
        <f t="shared" si="11"/>
        <v>1.0420934814422592E-2</v>
      </c>
      <c r="X133" t="e">
        <f t="shared" si="12"/>
        <v>#N/A</v>
      </c>
      <c r="Y133">
        <f t="shared" si="13"/>
        <v>1.0420934814422592E-2</v>
      </c>
      <c r="Z133" t="e">
        <f t="shared" si="14"/>
        <v>#N/A</v>
      </c>
    </row>
    <row r="134" spans="21:26" x14ac:dyDescent="0.3">
      <c r="U134" t="e">
        <f t="shared" si="10"/>
        <v>#N/A</v>
      </c>
      <c r="V134">
        <v>-2.69</v>
      </c>
      <c r="W134">
        <f t="shared" si="11"/>
        <v>1.0705597609772187E-2</v>
      </c>
      <c r="X134" t="e">
        <f t="shared" si="12"/>
        <v>#N/A</v>
      </c>
      <c r="Y134">
        <f t="shared" si="13"/>
        <v>1.0705597609772187E-2</v>
      </c>
      <c r="Z134" t="e">
        <f t="shared" si="14"/>
        <v>#N/A</v>
      </c>
    </row>
    <row r="135" spans="21:26" x14ac:dyDescent="0.3">
      <c r="U135" t="e">
        <f t="shared" si="10"/>
        <v>#N/A</v>
      </c>
      <c r="V135">
        <v>-2.68</v>
      </c>
      <c r="W135">
        <f t="shared" si="11"/>
        <v>1.0996936629405572E-2</v>
      </c>
      <c r="X135" t="e">
        <f t="shared" si="12"/>
        <v>#N/A</v>
      </c>
      <c r="Y135">
        <f t="shared" si="13"/>
        <v>1.0996936629405572E-2</v>
      </c>
      <c r="Z135" t="e">
        <f t="shared" si="14"/>
        <v>#N/A</v>
      </c>
    </row>
    <row r="136" spans="21:26" x14ac:dyDescent="0.3">
      <c r="U136" t="e">
        <f t="shared" si="10"/>
        <v>#N/A</v>
      </c>
      <c r="V136">
        <v>-2.67</v>
      </c>
      <c r="W136">
        <f t="shared" si="11"/>
        <v>1.1295074500456135E-2</v>
      </c>
      <c r="X136" t="e">
        <f t="shared" si="12"/>
        <v>#N/A</v>
      </c>
      <c r="Y136">
        <f t="shared" si="13"/>
        <v>1.1295074500456135E-2</v>
      </c>
      <c r="Z136" t="e">
        <f t="shared" si="14"/>
        <v>#N/A</v>
      </c>
    </row>
    <row r="137" spans="21:26" x14ac:dyDescent="0.3">
      <c r="U137" t="e">
        <f t="shared" si="10"/>
        <v>#N/A</v>
      </c>
      <c r="V137">
        <v>-2.66</v>
      </c>
      <c r="W137">
        <f t="shared" si="11"/>
        <v>1.1600135113702561E-2</v>
      </c>
      <c r="X137" t="e">
        <f t="shared" si="12"/>
        <v>#N/A</v>
      </c>
      <c r="Y137">
        <f t="shared" si="13"/>
        <v>1.1600135113702561E-2</v>
      </c>
      <c r="Z137" t="e">
        <f t="shared" si="14"/>
        <v>#N/A</v>
      </c>
    </row>
    <row r="138" spans="21:26" x14ac:dyDescent="0.3">
      <c r="U138" t="e">
        <f t="shared" si="10"/>
        <v>#N/A</v>
      </c>
      <c r="V138">
        <v>-2.65</v>
      </c>
      <c r="W138">
        <f t="shared" si="11"/>
        <v>1.1912243607605179E-2</v>
      </c>
      <c r="X138" t="e">
        <f t="shared" si="12"/>
        <v>#N/A</v>
      </c>
      <c r="Y138">
        <f t="shared" si="13"/>
        <v>1.1912243607605179E-2</v>
      </c>
      <c r="Z138" t="e">
        <f t="shared" si="14"/>
        <v>#N/A</v>
      </c>
    </row>
    <row r="139" spans="21:26" x14ac:dyDescent="0.3">
      <c r="U139" t="e">
        <f t="shared" si="10"/>
        <v>#N/A</v>
      </c>
      <c r="V139">
        <v>-2.64</v>
      </c>
      <c r="W139">
        <f t="shared" si="11"/>
        <v>1.2231526351277971E-2</v>
      </c>
      <c r="X139" t="e">
        <f t="shared" si="12"/>
        <v>#N/A</v>
      </c>
      <c r="Y139">
        <f t="shared" si="13"/>
        <v>1.2231526351277971E-2</v>
      </c>
      <c r="Z139" t="e">
        <f t="shared" si="14"/>
        <v>#N/A</v>
      </c>
    </row>
    <row r="140" spans="21:26" x14ac:dyDescent="0.3">
      <c r="U140" t="e">
        <f t="shared" si="10"/>
        <v>#N/A</v>
      </c>
      <c r="V140">
        <v>-2.63</v>
      </c>
      <c r="W140">
        <f t="shared" si="11"/>
        <v>1.2558110926378211E-2</v>
      </c>
      <c r="X140" t="e">
        <f t="shared" si="12"/>
        <v>#N/A</v>
      </c>
      <c r="Y140">
        <f t="shared" si="13"/>
        <v>1.2558110926378211E-2</v>
      </c>
      <c r="Z140" t="e">
        <f t="shared" si="14"/>
        <v>#N/A</v>
      </c>
    </row>
    <row r="141" spans="21:26" x14ac:dyDescent="0.3">
      <c r="U141" t="e">
        <f t="shared" si="10"/>
        <v>#N/A</v>
      </c>
      <c r="V141">
        <v>-2.62</v>
      </c>
      <c r="W141">
        <f t="shared" si="11"/>
        <v>1.2892126107895304E-2</v>
      </c>
      <c r="X141" t="e">
        <f t="shared" si="12"/>
        <v>#N/A</v>
      </c>
      <c r="Y141">
        <f t="shared" si="13"/>
        <v>1.2892126107895304E-2</v>
      </c>
      <c r="Z141" t="e">
        <f t="shared" si="14"/>
        <v>#N/A</v>
      </c>
    </row>
    <row r="142" spans="21:26" x14ac:dyDescent="0.3">
      <c r="U142" t="e">
        <f t="shared" si="10"/>
        <v>#N/A</v>
      </c>
      <c r="V142">
        <v>-2.61</v>
      </c>
      <c r="W142">
        <f t="shared" si="11"/>
        <v>1.3233701843821374E-2</v>
      </c>
      <c r="X142" t="e">
        <f t="shared" si="12"/>
        <v>#N/A</v>
      </c>
      <c r="Y142">
        <f t="shared" si="13"/>
        <v>1.3233701843821374E-2</v>
      </c>
      <c r="Z142" t="e">
        <f t="shared" si="14"/>
        <v>#N/A</v>
      </c>
    </row>
    <row r="143" spans="21:26" x14ac:dyDescent="0.3">
      <c r="U143" t="e">
        <f t="shared" si="10"/>
        <v>#N/A</v>
      </c>
      <c r="V143">
        <v>-2.6</v>
      </c>
      <c r="W143">
        <f t="shared" si="11"/>
        <v>1.3582969233685613E-2</v>
      </c>
      <c r="X143" t="e">
        <f t="shared" si="12"/>
        <v>#N/A</v>
      </c>
      <c r="Y143">
        <f t="shared" si="13"/>
        <v>1.3582969233685613E-2</v>
      </c>
      <c r="Z143" t="e">
        <f t="shared" si="14"/>
        <v>#N/A</v>
      </c>
    </row>
    <row r="144" spans="21:26" x14ac:dyDescent="0.3">
      <c r="U144" t="e">
        <f t="shared" si="10"/>
        <v>#N/A</v>
      </c>
      <c r="V144">
        <v>-2.59</v>
      </c>
      <c r="W144">
        <f t="shared" si="11"/>
        <v>1.3940060505935825E-2</v>
      </c>
      <c r="X144" t="e">
        <f t="shared" si="12"/>
        <v>#N/A</v>
      </c>
      <c r="Y144">
        <f t="shared" si="13"/>
        <v>1.3940060505935825E-2</v>
      </c>
      <c r="Z144" t="e">
        <f t="shared" si="14"/>
        <v>#N/A</v>
      </c>
    </row>
    <row r="145" spans="21:26" x14ac:dyDescent="0.3">
      <c r="U145" t="e">
        <f t="shared" si="10"/>
        <v>#N/A</v>
      </c>
      <c r="V145">
        <v>-2.58</v>
      </c>
      <c r="W145">
        <f t="shared" si="11"/>
        <v>1.430510899414969E-2</v>
      </c>
      <c r="X145" t="e">
        <f t="shared" si="12"/>
        <v>#N/A</v>
      </c>
      <c r="Y145">
        <f t="shared" si="13"/>
        <v>1.430510899414969E-2</v>
      </c>
      <c r="Z145" t="e">
        <f t="shared" si="14"/>
        <v>#N/A</v>
      </c>
    </row>
    <row r="146" spans="21:26" x14ac:dyDescent="0.3">
      <c r="U146" t="e">
        <f t="shared" si="10"/>
        <v>#N/A</v>
      </c>
      <c r="V146">
        <v>-2.57</v>
      </c>
      <c r="W146">
        <f t="shared" si="11"/>
        <v>1.4678249112060044E-2</v>
      </c>
      <c r="X146" t="e">
        <f t="shared" si="12"/>
        <v>#N/A</v>
      </c>
      <c r="Y146">
        <f t="shared" si="13"/>
        <v>1.4678249112060044E-2</v>
      </c>
      <c r="Z146" t="e">
        <f t="shared" si="14"/>
        <v>#N/A</v>
      </c>
    </row>
    <row r="147" spans="21:26" x14ac:dyDescent="0.3">
      <c r="U147" t="e">
        <f t="shared" si="10"/>
        <v>#N/A</v>
      </c>
      <c r="V147">
        <v>-2.56</v>
      </c>
      <c r="W147">
        <f t="shared" si="11"/>
        <v>1.5059616327377449E-2</v>
      </c>
      <c r="X147" t="e">
        <f t="shared" si="12"/>
        <v>#N/A</v>
      </c>
      <c r="Y147">
        <f t="shared" si="13"/>
        <v>1.5059616327377449E-2</v>
      </c>
      <c r="Z147" t="e">
        <f t="shared" si="14"/>
        <v>#N/A</v>
      </c>
    </row>
    <row r="148" spans="21:26" x14ac:dyDescent="0.3">
      <c r="U148" t="e">
        <f t="shared" si="10"/>
        <v>#N/A</v>
      </c>
      <c r="V148">
        <v>-2.5499999999999998</v>
      </c>
      <c r="W148">
        <f t="shared" si="11"/>
        <v>1.5449347134395174E-2</v>
      </c>
      <c r="X148" t="e">
        <f t="shared" si="12"/>
        <v>#N/A</v>
      </c>
      <c r="Y148">
        <f t="shared" si="13"/>
        <v>1.5449347134395174E-2</v>
      </c>
      <c r="Z148" t="e">
        <f t="shared" si="14"/>
        <v>#N/A</v>
      </c>
    </row>
    <row r="149" spans="21:26" x14ac:dyDescent="0.3">
      <c r="U149" t="e">
        <f t="shared" si="10"/>
        <v>#N/A</v>
      </c>
      <c r="V149">
        <v>-2.54</v>
      </c>
      <c r="W149">
        <f t="shared" si="11"/>
        <v>1.5847579025360818E-2</v>
      </c>
      <c r="X149" t="e">
        <f t="shared" si="12"/>
        <v>#N/A</v>
      </c>
      <c r="Y149">
        <f t="shared" si="13"/>
        <v>1.5847579025360818E-2</v>
      </c>
      <c r="Z149" t="e">
        <f t="shared" si="14"/>
        <v>#N/A</v>
      </c>
    </row>
    <row r="150" spans="21:26" x14ac:dyDescent="0.3">
      <c r="U150" t="e">
        <f t="shared" si="10"/>
        <v>#N/A</v>
      </c>
      <c r="V150">
        <v>-2.5299999999999998</v>
      </c>
      <c r="W150">
        <f t="shared" si="11"/>
        <v>1.6254450460600506E-2</v>
      </c>
      <c r="X150" t="e">
        <f t="shared" si="12"/>
        <v>#N/A</v>
      </c>
      <c r="Y150">
        <f t="shared" si="13"/>
        <v>1.6254450460600506E-2</v>
      </c>
      <c r="Z150" t="e">
        <f t="shared" si="14"/>
        <v>#N/A</v>
      </c>
    </row>
    <row r="151" spans="21:26" x14ac:dyDescent="0.3">
      <c r="U151" t="e">
        <f t="shared" si="10"/>
        <v>#N/A</v>
      </c>
      <c r="V151">
        <v>-2.52</v>
      </c>
      <c r="W151">
        <f t="shared" si="11"/>
        <v>1.6670100837381057E-2</v>
      </c>
      <c r="X151" t="e">
        <f t="shared" si="12"/>
        <v>#N/A</v>
      </c>
      <c r="Y151">
        <f t="shared" si="13"/>
        <v>1.6670100837381057E-2</v>
      </c>
      <c r="Z151" t="e">
        <f t="shared" si="14"/>
        <v>#N/A</v>
      </c>
    </row>
    <row r="152" spans="21:26" x14ac:dyDescent="0.3">
      <c r="U152" t="e">
        <f t="shared" si="10"/>
        <v>#N/A</v>
      </c>
      <c r="V152">
        <v>-2.5099999999999998</v>
      </c>
      <c r="W152">
        <f t="shared" si="11"/>
        <v>1.7094670457496956E-2</v>
      </c>
      <c r="X152" t="e">
        <f t="shared" si="12"/>
        <v>#N/A</v>
      </c>
      <c r="Y152">
        <f t="shared" si="13"/>
        <v>1.7094670457496956E-2</v>
      </c>
      <c r="Z152" t="e">
        <f t="shared" si="14"/>
        <v>#N/A</v>
      </c>
    </row>
    <row r="153" spans="21:26" x14ac:dyDescent="0.3">
      <c r="U153" t="e">
        <f t="shared" si="10"/>
        <v>#N/A</v>
      </c>
      <c r="V153">
        <v>-2.5</v>
      </c>
      <c r="W153">
        <f t="shared" si="11"/>
        <v>1.752830049356854E-2</v>
      </c>
      <c r="X153" t="e">
        <f t="shared" si="12"/>
        <v>#N/A</v>
      </c>
      <c r="Y153">
        <f t="shared" si="13"/>
        <v>1.752830049356854E-2</v>
      </c>
      <c r="Z153" t="e">
        <f t="shared" si="14"/>
        <v>#N/A</v>
      </c>
    </row>
    <row r="154" spans="21:26" x14ac:dyDescent="0.3">
      <c r="U154" t="e">
        <f t="shared" si="10"/>
        <v>#N/A</v>
      </c>
      <c r="V154">
        <v>-2.4900000000000002</v>
      </c>
      <c r="W154">
        <f t="shared" si="11"/>
        <v>1.7971132954039633E-2</v>
      </c>
      <c r="X154" t="e">
        <f t="shared" si="12"/>
        <v>#N/A</v>
      </c>
      <c r="Y154">
        <f t="shared" si="13"/>
        <v>1.7971132954039633E-2</v>
      </c>
      <c r="Z154" t="e">
        <f t="shared" si="14"/>
        <v>#N/A</v>
      </c>
    </row>
    <row r="155" spans="21:26" x14ac:dyDescent="0.3">
      <c r="U155" t="e">
        <f t="shared" si="10"/>
        <v>#N/A</v>
      </c>
      <c r="V155">
        <v>-2.48</v>
      </c>
      <c r="W155">
        <f t="shared" si="11"/>
        <v>1.8423310646862048E-2</v>
      </c>
      <c r="X155" t="e">
        <f t="shared" si="12"/>
        <v>#N/A</v>
      </c>
      <c r="Y155">
        <f t="shared" si="13"/>
        <v>1.8423310646862048E-2</v>
      </c>
      <c r="Z155" t="e">
        <f t="shared" si="14"/>
        <v>#N/A</v>
      </c>
    </row>
    <row r="156" spans="21:26" x14ac:dyDescent="0.3">
      <c r="U156" t="e">
        <f t="shared" si="10"/>
        <v>#N/A</v>
      </c>
      <c r="V156">
        <v>-2.4700000000000002</v>
      </c>
      <c r="W156">
        <f t="shared" si="11"/>
        <v>1.8884977141856163E-2</v>
      </c>
      <c r="X156" t="e">
        <f t="shared" si="12"/>
        <v>#N/A</v>
      </c>
      <c r="Y156">
        <f t="shared" si="13"/>
        <v>1.8884977141856163E-2</v>
      </c>
      <c r="Z156" t="e">
        <f t="shared" si="14"/>
        <v>#N/A</v>
      </c>
    </row>
    <row r="157" spans="21:26" x14ac:dyDescent="0.3">
      <c r="U157" t="e">
        <f t="shared" si="10"/>
        <v>#N/A</v>
      </c>
      <c r="V157">
        <v>-2.46</v>
      </c>
      <c r="W157">
        <f t="shared" si="11"/>
        <v>1.9356276731736961E-2</v>
      </c>
      <c r="X157" t="e">
        <f t="shared" si="12"/>
        <v>#N/A</v>
      </c>
      <c r="Y157">
        <f t="shared" si="13"/>
        <v>1.9356276731736961E-2</v>
      </c>
      <c r="Z157" t="e">
        <f t="shared" si="14"/>
        <v>#N/A</v>
      </c>
    </row>
    <row r="158" spans="21:26" x14ac:dyDescent="0.3">
      <c r="U158" t="e">
        <f t="shared" si="10"/>
        <v>#N/A</v>
      </c>
      <c r="V158">
        <v>-2.4500000000000002</v>
      </c>
      <c r="W158">
        <f t="shared" si="11"/>
        <v>1.9837354391795313E-2</v>
      </c>
      <c r="X158" t="e">
        <f t="shared" si="12"/>
        <v>#N/A</v>
      </c>
      <c r="Y158">
        <f t="shared" si="13"/>
        <v>1.9837354391795313E-2</v>
      </c>
      <c r="Z158" t="e">
        <f t="shared" si="14"/>
        <v>#N/A</v>
      </c>
    </row>
    <row r="159" spans="21:26" x14ac:dyDescent="0.3">
      <c r="U159" t="e">
        <f t="shared" si="10"/>
        <v>#N/A</v>
      </c>
      <c r="V159">
        <v>-2.44</v>
      </c>
      <c r="W159">
        <f t="shared" si="11"/>
        <v>2.0328355738225837E-2</v>
      </c>
      <c r="X159" t="e">
        <f t="shared" si="12"/>
        <v>#N/A</v>
      </c>
      <c r="Y159">
        <f t="shared" si="13"/>
        <v>2.0328355738225837E-2</v>
      </c>
      <c r="Z159" t="e">
        <f t="shared" si="14"/>
        <v>#N/A</v>
      </c>
    </row>
    <row r="160" spans="21:26" x14ac:dyDescent="0.3">
      <c r="U160" t="e">
        <f t="shared" si="10"/>
        <v>#N/A</v>
      </c>
      <c r="V160">
        <v>-2.4300000000000002</v>
      </c>
      <c r="W160">
        <f t="shared" si="11"/>
        <v>2.0829426985092186E-2</v>
      </c>
      <c r="X160" t="e">
        <f t="shared" si="12"/>
        <v>#N/A</v>
      </c>
      <c r="Y160">
        <f t="shared" si="13"/>
        <v>2.0829426985092186E-2</v>
      </c>
      <c r="Z160" t="e">
        <f t="shared" si="14"/>
        <v>#N/A</v>
      </c>
    </row>
    <row r="161" spans="21:26" x14ac:dyDescent="0.3">
      <c r="U161" t="e">
        <f t="shared" si="10"/>
        <v>#N/A</v>
      </c>
      <c r="V161">
        <v>-2.42</v>
      </c>
      <c r="W161">
        <f t="shared" si="11"/>
        <v>2.1340714899922782E-2</v>
      </c>
      <c r="X161" t="e">
        <f t="shared" si="12"/>
        <v>#N/A</v>
      </c>
      <c r="Y161">
        <f t="shared" si="13"/>
        <v>2.1340714899922782E-2</v>
      </c>
      <c r="Z161" t="e">
        <f t="shared" si="14"/>
        <v>#N/A</v>
      </c>
    </row>
    <row r="162" spans="21:26" x14ac:dyDescent="0.3">
      <c r="U162" t="e">
        <f t="shared" si="10"/>
        <v>#N/A</v>
      </c>
      <c r="V162">
        <v>-2.41</v>
      </c>
      <c r="W162">
        <f t="shared" si="11"/>
        <v>2.1862366757929387E-2</v>
      </c>
      <c r="X162" t="e">
        <f t="shared" si="12"/>
        <v>#N/A</v>
      </c>
      <c r="Y162">
        <f t="shared" si="13"/>
        <v>2.1862366757929387E-2</v>
      </c>
      <c r="Z162" t="e">
        <f t="shared" si="14"/>
        <v>#N/A</v>
      </c>
    </row>
    <row r="163" spans="21:26" x14ac:dyDescent="0.3">
      <c r="U163" t="e">
        <f t="shared" si="10"/>
        <v>#N/A</v>
      </c>
      <c r="V163">
        <v>-2.4</v>
      </c>
      <c r="W163">
        <f t="shared" si="11"/>
        <v>2.2394530294842899E-2</v>
      </c>
      <c r="X163" t="e">
        <f t="shared" si="12"/>
        <v>#N/A</v>
      </c>
      <c r="Y163">
        <f t="shared" si="13"/>
        <v>2.2394530294842899E-2</v>
      </c>
      <c r="Z163" t="e">
        <f t="shared" si="14"/>
        <v>#N/A</v>
      </c>
    </row>
    <row r="164" spans="21:26" x14ac:dyDescent="0.3">
      <c r="U164" t="e">
        <f t="shared" si="10"/>
        <v>#N/A</v>
      </c>
      <c r="V164">
        <v>-2.39</v>
      </c>
      <c r="W164">
        <f t="shared" si="11"/>
        <v>2.2937353658360693E-2</v>
      </c>
      <c r="X164" t="e">
        <f t="shared" si="12"/>
        <v>#N/A</v>
      </c>
      <c r="Y164">
        <f t="shared" si="13"/>
        <v>2.2937353658360693E-2</v>
      </c>
      <c r="Z164" t="e">
        <f t="shared" si="14"/>
        <v>#N/A</v>
      </c>
    </row>
    <row r="165" spans="21:26" x14ac:dyDescent="0.3">
      <c r="U165" t="e">
        <f t="shared" si="10"/>
        <v>#N/A</v>
      </c>
      <c r="V165">
        <v>-2.38</v>
      </c>
      <c r="W165">
        <f t="shared" si="11"/>
        <v>2.3490985358201363E-2</v>
      </c>
      <c r="X165" t="e">
        <f t="shared" si="12"/>
        <v>#N/A</v>
      </c>
      <c r="Y165">
        <f t="shared" si="13"/>
        <v>2.3490985358201363E-2</v>
      </c>
      <c r="Z165" t="e">
        <f t="shared" si="14"/>
        <v>#N/A</v>
      </c>
    </row>
    <row r="166" spans="21:26" x14ac:dyDescent="0.3">
      <c r="U166" t="e">
        <f t="shared" si="10"/>
        <v>#N/A</v>
      </c>
      <c r="V166">
        <v>-2.37</v>
      </c>
      <c r="W166">
        <f t="shared" si="11"/>
        <v>2.4055574214762971E-2</v>
      </c>
      <c r="X166" t="e">
        <f t="shared" si="12"/>
        <v>#N/A</v>
      </c>
      <c r="Y166">
        <f t="shared" si="13"/>
        <v>2.4055574214762971E-2</v>
      </c>
      <c r="Z166" t="e">
        <f t="shared" si="14"/>
        <v>#N/A</v>
      </c>
    </row>
    <row r="167" spans="21:26" x14ac:dyDescent="0.3">
      <c r="U167" t="e">
        <f t="shared" si="10"/>
        <v>#N/A</v>
      </c>
      <c r="V167">
        <v>-2.36</v>
      </c>
      <c r="W167">
        <f t="shared" si="11"/>
        <v>2.4631269306382507E-2</v>
      </c>
      <c r="X167" t="e">
        <f t="shared" si="12"/>
        <v>#N/A</v>
      </c>
      <c r="Y167">
        <f t="shared" si="13"/>
        <v>2.4631269306382507E-2</v>
      </c>
      <c r="Z167" t="e">
        <f t="shared" si="14"/>
        <v>#N/A</v>
      </c>
    </row>
    <row r="168" spans="21:26" x14ac:dyDescent="0.3">
      <c r="U168" t="e">
        <f t="shared" si="10"/>
        <v>#N/A</v>
      </c>
      <c r="V168">
        <v>-2.35</v>
      </c>
      <c r="W168">
        <f t="shared" si="11"/>
        <v>2.5218219915194382E-2</v>
      </c>
      <c r="X168" t="e">
        <f t="shared" si="12"/>
        <v>#N/A</v>
      </c>
      <c r="Y168">
        <f t="shared" si="13"/>
        <v>2.5218219915194382E-2</v>
      </c>
      <c r="Z168" t="e">
        <f t="shared" si="14"/>
        <v>#N/A</v>
      </c>
    </row>
    <row r="169" spans="21:26" x14ac:dyDescent="0.3">
      <c r="U169" t="e">
        <f t="shared" si="10"/>
        <v>#N/A</v>
      </c>
      <c r="V169">
        <v>-2.34</v>
      </c>
      <c r="W169">
        <f t="shared" si="11"/>
        <v>2.581657547158769E-2</v>
      </c>
      <c r="X169" t="e">
        <f t="shared" si="12"/>
        <v>#N/A</v>
      </c>
      <c r="Y169">
        <f t="shared" si="13"/>
        <v>2.581657547158769E-2</v>
      </c>
      <c r="Z169" t="e">
        <f t="shared" si="14"/>
        <v>#N/A</v>
      </c>
    </row>
    <row r="170" spans="21:26" x14ac:dyDescent="0.3">
      <c r="U170" t="e">
        <f t="shared" si="10"/>
        <v>#N/A</v>
      </c>
      <c r="V170">
        <v>-2.33</v>
      </c>
      <c r="W170">
        <f t="shared" si="11"/>
        <v>2.6426485497261721E-2</v>
      </c>
      <c r="X170" t="e">
        <f t="shared" si="12"/>
        <v>#N/A</v>
      </c>
      <c r="Y170">
        <f t="shared" si="13"/>
        <v>2.6426485497261721E-2</v>
      </c>
      <c r="Z170" t="e">
        <f t="shared" si="14"/>
        <v>#N/A</v>
      </c>
    </row>
    <row r="171" spans="21:26" x14ac:dyDescent="0.3">
      <c r="U171" t="e">
        <f t="shared" si="10"/>
        <v>#N/A</v>
      </c>
      <c r="V171">
        <v>-2.3199999999999998</v>
      </c>
      <c r="W171">
        <f t="shared" si="11"/>
        <v>2.7048099546881785E-2</v>
      </c>
      <c r="X171" t="e">
        <f t="shared" si="12"/>
        <v>#N/A</v>
      </c>
      <c r="Y171">
        <f t="shared" si="13"/>
        <v>2.7048099546881785E-2</v>
      </c>
      <c r="Z171" t="e">
        <f t="shared" si="14"/>
        <v>#N/A</v>
      </c>
    </row>
    <row r="172" spans="21:26" x14ac:dyDescent="0.3">
      <c r="U172" t="e">
        <f t="shared" si="10"/>
        <v>#N/A</v>
      </c>
      <c r="V172">
        <v>-2.31</v>
      </c>
      <c r="W172">
        <f t="shared" si="11"/>
        <v>2.7681567148336573E-2</v>
      </c>
      <c r="X172" t="e">
        <f t="shared" si="12"/>
        <v>#N/A</v>
      </c>
      <c r="Y172">
        <f t="shared" si="13"/>
        <v>2.7681567148336573E-2</v>
      </c>
      <c r="Z172" t="e">
        <f t="shared" si="14"/>
        <v>#N/A</v>
      </c>
    </row>
    <row r="173" spans="21:26" x14ac:dyDescent="0.3">
      <c r="U173" t="e">
        <f t="shared" si="10"/>
        <v>#N/A</v>
      </c>
      <c r="V173">
        <v>-2.2999999999999998</v>
      </c>
      <c r="W173">
        <f t="shared" si="11"/>
        <v>2.8327037741601186E-2</v>
      </c>
      <c r="X173" t="e">
        <f t="shared" si="12"/>
        <v>#N/A</v>
      </c>
      <c r="Y173">
        <f t="shared" si="13"/>
        <v>2.8327037741601186E-2</v>
      </c>
      <c r="Z173" t="e">
        <f t="shared" si="14"/>
        <v>#N/A</v>
      </c>
    </row>
    <row r="174" spans="21:26" x14ac:dyDescent="0.3">
      <c r="U174" t="e">
        <f t="shared" si="10"/>
        <v>#N/A</v>
      </c>
      <c r="V174">
        <v>-2.29</v>
      </c>
      <c r="W174">
        <f t="shared" si="11"/>
        <v>2.8984660616209412E-2</v>
      </c>
      <c r="X174" t="e">
        <f t="shared" si="12"/>
        <v>#N/A</v>
      </c>
      <c r="Y174">
        <f t="shared" si="13"/>
        <v>2.8984660616209412E-2</v>
      </c>
      <c r="Z174" t="e">
        <f t="shared" si="14"/>
        <v>#N/A</v>
      </c>
    </row>
    <row r="175" spans="21:26" x14ac:dyDescent="0.3">
      <c r="U175" t="e">
        <f t="shared" si="10"/>
        <v>#N/A</v>
      </c>
      <c r="V175">
        <v>-2.2799999999999998</v>
      </c>
      <c r="W175">
        <f t="shared" si="11"/>
        <v>2.9654584847341278E-2</v>
      </c>
      <c r="X175" t="e">
        <f t="shared" si="12"/>
        <v>#N/A</v>
      </c>
      <c r="Y175">
        <f t="shared" si="13"/>
        <v>2.9654584847341278E-2</v>
      </c>
      <c r="Z175" t="e">
        <f t="shared" si="14"/>
        <v>#N/A</v>
      </c>
    </row>
    <row r="176" spans="21:26" x14ac:dyDescent="0.3">
      <c r="U176" t="e">
        <f t="shared" si="10"/>
        <v>#N/A</v>
      </c>
      <c r="V176">
        <v>-2.27</v>
      </c>
      <c r="W176">
        <f t="shared" si="11"/>
        <v>3.0336959230531636E-2</v>
      </c>
      <c r="X176" t="e">
        <f t="shared" si="12"/>
        <v>#N/A</v>
      </c>
      <c r="Y176">
        <f t="shared" si="13"/>
        <v>3.0336959230531636E-2</v>
      </c>
      <c r="Z176" t="e">
        <f t="shared" si="14"/>
        <v>#N/A</v>
      </c>
    </row>
    <row r="177" spans="21:26" x14ac:dyDescent="0.3">
      <c r="U177" t="e">
        <f t="shared" si="10"/>
        <v>#N/A</v>
      </c>
      <c r="V177">
        <v>-2.2599999999999998</v>
      </c>
      <c r="W177">
        <f t="shared" si="11"/>
        <v>3.103193221500827E-2</v>
      </c>
      <c r="X177" t="e">
        <f t="shared" si="12"/>
        <v>#N/A</v>
      </c>
      <c r="Y177">
        <f t="shared" si="13"/>
        <v>3.103193221500827E-2</v>
      </c>
      <c r="Z177" t="e">
        <f t="shared" si="14"/>
        <v>#N/A</v>
      </c>
    </row>
    <row r="178" spans="21:26" x14ac:dyDescent="0.3">
      <c r="U178" t="e">
        <f t="shared" si="10"/>
        <v>#N/A</v>
      </c>
      <c r="V178">
        <v>-2.25</v>
      </c>
      <c r="W178">
        <f t="shared" si="11"/>
        <v>3.1739651835667418E-2</v>
      </c>
      <c r="X178" t="e">
        <f t="shared" si="12"/>
        <v>#N/A</v>
      </c>
      <c r="Y178">
        <f t="shared" si="13"/>
        <v>3.1739651835667418E-2</v>
      </c>
      <c r="Z178" t="e">
        <f t="shared" si="14"/>
        <v>#N/A</v>
      </c>
    </row>
    <row r="179" spans="21:26" x14ac:dyDescent="0.3">
      <c r="U179" t="e">
        <f t="shared" si="10"/>
        <v>#N/A</v>
      </c>
      <c r="V179">
        <v>-2.2400000000000002</v>
      </c>
      <c r="W179">
        <f t="shared" si="11"/>
        <v>3.2460265643697445E-2</v>
      </c>
      <c r="X179" t="e">
        <f t="shared" si="12"/>
        <v>#N/A</v>
      </c>
      <c r="Y179">
        <f t="shared" si="13"/>
        <v>3.2460265643697445E-2</v>
      </c>
      <c r="Z179" t="e">
        <f t="shared" si="14"/>
        <v>#N/A</v>
      </c>
    </row>
    <row r="180" spans="21:26" x14ac:dyDescent="0.3">
      <c r="U180" t="e">
        <f t="shared" si="10"/>
        <v>#N/A</v>
      </c>
      <c r="V180">
        <v>-2.23</v>
      </c>
      <c r="W180">
        <f t="shared" si="11"/>
        <v>3.3193920635861122E-2</v>
      </c>
      <c r="X180" t="e">
        <f t="shared" si="12"/>
        <v>#N/A</v>
      </c>
      <c r="Y180">
        <f t="shared" si="13"/>
        <v>3.3193920635861122E-2</v>
      </c>
      <c r="Z180" t="e">
        <f t="shared" si="14"/>
        <v>#N/A</v>
      </c>
    </row>
    <row r="181" spans="21:26" x14ac:dyDescent="0.3">
      <c r="U181" t="e">
        <f t="shared" si="10"/>
        <v>#N/A</v>
      </c>
      <c r="V181">
        <v>-2.2200000000000002</v>
      </c>
      <c r="W181">
        <f t="shared" si="11"/>
        <v>3.3940763182449186E-2</v>
      </c>
      <c r="X181" t="e">
        <f t="shared" si="12"/>
        <v>#N/A</v>
      </c>
      <c r="Y181">
        <f t="shared" si="13"/>
        <v>3.3940763182449186E-2</v>
      </c>
      <c r="Z181" t="e">
        <f t="shared" si="14"/>
        <v>#N/A</v>
      </c>
    </row>
    <row r="182" spans="21:26" x14ac:dyDescent="0.3">
      <c r="U182" t="e">
        <f t="shared" si="10"/>
        <v>#N/A</v>
      </c>
      <c r="V182">
        <v>-2.21</v>
      </c>
      <c r="W182">
        <f t="shared" si="11"/>
        <v>3.470093895391882E-2</v>
      </c>
      <c r="X182" t="e">
        <f t="shared" si="12"/>
        <v>#N/A</v>
      </c>
      <c r="Y182">
        <f t="shared" si="13"/>
        <v>3.470093895391882E-2</v>
      </c>
      <c r="Z182" t="e">
        <f t="shared" si="14"/>
        <v>#N/A</v>
      </c>
    </row>
    <row r="183" spans="21:26" x14ac:dyDescent="0.3">
      <c r="U183" t="e">
        <f t="shared" si="10"/>
        <v>#N/A</v>
      </c>
      <c r="V183">
        <v>-2.2000000000000002</v>
      </c>
      <c r="W183">
        <f t="shared" si="11"/>
        <v>3.5474592846231424E-2</v>
      </c>
      <c r="X183" t="e">
        <f t="shared" si="12"/>
        <v>#N/A</v>
      </c>
      <c r="Y183">
        <f t="shared" si="13"/>
        <v>3.5474592846231424E-2</v>
      </c>
      <c r="Z183" t="e">
        <f t="shared" si="14"/>
        <v>#N/A</v>
      </c>
    </row>
    <row r="184" spans="21:26" x14ac:dyDescent="0.3">
      <c r="U184" t="e">
        <f t="shared" si="10"/>
        <v>#N/A</v>
      </c>
      <c r="V184">
        <v>-2.19</v>
      </c>
      <c r="W184">
        <f t="shared" si="11"/>
        <v>3.6261868904906222E-2</v>
      </c>
      <c r="X184" t="e">
        <f t="shared" si="12"/>
        <v>#N/A</v>
      </c>
      <c r="Y184">
        <f t="shared" si="13"/>
        <v>3.6261868904906222E-2</v>
      </c>
      <c r="Z184" t="e">
        <f t="shared" si="14"/>
        <v>#N/A</v>
      </c>
    </row>
    <row r="185" spans="21:26" x14ac:dyDescent="0.3">
      <c r="U185" t="e">
        <f t="shared" si="10"/>
        <v>#N/A</v>
      </c>
      <c r="V185">
        <v>-2.1800000000000002</v>
      </c>
      <c r="W185">
        <f t="shared" si="11"/>
        <v>3.7062910247806474E-2</v>
      </c>
      <c r="X185" t="e">
        <f t="shared" si="12"/>
        <v>#N/A</v>
      </c>
      <c r="Y185">
        <f t="shared" si="13"/>
        <v>3.7062910247806474E-2</v>
      </c>
      <c r="Z185" t="e">
        <f t="shared" si="14"/>
        <v>#N/A</v>
      </c>
    </row>
    <row r="186" spans="21:26" x14ac:dyDescent="0.3">
      <c r="U186" t="e">
        <f t="shared" si="10"/>
        <v>#N/A</v>
      </c>
      <c r="V186">
        <v>-2.17</v>
      </c>
      <c r="W186">
        <f t="shared" si="11"/>
        <v>3.7877858986677483E-2</v>
      </c>
      <c r="X186" t="e">
        <f t="shared" si="12"/>
        <v>#N/A</v>
      </c>
      <c r="Y186">
        <f t="shared" si="13"/>
        <v>3.7877858986677483E-2</v>
      </c>
      <c r="Z186" t="e">
        <f t="shared" si="14"/>
        <v>#N/A</v>
      </c>
    </row>
    <row r="187" spans="21:26" x14ac:dyDescent="0.3">
      <c r="U187" t="e">
        <f t="shared" si="10"/>
        <v>#N/A</v>
      </c>
      <c r="V187">
        <v>-2.16</v>
      </c>
      <c r="W187">
        <f t="shared" si="11"/>
        <v>3.8706856147455608E-2</v>
      </c>
      <c r="X187" t="e">
        <f t="shared" si="12"/>
        <v>#N/A</v>
      </c>
      <c r="Y187">
        <f t="shared" si="13"/>
        <v>3.8706856147455608E-2</v>
      </c>
      <c r="Z187" t="e">
        <f t="shared" si="14"/>
        <v>#N/A</v>
      </c>
    </row>
    <row r="188" spans="21:26" x14ac:dyDescent="0.3">
      <c r="U188" t="e">
        <f t="shared" si="10"/>
        <v>#N/A</v>
      </c>
      <c r="V188">
        <v>-2.15</v>
      </c>
      <c r="W188">
        <f t="shared" si="11"/>
        <v>3.955004158937022E-2</v>
      </c>
      <c r="X188" t="e">
        <f t="shared" si="12"/>
        <v>#N/A</v>
      </c>
      <c r="Y188">
        <f t="shared" si="13"/>
        <v>3.955004158937022E-2</v>
      </c>
      <c r="Z188" t="e">
        <f t="shared" si="14"/>
        <v>#N/A</v>
      </c>
    </row>
    <row r="189" spans="21:26" x14ac:dyDescent="0.3">
      <c r="U189" t="e">
        <f t="shared" si="10"/>
        <v>#N/A</v>
      </c>
      <c r="V189">
        <v>-2.14</v>
      </c>
      <c r="W189">
        <f t="shared" si="11"/>
        <v>4.0407553922860308E-2</v>
      </c>
      <c r="X189" t="e">
        <f t="shared" si="12"/>
        <v>#N/A</v>
      </c>
      <c r="Y189">
        <f t="shared" si="13"/>
        <v>4.0407553922860308E-2</v>
      </c>
      <c r="Z189" t="e">
        <f t="shared" si="14"/>
        <v>#N/A</v>
      </c>
    </row>
    <row r="190" spans="21:26" x14ac:dyDescent="0.3">
      <c r="U190" t="e">
        <f t="shared" si="10"/>
        <v>#N/A</v>
      </c>
      <c r="V190">
        <v>-2.13</v>
      </c>
      <c r="W190">
        <f t="shared" si="11"/>
        <v>4.1279530426330417E-2</v>
      </c>
      <c r="X190" t="e">
        <f t="shared" si="12"/>
        <v>#N/A</v>
      </c>
      <c r="Y190">
        <f t="shared" si="13"/>
        <v>4.1279530426330417E-2</v>
      </c>
      <c r="Z190" t="e">
        <f t="shared" si="14"/>
        <v>#N/A</v>
      </c>
    </row>
    <row r="191" spans="21:26" x14ac:dyDescent="0.3">
      <c r="U191" t="e">
        <f t="shared" si="10"/>
        <v>#N/A</v>
      </c>
      <c r="V191">
        <v>-2.12</v>
      </c>
      <c r="W191">
        <f t="shared" si="11"/>
        <v>4.2166106961770311E-2</v>
      </c>
      <c r="X191" t="e">
        <f t="shared" si="12"/>
        <v>#N/A</v>
      </c>
      <c r="Y191">
        <f t="shared" si="13"/>
        <v>4.2166106961770311E-2</v>
      </c>
      <c r="Z191" t="e">
        <f t="shared" si="14"/>
        <v>#N/A</v>
      </c>
    </row>
    <row r="192" spans="21:26" x14ac:dyDescent="0.3">
      <c r="U192" t="e">
        <f t="shared" si="10"/>
        <v>#N/A</v>
      </c>
      <c r="V192">
        <v>-2.11</v>
      </c>
      <c r="W192">
        <f t="shared" si="11"/>
        <v>4.3067417889265734E-2</v>
      </c>
      <c r="X192" t="e">
        <f t="shared" si="12"/>
        <v>#N/A</v>
      </c>
      <c r="Y192">
        <f t="shared" si="13"/>
        <v>4.3067417889265734E-2</v>
      </c>
      <c r="Z192" t="e">
        <f t="shared" si="14"/>
        <v>#N/A</v>
      </c>
    </row>
    <row r="193" spans="21:26" x14ac:dyDescent="0.3">
      <c r="U193" t="e">
        <f t="shared" si="10"/>
        <v>#N/A</v>
      </c>
      <c r="V193">
        <v>-2.1</v>
      </c>
      <c r="W193">
        <f t="shared" si="11"/>
        <v>4.3983595980427191E-2</v>
      </c>
      <c r="X193" t="e">
        <f t="shared" si="12"/>
        <v>#N/A</v>
      </c>
      <c r="Y193">
        <f t="shared" si="13"/>
        <v>4.3983595980427191E-2</v>
      </c>
      <c r="Z193" t="e">
        <f t="shared" si="14"/>
        <v>#N/A</v>
      </c>
    </row>
    <row r="194" spans="21:26" x14ac:dyDescent="0.3">
      <c r="U194" t="e">
        <f t="shared" si="10"/>
        <v>#N/A</v>
      </c>
      <c r="V194">
        <v>-2.09</v>
      </c>
      <c r="W194">
        <f t="shared" si="11"/>
        <v>4.49147723307671E-2</v>
      </c>
      <c r="X194" t="e">
        <f t="shared" si="12"/>
        <v>#N/A</v>
      </c>
      <c r="Y194">
        <f t="shared" si="13"/>
        <v>4.49147723307671E-2</v>
      </c>
      <c r="Z194" t="e">
        <f t="shared" si="14"/>
        <v>#N/A</v>
      </c>
    </row>
    <row r="195" spans="21:26" x14ac:dyDescent="0.3">
      <c r="U195" t="e">
        <f t="shared" si="10"/>
        <v>#N/A</v>
      </c>
      <c r="V195">
        <v>-2.08</v>
      </c>
      <c r="W195">
        <f t="shared" si="11"/>
        <v>4.5861076271054887E-2</v>
      </c>
      <c r="X195" t="e">
        <f t="shared" si="12"/>
        <v>#N/A</v>
      </c>
      <c r="Y195">
        <f t="shared" si="13"/>
        <v>4.5861076271054887E-2</v>
      </c>
      <c r="Z195" t="e">
        <f t="shared" si="14"/>
        <v>#N/A</v>
      </c>
    </row>
    <row r="196" spans="21:26" x14ac:dyDescent="0.3">
      <c r="U196" t="e">
        <f t="shared" ref="U196:U259" si="15">IF($A$2=ABS(V196),0,NA())</f>
        <v>#N/A</v>
      </c>
      <c r="V196">
        <v>-2.0699999999999998</v>
      </c>
      <c r="W196">
        <f t="shared" ref="W196:W259" si="16">_xlfn.NORM.S.DIST(V196,0)</f>
        <v>4.6822635277683163E-2</v>
      </c>
      <c r="X196" t="e">
        <f t="shared" ref="X196:X259" si="17">IF(ABS(V196)=$A$2,W196,NA())</f>
        <v>#N/A</v>
      </c>
      <c r="Y196">
        <f t="shared" ref="Y196:Y259" si="18">IF(V196&lt;=$A$2,W196,NA())</f>
        <v>4.6822635277683163E-2</v>
      </c>
      <c r="Z196" t="e">
        <f t="shared" ref="Z196:Z259" si="19">IF(ABS(V196)&lt;=$A$2,W196,NA())</f>
        <v>#N/A</v>
      </c>
    </row>
    <row r="197" spans="21:26" x14ac:dyDescent="0.3">
      <c r="U197" t="e">
        <f t="shared" si="15"/>
        <v>#N/A</v>
      </c>
      <c r="V197">
        <v>-2.06</v>
      </c>
      <c r="W197">
        <f t="shared" si="16"/>
        <v>4.7799574882077034E-2</v>
      </c>
      <c r="X197" t="e">
        <f t="shared" si="17"/>
        <v>#N/A</v>
      </c>
      <c r="Y197">
        <f t="shared" si="18"/>
        <v>4.7799574882077034E-2</v>
      </c>
      <c r="Z197" t="e">
        <f t="shared" si="19"/>
        <v>#N/A</v>
      </c>
    </row>
    <row r="198" spans="21:26" x14ac:dyDescent="0.3">
      <c r="U198" t="e">
        <f t="shared" si="15"/>
        <v>#N/A</v>
      </c>
      <c r="V198">
        <v>-2.0499999999999998</v>
      </c>
      <c r="W198">
        <f t="shared" si="16"/>
        <v>4.8792018579182764E-2</v>
      </c>
      <c r="X198" t="e">
        <f t="shared" si="17"/>
        <v>#N/A</v>
      </c>
      <c r="Y198">
        <f t="shared" si="18"/>
        <v>4.8792018579182764E-2</v>
      </c>
      <c r="Z198" t="e">
        <f t="shared" si="19"/>
        <v>#N/A</v>
      </c>
    </row>
    <row r="199" spans="21:26" x14ac:dyDescent="0.3">
      <c r="U199" t="e">
        <f t="shared" si="15"/>
        <v>#N/A</v>
      </c>
      <c r="V199">
        <v>-2.04</v>
      </c>
      <c r="W199">
        <f t="shared" si="16"/>
        <v>4.9800087735070775E-2</v>
      </c>
      <c r="X199" t="e">
        <f t="shared" si="17"/>
        <v>#N/A</v>
      </c>
      <c r="Y199">
        <f t="shared" si="18"/>
        <v>4.9800087735070775E-2</v>
      </c>
      <c r="Z199" t="e">
        <f t="shared" si="19"/>
        <v>#N/A</v>
      </c>
    </row>
    <row r="200" spans="21:26" x14ac:dyDescent="0.3">
      <c r="U200" t="e">
        <f t="shared" si="15"/>
        <v>#N/A</v>
      </c>
      <c r="V200">
        <v>-2.0299999999999998</v>
      </c>
      <c r="W200">
        <f t="shared" si="16"/>
        <v>5.0823901493691204E-2</v>
      </c>
      <c r="X200" t="e">
        <f t="shared" si="17"/>
        <v>#N/A</v>
      </c>
      <c r="Y200">
        <f t="shared" si="18"/>
        <v>5.0823901493691204E-2</v>
      </c>
      <c r="Z200" t="e">
        <f t="shared" si="19"/>
        <v>#N/A</v>
      </c>
    </row>
    <row r="201" spans="21:26" x14ac:dyDescent="0.3">
      <c r="U201" t="e">
        <f t="shared" si="15"/>
        <v>#N/A</v>
      </c>
      <c r="V201">
        <v>-2.02</v>
      </c>
      <c r="W201">
        <f t="shared" si="16"/>
        <v>5.1863576682820565E-2</v>
      </c>
      <c r="X201" t="e">
        <f t="shared" si="17"/>
        <v>#N/A</v>
      </c>
      <c r="Y201">
        <f t="shared" si="18"/>
        <v>5.1863576682820565E-2</v>
      </c>
      <c r="Z201" t="e">
        <f t="shared" si="19"/>
        <v>#N/A</v>
      </c>
    </row>
    <row r="202" spans="21:26" x14ac:dyDescent="0.3">
      <c r="U202" t="e">
        <f t="shared" si="15"/>
        <v>#N/A</v>
      </c>
      <c r="V202">
        <v>-2.0099999999999998</v>
      </c>
      <c r="W202">
        <f t="shared" si="16"/>
        <v>5.2919227719240312E-2</v>
      </c>
      <c r="X202" t="e">
        <f t="shared" si="17"/>
        <v>#N/A</v>
      </c>
      <c r="Y202">
        <f t="shared" si="18"/>
        <v>5.2919227719240312E-2</v>
      </c>
      <c r="Z202" t="e">
        <f t="shared" si="19"/>
        <v>#N/A</v>
      </c>
    </row>
    <row r="203" spans="21:26" x14ac:dyDescent="0.3">
      <c r="U203" t="e">
        <f t="shared" si="15"/>
        <v>#N/A</v>
      </c>
      <c r="V203">
        <v>-2</v>
      </c>
      <c r="W203">
        <f t="shared" si="16"/>
        <v>5.3990966513188063E-2</v>
      </c>
      <c r="X203" t="e">
        <f t="shared" si="17"/>
        <v>#N/A</v>
      </c>
      <c r="Y203">
        <f t="shared" si="18"/>
        <v>5.3990966513188063E-2</v>
      </c>
      <c r="Z203" t="e">
        <f t="shared" si="19"/>
        <v>#N/A</v>
      </c>
    </row>
    <row r="204" spans="21:26" x14ac:dyDescent="0.3">
      <c r="U204" t="e">
        <f t="shared" si="15"/>
        <v>#N/A</v>
      </c>
      <c r="V204">
        <v>-1.99</v>
      </c>
      <c r="W204">
        <f t="shared" si="16"/>
        <v>5.5078902372125767E-2</v>
      </c>
      <c r="X204" t="e">
        <f t="shared" si="17"/>
        <v>#N/A</v>
      </c>
      <c r="Y204">
        <f t="shared" si="18"/>
        <v>5.5078902372125767E-2</v>
      </c>
      <c r="Z204" t="e">
        <f t="shared" si="19"/>
        <v>#N/A</v>
      </c>
    </row>
    <row r="205" spans="21:26" x14ac:dyDescent="0.3">
      <c r="U205" t="e">
        <f t="shared" si="15"/>
        <v>#N/A</v>
      </c>
      <c r="V205">
        <v>-1.98</v>
      </c>
      <c r="W205">
        <f t="shared" si="16"/>
        <v>5.6183141903868049E-2</v>
      </c>
      <c r="X205" t="e">
        <f t="shared" si="17"/>
        <v>#N/A</v>
      </c>
      <c r="Y205">
        <f t="shared" si="18"/>
        <v>5.6183141903868049E-2</v>
      </c>
      <c r="Z205" t="e">
        <f t="shared" si="19"/>
        <v>#N/A</v>
      </c>
    </row>
    <row r="206" spans="21:26" x14ac:dyDescent="0.3">
      <c r="U206" t="e">
        <f t="shared" si="15"/>
        <v>#N/A</v>
      </c>
      <c r="V206">
        <v>-1.97</v>
      </c>
      <c r="W206">
        <f t="shared" si="16"/>
        <v>5.7303788919117131E-2</v>
      </c>
      <c r="X206" t="e">
        <f t="shared" si="17"/>
        <v>#N/A</v>
      </c>
      <c r="Y206">
        <f t="shared" si="18"/>
        <v>5.7303788919117131E-2</v>
      </c>
      <c r="Z206" t="e">
        <f t="shared" si="19"/>
        <v>#N/A</v>
      </c>
    </row>
    <row r="207" spans="21:26" x14ac:dyDescent="0.3">
      <c r="U207">
        <f t="shared" si="15"/>
        <v>0</v>
      </c>
      <c r="V207">
        <v>-1.96</v>
      </c>
      <c r="W207">
        <f t="shared" si="16"/>
        <v>5.8440944333451469E-2</v>
      </c>
      <c r="X207">
        <f t="shared" si="17"/>
        <v>5.8440944333451469E-2</v>
      </c>
      <c r="Y207">
        <f t="shared" si="18"/>
        <v>5.8440944333451469E-2</v>
      </c>
      <c r="Z207">
        <f t="shared" si="19"/>
        <v>5.8440944333451469E-2</v>
      </c>
    </row>
    <row r="208" spans="21:26" x14ac:dyDescent="0.3">
      <c r="U208" t="e">
        <f t="shared" si="15"/>
        <v>#N/A</v>
      </c>
      <c r="V208">
        <v>-1.95</v>
      </c>
      <c r="W208">
        <f t="shared" si="16"/>
        <v>5.9594706068816075E-2</v>
      </c>
      <c r="X208" t="e">
        <f t="shared" si="17"/>
        <v>#N/A</v>
      </c>
      <c r="Y208">
        <f t="shared" si="18"/>
        <v>5.9594706068816075E-2</v>
      </c>
      <c r="Z208">
        <f t="shared" si="19"/>
        <v>5.9594706068816075E-2</v>
      </c>
    </row>
    <row r="209" spans="21:26" x14ac:dyDescent="0.3">
      <c r="U209" t="e">
        <f t="shared" si="15"/>
        <v>#N/A</v>
      </c>
      <c r="V209">
        <v>-1.94</v>
      </c>
      <c r="W209">
        <f t="shared" si="16"/>
        <v>6.0765168954564776E-2</v>
      </c>
      <c r="X209" t="e">
        <f t="shared" si="17"/>
        <v>#N/A</v>
      </c>
      <c r="Y209">
        <f t="shared" si="18"/>
        <v>6.0765168954564776E-2</v>
      </c>
      <c r="Z209">
        <f t="shared" si="19"/>
        <v>6.0765168954564776E-2</v>
      </c>
    </row>
    <row r="210" spans="21:26" x14ac:dyDescent="0.3">
      <c r="U210" t="e">
        <f t="shared" si="15"/>
        <v>#N/A</v>
      </c>
      <c r="V210">
        <v>-1.93</v>
      </c>
      <c r="W210">
        <f t="shared" si="16"/>
        <v>6.1952424628105164E-2</v>
      </c>
      <c r="X210" t="e">
        <f t="shared" si="17"/>
        <v>#N/A</v>
      </c>
      <c r="Y210">
        <f t="shared" si="18"/>
        <v>6.1952424628105164E-2</v>
      </c>
      <c r="Z210">
        <f t="shared" si="19"/>
        <v>6.1952424628105164E-2</v>
      </c>
    </row>
    <row r="211" spans="21:26" x14ac:dyDescent="0.3">
      <c r="U211" t="e">
        <f t="shared" si="15"/>
        <v>#N/A</v>
      </c>
      <c r="V211">
        <v>-1.92</v>
      </c>
      <c r="W211">
        <f t="shared" si="16"/>
        <v>6.3156561435198655E-2</v>
      </c>
      <c r="X211" t="e">
        <f t="shared" si="17"/>
        <v>#N/A</v>
      </c>
      <c r="Y211">
        <f t="shared" si="18"/>
        <v>6.3156561435198655E-2</v>
      </c>
      <c r="Z211">
        <f t="shared" si="19"/>
        <v>6.3156561435198655E-2</v>
      </c>
    </row>
    <row r="212" spans="21:26" x14ac:dyDescent="0.3">
      <c r="U212" t="e">
        <f t="shared" si="15"/>
        <v>#N/A</v>
      </c>
      <c r="V212">
        <v>-1.91</v>
      </c>
      <c r="W212">
        <f t="shared" si="16"/>
        <v>6.4377664329969359E-2</v>
      </c>
      <c r="X212" t="e">
        <f t="shared" si="17"/>
        <v>#N/A</v>
      </c>
      <c r="Y212">
        <f t="shared" si="18"/>
        <v>6.4377664329969359E-2</v>
      </c>
      <c r="Z212">
        <f t="shared" si="19"/>
        <v>6.4377664329969359E-2</v>
      </c>
    </row>
    <row r="213" spans="21:26" x14ac:dyDescent="0.3">
      <c r="U213" t="e">
        <f t="shared" si="15"/>
        <v>#N/A</v>
      </c>
      <c r="V213">
        <v>-1.9</v>
      </c>
      <c r="W213">
        <f t="shared" si="16"/>
        <v>6.5615814774676595E-2</v>
      </c>
      <c r="X213" t="e">
        <f t="shared" si="17"/>
        <v>#N/A</v>
      </c>
      <c r="Y213">
        <f t="shared" si="18"/>
        <v>6.5615814774676595E-2</v>
      </c>
      <c r="Z213">
        <f t="shared" si="19"/>
        <v>6.5615814774676595E-2</v>
      </c>
    </row>
    <row r="214" spans="21:26" x14ac:dyDescent="0.3">
      <c r="U214" t="e">
        <f t="shared" si="15"/>
        <v>#N/A</v>
      </c>
      <c r="V214">
        <v>-1.89</v>
      </c>
      <c r="W214">
        <f t="shared" si="16"/>
        <v>6.6871090639307157E-2</v>
      </c>
      <c r="X214" t="e">
        <f t="shared" si="17"/>
        <v>#N/A</v>
      </c>
      <c r="Y214">
        <f t="shared" si="18"/>
        <v>6.6871090639307157E-2</v>
      </c>
      <c r="Z214">
        <f t="shared" si="19"/>
        <v>6.6871090639307157E-2</v>
      </c>
    </row>
    <row r="215" spans="21:26" x14ac:dyDescent="0.3">
      <c r="U215" t="e">
        <f t="shared" si="15"/>
        <v>#N/A</v>
      </c>
      <c r="V215">
        <v>-1.88</v>
      </c>
      <c r="W215">
        <f t="shared" si="16"/>
        <v>6.8143566101044578E-2</v>
      </c>
      <c r="X215" t="e">
        <f t="shared" si="17"/>
        <v>#N/A</v>
      </c>
      <c r="Y215">
        <f t="shared" si="18"/>
        <v>6.8143566101044578E-2</v>
      </c>
      <c r="Z215">
        <f t="shared" si="19"/>
        <v>6.8143566101044578E-2</v>
      </c>
    </row>
    <row r="216" spans="21:26" x14ac:dyDescent="0.3">
      <c r="U216" t="e">
        <f t="shared" si="15"/>
        <v>#N/A</v>
      </c>
      <c r="V216">
        <v>-1.87</v>
      </c>
      <c r="W216">
        <f t="shared" si="16"/>
        <v>6.9433311543674187E-2</v>
      </c>
      <c r="X216" t="e">
        <f t="shared" si="17"/>
        <v>#N/A</v>
      </c>
      <c r="Y216">
        <f t="shared" si="18"/>
        <v>6.9433311543674187E-2</v>
      </c>
      <c r="Z216">
        <f t="shared" si="19"/>
        <v>6.9433311543674187E-2</v>
      </c>
    </row>
    <row r="217" spans="21:26" x14ac:dyDescent="0.3">
      <c r="U217" t="e">
        <f t="shared" si="15"/>
        <v>#N/A</v>
      </c>
      <c r="V217">
        <v>-1.86</v>
      </c>
      <c r="W217">
        <f t="shared" si="16"/>
        <v>7.074039345698338E-2</v>
      </c>
      <c r="X217" t="e">
        <f t="shared" si="17"/>
        <v>#N/A</v>
      </c>
      <c r="Y217">
        <f t="shared" si="18"/>
        <v>7.074039345698338E-2</v>
      </c>
      <c r="Z217">
        <f t="shared" si="19"/>
        <v>7.074039345698338E-2</v>
      </c>
    </row>
    <row r="218" spans="21:26" x14ac:dyDescent="0.3">
      <c r="U218" t="e">
        <f t="shared" si="15"/>
        <v>#N/A</v>
      </c>
      <c r="V218">
        <v>-1.85</v>
      </c>
      <c r="W218">
        <f t="shared" si="16"/>
        <v>7.2064874336217985E-2</v>
      </c>
      <c r="X218" t="e">
        <f t="shared" si="17"/>
        <v>#N/A</v>
      </c>
      <c r="Y218">
        <f t="shared" si="18"/>
        <v>7.2064874336217985E-2</v>
      </c>
      <c r="Z218">
        <f t="shared" si="19"/>
        <v>7.2064874336217985E-2</v>
      </c>
    </row>
    <row r="219" spans="21:26" x14ac:dyDescent="0.3">
      <c r="U219" t="e">
        <f t="shared" si="15"/>
        <v>#N/A</v>
      </c>
      <c r="V219">
        <v>-1.84</v>
      </c>
      <c r="W219">
        <f t="shared" si="16"/>
        <v>7.3406812581656891E-2</v>
      </c>
      <c r="X219" t="e">
        <f t="shared" si="17"/>
        <v>#N/A</v>
      </c>
      <c r="Y219">
        <f t="shared" si="18"/>
        <v>7.3406812581656891E-2</v>
      </c>
      <c r="Z219">
        <f t="shared" si="19"/>
        <v>7.3406812581656891E-2</v>
      </c>
    </row>
    <row r="220" spans="21:26" x14ac:dyDescent="0.3">
      <c r="U220" t="e">
        <f t="shared" si="15"/>
        <v>#N/A</v>
      </c>
      <c r="V220">
        <v>-1.83</v>
      </c>
      <c r="W220">
        <f t="shared" si="16"/>
        <v>7.4766262398367603E-2</v>
      </c>
      <c r="X220" t="e">
        <f t="shared" si="17"/>
        <v>#N/A</v>
      </c>
      <c r="Y220">
        <f t="shared" si="18"/>
        <v>7.4766262398367603E-2</v>
      </c>
      <c r="Z220">
        <f t="shared" si="19"/>
        <v>7.4766262398367603E-2</v>
      </c>
    </row>
    <row r="221" spans="21:26" x14ac:dyDescent="0.3">
      <c r="U221" t="e">
        <f t="shared" si="15"/>
        <v>#N/A</v>
      </c>
      <c r="V221">
        <v>-1.82</v>
      </c>
      <c r="W221">
        <f t="shared" si="16"/>
        <v>7.6143273696207311E-2</v>
      </c>
      <c r="X221" t="e">
        <f t="shared" si="17"/>
        <v>#N/A</v>
      </c>
      <c r="Y221">
        <f t="shared" si="18"/>
        <v>7.6143273696207311E-2</v>
      </c>
      <c r="Z221">
        <f t="shared" si="19"/>
        <v>7.6143273696207311E-2</v>
      </c>
    </row>
    <row r="222" spans="21:26" x14ac:dyDescent="0.3">
      <c r="U222" t="e">
        <f t="shared" si="15"/>
        <v>#N/A</v>
      </c>
      <c r="V222">
        <v>-1.81</v>
      </c>
      <c r="W222">
        <f t="shared" si="16"/>
        <v>7.7537891990133986E-2</v>
      </c>
      <c r="X222" t="e">
        <f t="shared" si="17"/>
        <v>#N/A</v>
      </c>
      <c r="Y222">
        <f t="shared" si="18"/>
        <v>7.7537891990133986E-2</v>
      </c>
      <c r="Z222">
        <f t="shared" si="19"/>
        <v>7.7537891990133986E-2</v>
      </c>
    </row>
    <row r="223" spans="21:26" x14ac:dyDescent="0.3">
      <c r="U223" t="e">
        <f t="shared" si="15"/>
        <v>#N/A</v>
      </c>
      <c r="V223">
        <v>-1.8</v>
      </c>
      <c r="W223">
        <f t="shared" si="16"/>
        <v>7.8950158300894149E-2</v>
      </c>
      <c r="X223" t="e">
        <f t="shared" si="17"/>
        <v>#N/A</v>
      </c>
      <c r="Y223">
        <f t="shared" si="18"/>
        <v>7.8950158300894149E-2</v>
      </c>
      <c r="Z223">
        <f t="shared" si="19"/>
        <v>7.8950158300894149E-2</v>
      </c>
    </row>
    <row r="224" spans="21:26" x14ac:dyDescent="0.3">
      <c r="U224" t="e">
        <f t="shared" si="15"/>
        <v>#N/A</v>
      </c>
      <c r="V224">
        <v>-1.79</v>
      </c>
      <c r="W224">
        <f t="shared" si="16"/>
        <v>8.038010905615417E-2</v>
      </c>
      <c r="X224" t="e">
        <f t="shared" si="17"/>
        <v>#N/A</v>
      </c>
      <c r="Y224">
        <f t="shared" si="18"/>
        <v>8.038010905615417E-2</v>
      </c>
      <c r="Z224">
        <f t="shared" si="19"/>
        <v>8.038010905615417E-2</v>
      </c>
    </row>
    <row r="225" spans="21:26" x14ac:dyDescent="0.3">
      <c r="U225" t="e">
        <f t="shared" si="15"/>
        <v>#N/A</v>
      </c>
      <c r="V225">
        <v>-1.78</v>
      </c>
      <c r="W225">
        <f t="shared" si="16"/>
        <v>8.1827775992142804E-2</v>
      </c>
      <c r="X225" t="e">
        <f t="shared" si="17"/>
        <v>#N/A</v>
      </c>
      <c r="Y225">
        <f t="shared" si="18"/>
        <v>8.1827775992142804E-2</v>
      </c>
      <c r="Z225">
        <f t="shared" si="19"/>
        <v>8.1827775992142804E-2</v>
      </c>
    </row>
    <row r="226" spans="21:26" x14ac:dyDescent="0.3">
      <c r="U226" t="e">
        <f t="shared" si="15"/>
        <v>#N/A</v>
      </c>
      <c r="V226">
        <v>-1.77</v>
      </c>
      <c r="W226">
        <f t="shared" si="16"/>
        <v>8.3293186055874463E-2</v>
      </c>
      <c r="X226" t="e">
        <f t="shared" si="17"/>
        <v>#N/A</v>
      </c>
      <c r="Y226">
        <f t="shared" si="18"/>
        <v>8.3293186055874463E-2</v>
      </c>
      <c r="Z226">
        <f t="shared" si="19"/>
        <v>8.3293186055874463E-2</v>
      </c>
    </row>
    <row r="227" spans="21:26" x14ac:dyDescent="0.3">
      <c r="U227" t="e">
        <f t="shared" si="15"/>
        <v>#N/A</v>
      </c>
      <c r="V227">
        <v>-1.76</v>
      </c>
      <c r="W227">
        <f t="shared" si="16"/>
        <v>8.4776361308022227E-2</v>
      </c>
      <c r="X227" t="e">
        <f t="shared" si="17"/>
        <v>#N/A</v>
      </c>
      <c r="Y227">
        <f t="shared" si="18"/>
        <v>8.4776361308022227E-2</v>
      </c>
      <c r="Z227">
        <f t="shared" si="19"/>
        <v>8.4776361308022227E-2</v>
      </c>
    </row>
    <row r="228" spans="21:26" x14ac:dyDescent="0.3">
      <c r="U228" t="e">
        <f t="shared" si="15"/>
        <v>#N/A</v>
      </c>
      <c r="V228">
        <v>-1.75</v>
      </c>
      <c r="W228">
        <f t="shared" si="16"/>
        <v>8.6277318826511532E-2</v>
      </c>
      <c r="X228" t="e">
        <f t="shared" si="17"/>
        <v>#N/A</v>
      </c>
      <c r="Y228">
        <f t="shared" si="18"/>
        <v>8.6277318826511532E-2</v>
      </c>
      <c r="Z228">
        <f t="shared" si="19"/>
        <v>8.6277318826511532E-2</v>
      </c>
    </row>
    <row r="229" spans="21:26" x14ac:dyDescent="0.3">
      <c r="U229" t="e">
        <f t="shared" si="15"/>
        <v>#N/A</v>
      </c>
      <c r="V229">
        <v>-1.74</v>
      </c>
      <c r="W229">
        <f t="shared" si="16"/>
        <v>8.7796070610905622E-2</v>
      </c>
      <c r="X229" t="e">
        <f t="shared" si="17"/>
        <v>#N/A</v>
      </c>
      <c r="Y229">
        <f t="shared" si="18"/>
        <v>8.7796070610905622E-2</v>
      </c>
      <c r="Z229">
        <f t="shared" si="19"/>
        <v>8.7796070610905622E-2</v>
      </c>
    </row>
    <row r="230" spans="21:26" x14ac:dyDescent="0.3">
      <c r="U230" t="e">
        <f t="shared" si="15"/>
        <v>#N/A</v>
      </c>
      <c r="V230">
        <v>-1.73</v>
      </c>
      <c r="W230">
        <f t="shared" si="16"/>
        <v>8.9332623487655E-2</v>
      </c>
      <c r="X230" t="e">
        <f t="shared" si="17"/>
        <v>#N/A</v>
      </c>
      <c r="Y230">
        <f t="shared" si="18"/>
        <v>8.9332623487655E-2</v>
      </c>
      <c r="Z230">
        <f t="shared" si="19"/>
        <v>8.9332623487655E-2</v>
      </c>
    </row>
    <row r="231" spans="21:26" x14ac:dyDescent="0.3">
      <c r="U231" t="e">
        <f t="shared" si="15"/>
        <v>#N/A</v>
      </c>
      <c r="V231">
        <v>-1.72</v>
      </c>
      <c r="W231">
        <f t="shared" si="16"/>
        <v>9.0886979016282871E-2</v>
      </c>
      <c r="X231" t="e">
        <f t="shared" si="17"/>
        <v>#N/A</v>
      </c>
      <c r="Y231">
        <f t="shared" si="18"/>
        <v>9.0886979016282871E-2</v>
      </c>
      <c r="Z231">
        <f t="shared" si="19"/>
        <v>9.0886979016282871E-2</v>
      </c>
    </row>
    <row r="232" spans="21:26" x14ac:dyDescent="0.3">
      <c r="U232" t="e">
        <f t="shared" si="15"/>
        <v>#N/A</v>
      </c>
      <c r="V232">
        <v>-1.71</v>
      </c>
      <c r="W232">
        <f t="shared" si="16"/>
        <v>9.2459133396580684E-2</v>
      </c>
      <c r="X232" t="e">
        <f t="shared" si="17"/>
        <v>#N/A</v>
      </c>
      <c r="Y232">
        <f t="shared" si="18"/>
        <v>9.2459133396580684E-2</v>
      </c>
      <c r="Z232">
        <f t="shared" si="19"/>
        <v>9.2459133396580684E-2</v>
      </c>
    </row>
    <row r="233" spans="21:26" x14ac:dyDescent="0.3">
      <c r="U233" t="e">
        <f t="shared" si="15"/>
        <v>#N/A</v>
      </c>
      <c r="V233">
        <v>-1.7</v>
      </c>
      <c r="W233">
        <f t="shared" si="16"/>
        <v>9.4049077376886947E-2</v>
      </c>
      <c r="X233" t="e">
        <f t="shared" si="17"/>
        <v>#N/A</v>
      </c>
      <c r="Y233">
        <f t="shared" si="18"/>
        <v>9.4049077376886947E-2</v>
      </c>
      <c r="Z233">
        <f t="shared" si="19"/>
        <v>9.4049077376886947E-2</v>
      </c>
    </row>
    <row r="234" spans="21:26" x14ac:dyDescent="0.3">
      <c r="U234" t="e">
        <f t="shared" si="15"/>
        <v>#N/A</v>
      </c>
      <c r="V234">
        <v>-1.69</v>
      </c>
      <c r="W234">
        <f t="shared" si="16"/>
        <v>9.5656796163524016E-2</v>
      </c>
      <c r="X234" t="e">
        <f t="shared" si="17"/>
        <v>#N/A</v>
      </c>
      <c r="Y234">
        <f t="shared" si="18"/>
        <v>9.5656796163524016E-2</v>
      </c>
      <c r="Z234">
        <f t="shared" si="19"/>
        <v>9.5656796163524016E-2</v>
      </c>
    </row>
    <row r="235" spans="21:26" x14ac:dyDescent="0.3">
      <c r="U235" t="e">
        <f t="shared" si="15"/>
        <v>#N/A</v>
      </c>
      <c r="V235">
        <v>-1.68</v>
      </c>
      <c r="W235">
        <f t="shared" si="16"/>
        <v>9.7282269331467511E-2</v>
      </c>
      <c r="X235" t="e">
        <f t="shared" si="17"/>
        <v>#N/A</v>
      </c>
      <c r="Y235">
        <f t="shared" si="18"/>
        <v>9.7282269331467511E-2</v>
      </c>
      <c r="Z235">
        <f t="shared" si="19"/>
        <v>9.7282269331467511E-2</v>
      </c>
    </row>
    <row r="236" spans="21:26" x14ac:dyDescent="0.3">
      <c r="U236" t="e">
        <f t="shared" si="15"/>
        <v>#N/A</v>
      </c>
      <c r="V236">
        <v>-1.67</v>
      </c>
      <c r="W236">
        <f t="shared" si="16"/>
        <v>9.8925470736323712E-2</v>
      </c>
      <c r="X236" t="e">
        <f t="shared" si="17"/>
        <v>#N/A</v>
      </c>
      <c r="Y236">
        <f t="shared" si="18"/>
        <v>9.8925470736323712E-2</v>
      </c>
      <c r="Z236">
        <f t="shared" si="19"/>
        <v>9.8925470736323712E-2</v>
      </c>
    </row>
    <row r="237" spans="21:26" x14ac:dyDescent="0.3">
      <c r="U237" t="e">
        <f t="shared" si="15"/>
        <v>#N/A</v>
      </c>
      <c r="V237">
        <v>-1.66</v>
      </c>
      <c r="W237">
        <f t="shared" si="16"/>
        <v>0.10058636842769057</v>
      </c>
      <c r="X237" t="e">
        <f t="shared" si="17"/>
        <v>#N/A</v>
      </c>
      <c r="Y237">
        <f t="shared" si="18"/>
        <v>0.10058636842769057</v>
      </c>
      <c r="Z237">
        <f t="shared" si="19"/>
        <v>0.10058636842769057</v>
      </c>
    </row>
    <row r="238" spans="21:26" x14ac:dyDescent="0.3">
      <c r="U238" t="e">
        <f t="shared" si="15"/>
        <v>#N/A</v>
      </c>
      <c r="V238">
        <v>-1.65</v>
      </c>
      <c r="W238">
        <f t="shared" si="16"/>
        <v>0.10226492456397804</v>
      </c>
      <c r="X238" t="e">
        <f t="shared" si="17"/>
        <v>#N/A</v>
      </c>
      <c r="Y238">
        <f t="shared" si="18"/>
        <v>0.10226492456397804</v>
      </c>
      <c r="Z238">
        <f t="shared" si="19"/>
        <v>0.10226492456397804</v>
      </c>
    </row>
    <row r="239" spans="21:26" x14ac:dyDescent="0.3">
      <c r="U239" t="e">
        <f t="shared" si="15"/>
        <v>#N/A</v>
      </c>
      <c r="V239">
        <v>-1.64</v>
      </c>
      <c r="W239">
        <f t="shared" si="16"/>
        <v>0.10396109532876423</v>
      </c>
      <c r="X239" t="e">
        <f t="shared" si="17"/>
        <v>#N/A</v>
      </c>
      <c r="Y239">
        <f t="shared" si="18"/>
        <v>0.10396109532876423</v>
      </c>
      <c r="Z239">
        <f t="shared" si="19"/>
        <v>0.10396109532876423</v>
      </c>
    </row>
    <row r="240" spans="21:26" x14ac:dyDescent="0.3">
      <c r="U240" t="e">
        <f t="shared" si="15"/>
        <v>#N/A</v>
      </c>
      <c r="V240">
        <v>-1.63</v>
      </c>
      <c r="W240">
        <f t="shared" si="16"/>
        <v>0.10567483084876363</v>
      </c>
      <c r="X240" t="e">
        <f t="shared" si="17"/>
        <v>#N/A</v>
      </c>
      <c r="Y240">
        <f t="shared" si="18"/>
        <v>0.10567483084876363</v>
      </c>
      <c r="Z240">
        <f t="shared" si="19"/>
        <v>0.10567483084876363</v>
      </c>
    </row>
    <row r="241" spans="21:26" x14ac:dyDescent="0.3">
      <c r="U241" t="e">
        <f t="shared" si="15"/>
        <v>#N/A</v>
      </c>
      <c r="V241">
        <v>-1.62</v>
      </c>
      <c r="W241">
        <f t="shared" si="16"/>
        <v>0.1074060751134838</v>
      </c>
      <c r="X241" t="e">
        <f t="shared" si="17"/>
        <v>#N/A</v>
      </c>
      <c r="Y241">
        <f t="shared" si="18"/>
        <v>0.1074060751134838</v>
      </c>
      <c r="Z241">
        <f t="shared" si="19"/>
        <v>0.1074060751134838</v>
      </c>
    </row>
    <row r="242" spans="21:26" x14ac:dyDescent="0.3">
      <c r="U242" t="e">
        <f t="shared" si="15"/>
        <v>#N/A</v>
      </c>
      <c r="V242">
        <v>-1.61</v>
      </c>
      <c r="W242">
        <f t="shared" si="16"/>
        <v>0.10915476589664735</v>
      </c>
      <c r="X242" t="e">
        <f t="shared" si="17"/>
        <v>#N/A</v>
      </c>
      <c r="Y242">
        <f t="shared" si="18"/>
        <v>0.10915476589664735</v>
      </c>
      <c r="Z242">
        <f t="shared" si="19"/>
        <v>0.10915476589664735</v>
      </c>
    </row>
    <row r="243" spans="21:26" x14ac:dyDescent="0.3">
      <c r="U243" t="e">
        <f t="shared" si="15"/>
        <v>#N/A</v>
      </c>
      <c r="V243">
        <v>-1.6</v>
      </c>
      <c r="W243">
        <f t="shared" si="16"/>
        <v>0.11092083467945554</v>
      </c>
      <c r="X243" t="e">
        <f t="shared" si="17"/>
        <v>#N/A</v>
      </c>
      <c r="Y243">
        <f t="shared" si="18"/>
        <v>0.11092083467945554</v>
      </c>
      <c r="Z243">
        <f t="shared" si="19"/>
        <v>0.11092083467945554</v>
      </c>
    </row>
    <row r="244" spans="21:26" x14ac:dyDescent="0.3">
      <c r="U244" t="e">
        <f t="shared" si="15"/>
        <v>#N/A</v>
      </c>
      <c r="V244">
        <v>-1.59</v>
      </c>
      <c r="W244">
        <f t="shared" si="16"/>
        <v>0.11270420657577056</v>
      </c>
      <c r="X244" t="e">
        <f t="shared" si="17"/>
        <v>#N/A</v>
      </c>
      <c r="Y244">
        <f t="shared" si="18"/>
        <v>0.11270420657577056</v>
      </c>
      <c r="Z244">
        <f t="shared" si="19"/>
        <v>0.11270420657577056</v>
      </c>
    </row>
    <row r="245" spans="21:26" x14ac:dyDescent="0.3">
      <c r="U245" t="e">
        <f t="shared" si="15"/>
        <v>#N/A</v>
      </c>
      <c r="V245">
        <v>-1.58</v>
      </c>
      <c r="W245">
        <f t="shared" si="16"/>
        <v>0.11450480025929236</v>
      </c>
      <c r="X245" t="e">
        <f t="shared" si="17"/>
        <v>#N/A</v>
      </c>
      <c r="Y245">
        <f t="shared" si="18"/>
        <v>0.11450480025929236</v>
      </c>
      <c r="Z245">
        <f t="shared" si="19"/>
        <v>0.11450480025929236</v>
      </c>
    </row>
    <row r="246" spans="21:26" x14ac:dyDescent="0.3">
      <c r="U246" t="e">
        <f t="shared" si="15"/>
        <v>#N/A</v>
      </c>
      <c r="V246">
        <v>-1.57</v>
      </c>
      <c r="W246">
        <f t="shared" si="16"/>
        <v>0.11632252789280709</v>
      </c>
      <c r="X246" t="e">
        <f t="shared" si="17"/>
        <v>#N/A</v>
      </c>
      <c r="Y246">
        <f t="shared" si="18"/>
        <v>0.11632252789280709</v>
      </c>
      <c r="Z246">
        <f t="shared" si="19"/>
        <v>0.11632252789280709</v>
      </c>
    </row>
    <row r="247" spans="21:26" x14ac:dyDescent="0.3">
      <c r="U247" t="e">
        <f t="shared" si="15"/>
        <v>#N/A</v>
      </c>
      <c r="V247">
        <v>-1.56</v>
      </c>
      <c r="W247">
        <f t="shared" si="16"/>
        <v>0.11815729505958227</v>
      </c>
      <c r="X247" t="e">
        <f t="shared" si="17"/>
        <v>#N/A</v>
      </c>
      <c r="Y247">
        <f t="shared" si="18"/>
        <v>0.11815729505958227</v>
      </c>
      <c r="Z247">
        <f t="shared" si="19"/>
        <v>0.11815729505958227</v>
      </c>
    </row>
    <row r="248" spans="21:26" x14ac:dyDescent="0.3">
      <c r="U248" t="e">
        <f t="shared" si="15"/>
        <v>#N/A</v>
      </c>
      <c r="V248">
        <v>-1.55</v>
      </c>
      <c r="W248">
        <f t="shared" si="16"/>
        <v>0.12000900069698558</v>
      </c>
      <c r="X248" t="e">
        <f t="shared" si="17"/>
        <v>#N/A</v>
      </c>
      <c r="Y248">
        <f t="shared" si="18"/>
        <v>0.12000900069698558</v>
      </c>
      <c r="Z248">
        <f t="shared" si="19"/>
        <v>0.12000900069698558</v>
      </c>
    </row>
    <row r="249" spans="21:26" x14ac:dyDescent="0.3">
      <c r="U249" t="e">
        <f t="shared" si="15"/>
        <v>#N/A</v>
      </c>
      <c r="V249">
        <v>-1.54</v>
      </c>
      <c r="W249">
        <f t="shared" si="16"/>
        <v>0.12187753703240178</v>
      </c>
      <c r="X249" t="e">
        <f t="shared" si="17"/>
        <v>#N/A</v>
      </c>
      <c r="Y249">
        <f t="shared" si="18"/>
        <v>0.12187753703240178</v>
      </c>
      <c r="Z249">
        <f t="shared" si="19"/>
        <v>0.12187753703240178</v>
      </c>
    </row>
    <row r="250" spans="21:26" x14ac:dyDescent="0.3">
      <c r="U250" t="e">
        <f t="shared" si="15"/>
        <v>#N/A</v>
      </c>
      <c r="V250">
        <v>-1.53</v>
      </c>
      <c r="W250">
        <f t="shared" si="16"/>
        <v>0.12376278952152313</v>
      </c>
      <c r="X250" t="e">
        <f t="shared" si="17"/>
        <v>#N/A</v>
      </c>
      <c r="Y250">
        <f t="shared" si="18"/>
        <v>0.12376278952152313</v>
      </c>
      <c r="Z250">
        <f t="shared" si="19"/>
        <v>0.12376278952152313</v>
      </c>
    </row>
    <row r="251" spans="21:26" x14ac:dyDescent="0.3">
      <c r="U251" t="e">
        <f t="shared" si="15"/>
        <v>#N/A</v>
      </c>
      <c r="V251">
        <v>-1.52</v>
      </c>
      <c r="W251">
        <f t="shared" si="16"/>
        <v>0.12566463678908815</v>
      </c>
      <c r="X251" t="e">
        <f t="shared" si="17"/>
        <v>#N/A</v>
      </c>
      <c r="Y251">
        <f t="shared" si="18"/>
        <v>0.12566463678908815</v>
      </c>
      <c r="Z251">
        <f t="shared" si="19"/>
        <v>0.12566463678908815</v>
      </c>
    </row>
    <row r="252" spans="21:26" x14ac:dyDescent="0.3">
      <c r="U252" t="e">
        <f t="shared" si="15"/>
        <v>#N/A</v>
      </c>
      <c r="V252">
        <v>-1.51</v>
      </c>
      <c r="W252">
        <f t="shared" si="16"/>
        <v>0.12758295057214186</v>
      </c>
      <c r="X252" t="e">
        <f t="shared" si="17"/>
        <v>#N/A</v>
      </c>
      <c r="Y252">
        <f t="shared" si="18"/>
        <v>0.12758295057214186</v>
      </c>
      <c r="Z252">
        <f t="shared" si="19"/>
        <v>0.12758295057214186</v>
      </c>
    </row>
    <row r="253" spans="21:26" x14ac:dyDescent="0.3">
      <c r="U253" t="e">
        <f t="shared" si="15"/>
        <v>#N/A</v>
      </c>
      <c r="V253">
        <v>-1.5</v>
      </c>
      <c r="W253">
        <f t="shared" si="16"/>
        <v>0.12951759566589174</v>
      </c>
      <c r="X253" t="e">
        <f t="shared" si="17"/>
        <v>#N/A</v>
      </c>
      <c r="Y253">
        <f t="shared" si="18"/>
        <v>0.12951759566589174</v>
      </c>
      <c r="Z253">
        <f t="shared" si="19"/>
        <v>0.12951759566589174</v>
      </c>
    </row>
    <row r="254" spans="21:26" x14ac:dyDescent="0.3">
      <c r="U254" t="e">
        <f t="shared" si="15"/>
        <v>#N/A</v>
      </c>
      <c r="V254">
        <v>-1.49</v>
      </c>
      <c r="W254">
        <f t="shared" si="16"/>
        <v>0.13146842987223104</v>
      </c>
      <c r="X254" t="e">
        <f t="shared" si="17"/>
        <v>#N/A</v>
      </c>
      <c r="Y254">
        <f t="shared" si="18"/>
        <v>0.13146842987223104</v>
      </c>
      <c r="Z254">
        <f t="shared" si="19"/>
        <v>0.13146842987223104</v>
      </c>
    </row>
    <row r="255" spans="21:26" x14ac:dyDescent="0.3">
      <c r="U255" t="e">
        <f t="shared" si="15"/>
        <v>#N/A</v>
      </c>
      <c r="V255">
        <v>-1.48</v>
      </c>
      <c r="W255">
        <f t="shared" si="16"/>
        <v>0.13343530395100231</v>
      </c>
      <c r="X255" t="e">
        <f t="shared" si="17"/>
        <v>#N/A</v>
      </c>
      <c r="Y255">
        <f t="shared" si="18"/>
        <v>0.13343530395100231</v>
      </c>
      <c r="Z255">
        <f t="shared" si="19"/>
        <v>0.13343530395100231</v>
      </c>
    </row>
    <row r="256" spans="21:26" x14ac:dyDescent="0.3">
      <c r="U256" t="e">
        <f t="shared" si="15"/>
        <v>#N/A</v>
      </c>
      <c r="V256">
        <v>-1.47</v>
      </c>
      <c r="W256">
        <f t="shared" si="16"/>
        <v>0.1354180615740713</v>
      </c>
      <c r="X256" t="e">
        <f t="shared" si="17"/>
        <v>#N/A</v>
      </c>
      <c r="Y256">
        <f t="shared" si="18"/>
        <v>0.1354180615740713</v>
      </c>
      <c r="Z256">
        <f t="shared" si="19"/>
        <v>0.1354180615740713</v>
      </c>
    </row>
    <row r="257" spans="21:26" x14ac:dyDescent="0.3">
      <c r="U257" t="e">
        <f t="shared" si="15"/>
        <v>#N/A</v>
      </c>
      <c r="V257">
        <v>-1.46</v>
      </c>
      <c r="W257">
        <f t="shared" si="16"/>
        <v>0.13741653928228179</v>
      </c>
      <c r="X257" t="e">
        <f t="shared" si="17"/>
        <v>#N/A</v>
      </c>
      <c r="Y257">
        <f t="shared" si="18"/>
        <v>0.13741653928228179</v>
      </c>
      <c r="Z257">
        <f t="shared" si="19"/>
        <v>0.13741653928228179</v>
      </c>
    </row>
    <row r="258" spans="21:26" x14ac:dyDescent="0.3">
      <c r="U258" t="e">
        <f t="shared" si="15"/>
        <v>#N/A</v>
      </c>
      <c r="V258">
        <v>-1.45</v>
      </c>
      <c r="W258">
        <f t="shared" si="16"/>
        <v>0.13943056644536028</v>
      </c>
      <c r="X258" t="e">
        <f t="shared" si="17"/>
        <v>#N/A</v>
      </c>
      <c r="Y258">
        <f t="shared" si="18"/>
        <v>0.13943056644536028</v>
      </c>
      <c r="Z258">
        <f t="shared" si="19"/>
        <v>0.13943056644536028</v>
      </c>
    </row>
    <row r="259" spans="21:26" x14ac:dyDescent="0.3">
      <c r="U259" t="e">
        <f t="shared" si="15"/>
        <v>#N/A</v>
      </c>
      <c r="V259">
        <v>-1.44</v>
      </c>
      <c r="W259">
        <f t="shared" si="16"/>
        <v>0.14145996522483878</v>
      </c>
      <c r="X259" t="e">
        <f t="shared" si="17"/>
        <v>#N/A</v>
      </c>
      <c r="Y259">
        <f t="shared" si="18"/>
        <v>0.14145996522483878</v>
      </c>
      <c r="Z259">
        <f t="shared" si="19"/>
        <v>0.14145996522483878</v>
      </c>
    </row>
    <row r="260" spans="21:26" x14ac:dyDescent="0.3">
      <c r="U260" t="e">
        <f t="shared" ref="U260:U323" si="20">IF($A$2=ABS(V260),0,NA())</f>
        <v>#N/A</v>
      </c>
      <c r="V260">
        <v>-1.43</v>
      </c>
      <c r="W260">
        <f t="shared" ref="W260:W323" si="21">_xlfn.NORM.S.DIST(V260,0)</f>
        <v>0.14350455054006242</v>
      </c>
      <c r="X260" t="e">
        <f t="shared" ref="X260:X323" si="22">IF(ABS(V260)=$A$2,W260,NA())</f>
        <v>#N/A</v>
      </c>
      <c r="Y260">
        <f t="shared" ref="Y260:Y323" si="23">IF(V260&lt;=$A$2,W260,NA())</f>
        <v>0.14350455054006242</v>
      </c>
      <c r="Z260">
        <f t="shared" ref="Z260:Z323" si="24">IF(ABS(V260)&lt;=$A$2,W260,NA())</f>
        <v>0.14350455054006242</v>
      </c>
    </row>
    <row r="261" spans="21:26" x14ac:dyDescent="0.3">
      <c r="U261" t="e">
        <f t="shared" si="20"/>
        <v>#N/A</v>
      </c>
      <c r="V261">
        <v>-1.42</v>
      </c>
      <c r="W261">
        <f t="shared" si="21"/>
        <v>0.14556413003734761</v>
      </c>
      <c r="X261" t="e">
        <f t="shared" si="22"/>
        <v>#N/A</v>
      </c>
      <c r="Y261">
        <f t="shared" si="23"/>
        <v>0.14556413003734761</v>
      </c>
      <c r="Z261">
        <f t="shared" si="24"/>
        <v>0.14556413003734761</v>
      </c>
    </row>
    <row r="262" spans="21:26" x14ac:dyDescent="0.3">
      <c r="U262" t="e">
        <f t="shared" si="20"/>
        <v>#N/A</v>
      </c>
      <c r="V262">
        <v>-1.41</v>
      </c>
      <c r="W262">
        <f t="shared" si="21"/>
        <v>0.14763850406235574</v>
      </c>
      <c r="X262" t="e">
        <f t="shared" si="22"/>
        <v>#N/A</v>
      </c>
      <c r="Y262">
        <f t="shared" si="23"/>
        <v>0.14763850406235574</v>
      </c>
      <c r="Z262">
        <f t="shared" si="24"/>
        <v>0.14763850406235574</v>
      </c>
    </row>
    <row r="263" spans="21:26" x14ac:dyDescent="0.3">
      <c r="U263" t="e">
        <f t="shared" si="20"/>
        <v>#N/A</v>
      </c>
      <c r="V263">
        <v>-1.4</v>
      </c>
      <c r="W263">
        <f t="shared" si="21"/>
        <v>0.14972746563574488</v>
      </c>
      <c r="X263" t="e">
        <f t="shared" si="22"/>
        <v>#N/A</v>
      </c>
      <c r="Y263">
        <f t="shared" si="23"/>
        <v>0.14972746563574488</v>
      </c>
      <c r="Z263">
        <f t="shared" si="24"/>
        <v>0.14972746563574488</v>
      </c>
    </row>
    <row r="264" spans="21:26" x14ac:dyDescent="0.3">
      <c r="U264" t="e">
        <f t="shared" si="20"/>
        <v>#N/A</v>
      </c>
      <c r="V264">
        <v>-1.39</v>
      </c>
      <c r="W264">
        <f t="shared" si="21"/>
        <v>0.15183080043216168</v>
      </c>
      <c r="X264" t="e">
        <f t="shared" si="22"/>
        <v>#N/A</v>
      </c>
      <c r="Y264">
        <f t="shared" si="23"/>
        <v>0.15183080043216168</v>
      </c>
      <c r="Z264">
        <f t="shared" si="24"/>
        <v>0.15183080043216168</v>
      </c>
    </row>
    <row r="265" spans="21:26" x14ac:dyDescent="0.3">
      <c r="U265" t="e">
        <f t="shared" si="20"/>
        <v>#N/A</v>
      </c>
      <c r="V265">
        <v>-1.38</v>
      </c>
      <c r="W265">
        <f t="shared" si="21"/>
        <v>0.15394828676263372</v>
      </c>
      <c r="X265" t="e">
        <f t="shared" si="22"/>
        <v>#N/A</v>
      </c>
      <c r="Y265">
        <f t="shared" si="23"/>
        <v>0.15394828676263372</v>
      </c>
      <c r="Z265">
        <f t="shared" si="24"/>
        <v>0.15394828676263372</v>
      </c>
    </row>
    <row r="266" spans="21:26" x14ac:dyDescent="0.3">
      <c r="U266" t="e">
        <f t="shared" si="20"/>
        <v>#N/A</v>
      </c>
      <c r="V266">
        <v>-1.37</v>
      </c>
      <c r="W266">
        <f t="shared" si="21"/>
        <v>0.15607969556042084</v>
      </c>
      <c r="X266" t="e">
        <f t="shared" si="22"/>
        <v>#N/A</v>
      </c>
      <c r="Y266">
        <f t="shared" si="23"/>
        <v>0.15607969556042084</v>
      </c>
      <c r="Z266">
        <f t="shared" si="24"/>
        <v>0.15607969556042084</v>
      </c>
    </row>
    <row r="267" spans="21:26" x14ac:dyDescent="0.3">
      <c r="U267" t="e">
        <f t="shared" si="20"/>
        <v>#N/A</v>
      </c>
      <c r="V267">
        <v>-1.36</v>
      </c>
      <c r="W267">
        <f t="shared" si="21"/>
        <v>0.15822479037038303</v>
      </c>
      <c r="X267" t="e">
        <f t="shared" si="22"/>
        <v>#N/A</v>
      </c>
      <c r="Y267">
        <f t="shared" si="23"/>
        <v>0.15822479037038303</v>
      </c>
      <c r="Z267">
        <f t="shared" si="24"/>
        <v>0.15822479037038303</v>
      </c>
    </row>
    <row r="268" spans="21:26" x14ac:dyDescent="0.3">
      <c r="U268" t="e">
        <f t="shared" si="20"/>
        <v>#N/A</v>
      </c>
      <c r="V268">
        <v>-1.35</v>
      </c>
      <c r="W268">
        <f t="shared" si="21"/>
        <v>0.1603833273419196</v>
      </c>
      <c r="X268" t="e">
        <f t="shared" si="22"/>
        <v>#N/A</v>
      </c>
      <c r="Y268">
        <f t="shared" si="23"/>
        <v>0.1603833273419196</v>
      </c>
      <c r="Z268">
        <f t="shared" si="24"/>
        <v>0.1603833273419196</v>
      </c>
    </row>
    <row r="269" spans="21:26" x14ac:dyDescent="0.3">
      <c r="U269" t="e">
        <f t="shared" si="20"/>
        <v>#N/A</v>
      </c>
      <c r="V269">
        <v>-1.34</v>
      </c>
      <c r="W269">
        <f t="shared" si="21"/>
        <v>0.16255505522553412</v>
      </c>
      <c r="X269" t="e">
        <f t="shared" si="22"/>
        <v>#N/A</v>
      </c>
      <c r="Y269">
        <f t="shared" si="23"/>
        <v>0.16255505522553412</v>
      </c>
      <c r="Z269">
        <f t="shared" si="24"/>
        <v>0.16255505522553412</v>
      </c>
    </row>
    <row r="270" spans="21:26" x14ac:dyDescent="0.3">
      <c r="U270" t="e">
        <f t="shared" si="20"/>
        <v>#N/A</v>
      </c>
      <c r="V270">
        <v>-1.33</v>
      </c>
      <c r="W270">
        <f t="shared" si="21"/>
        <v>0.1647397153730768</v>
      </c>
      <c r="X270" t="e">
        <f t="shared" si="22"/>
        <v>#N/A</v>
      </c>
      <c r="Y270">
        <f t="shared" si="23"/>
        <v>0.1647397153730768</v>
      </c>
      <c r="Z270">
        <f t="shared" si="24"/>
        <v>0.1647397153730768</v>
      </c>
    </row>
    <row r="271" spans="21:26" x14ac:dyDescent="0.3">
      <c r="U271" t="e">
        <f t="shared" si="20"/>
        <v>#N/A</v>
      </c>
      <c r="V271">
        <v>-1.32</v>
      </c>
      <c r="W271">
        <f t="shared" si="21"/>
        <v>0.16693704174171381</v>
      </c>
      <c r="X271" t="e">
        <f t="shared" si="22"/>
        <v>#N/A</v>
      </c>
      <c r="Y271">
        <f t="shared" si="23"/>
        <v>0.16693704174171381</v>
      </c>
      <c r="Z271">
        <f t="shared" si="24"/>
        <v>0.16693704174171381</v>
      </c>
    </row>
    <row r="272" spans="21:26" x14ac:dyDescent="0.3">
      <c r="U272" t="e">
        <f t="shared" si="20"/>
        <v>#N/A</v>
      </c>
      <c r="V272">
        <v>-1.31</v>
      </c>
      <c r="W272">
        <f t="shared" si="21"/>
        <v>0.16914676090167238</v>
      </c>
      <c r="X272" t="e">
        <f t="shared" si="22"/>
        <v>#N/A</v>
      </c>
      <c r="Y272">
        <f t="shared" si="23"/>
        <v>0.16914676090167238</v>
      </c>
      <c r="Z272">
        <f t="shared" si="24"/>
        <v>0.16914676090167238</v>
      </c>
    </row>
    <row r="273" spans="21:26" x14ac:dyDescent="0.3">
      <c r="U273" t="e">
        <f t="shared" si="20"/>
        <v>#N/A</v>
      </c>
      <c r="V273">
        <v>-1.3</v>
      </c>
      <c r="W273">
        <f t="shared" si="21"/>
        <v>0.17136859204780736</v>
      </c>
      <c r="X273" t="e">
        <f t="shared" si="22"/>
        <v>#N/A</v>
      </c>
      <c r="Y273">
        <f t="shared" si="23"/>
        <v>0.17136859204780736</v>
      </c>
      <c r="Z273">
        <f t="shared" si="24"/>
        <v>0.17136859204780736</v>
      </c>
    </row>
    <row r="274" spans="21:26" x14ac:dyDescent="0.3">
      <c r="U274" t="e">
        <f t="shared" si="20"/>
        <v>#N/A</v>
      </c>
      <c r="V274">
        <v>-1.29</v>
      </c>
      <c r="W274">
        <f t="shared" si="21"/>
        <v>0.17360224701503299</v>
      </c>
      <c r="X274" t="e">
        <f t="shared" si="22"/>
        <v>#N/A</v>
      </c>
      <c r="Y274">
        <f t="shared" si="23"/>
        <v>0.17360224701503299</v>
      </c>
      <c r="Z274">
        <f t="shared" si="24"/>
        <v>0.17360224701503299</v>
      </c>
    </row>
    <row r="275" spans="21:26" x14ac:dyDescent="0.3">
      <c r="U275" t="e">
        <f t="shared" si="20"/>
        <v>#N/A</v>
      </c>
      <c r="V275">
        <v>-1.28</v>
      </c>
      <c r="W275">
        <f t="shared" si="21"/>
        <v>0.17584743029766237</v>
      </c>
      <c r="X275" t="e">
        <f t="shared" si="22"/>
        <v>#N/A</v>
      </c>
      <c r="Y275">
        <f t="shared" si="23"/>
        <v>0.17584743029766237</v>
      </c>
      <c r="Z275">
        <f t="shared" si="24"/>
        <v>0.17584743029766237</v>
      </c>
    </row>
    <row r="276" spans="21:26" x14ac:dyDescent="0.3">
      <c r="U276" t="e">
        <f t="shared" si="20"/>
        <v>#N/A</v>
      </c>
      <c r="V276">
        <v>-1.27</v>
      </c>
      <c r="W276">
        <f t="shared" si="21"/>
        <v>0.17810383907269359</v>
      </c>
      <c r="X276" t="e">
        <f t="shared" si="22"/>
        <v>#N/A</v>
      </c>
      <c r="Y276">
        <f t="shared" si="23"/>
        <v>0.17810383907269359</v>
      </c>
      <c r="Z276">
        <f t="shared" si="24"/>
        <v>0.17810383907269359</v>
      </c>
    </row>
    <row r="277" spans="21:26" x14ac:dyDescent="0.3">
      <c r="U277" t="e">
        <f t="shared" si="20"/>
        <v>#N/A</v>
      </c>
      <c r="V277">
        <v>-1.26</v>
      </c>
      <c r="W277">
        <f t="shared" si="21"/>
        <v>0.18037116322708033</v>
      </c>
      <c r="X277" t="e">
        <f t="shared" si="22"/>
        <v>#N/A</v>
      </c>
      <c r="Y277">
        <f t="shared" si="23"/>
        <v>0.18037116322708033</v>
      </c>
      <c r="Z277">
        <f t="shared" si="24"/>
        <v>0.18037116322708033</v>
      </c>
    </row>
    <row r="278" spans="21:26" x14ac:dyDescent="0.3">
      <c r="U278" t="e">
        <f t="shared" si="20"/>
        <v>#N/A</v>
      </c>
      <c r="V278">
        <v>-1.25</v>
      </c>
      <c r="W278">
        <f t="shared" si="21"/>
        <v>0.18264908538902191</v>
      </c>
      <c r="X278" t="e">
        <f t="shared" si="22"/>
        <v>#N/A</v>
      </c>
      <c r="Y278">
        <f t="shared" si="23"/>
        <v>0.18264908538902191</v>
      </c>
      <c r="Z278">
        <f t="shared" si="24"/>
        <v>0.18264908538902191</v>
      </c>
    </row>
    <row r="279" spans="21:26" x14ac:dyDescent="0.3">
      <c r="U279" t="e">
        <f t="shared" si="20"/>
        <v>#N/A</v>
      </c>
      <c r="V279">
        <v>-1.24</v>
      </c>
      <c r="W279">
        <f t="shared" si="21"/>
        <v>0.18493728096330531</v>
      </c>
      <c r="X279" t="e">
        <f t="shared" si="22"/>
        <v>#N/A</v>
      </c>
      <c r="Y279">
        <f t="shared" si="23"/>
        <v>0.18493728096330531</v>
      </c>
      <c r="Z279">
        <f t="shared" si="24"/>
        <v>0.18493728096330531</v>
      </c>
    </row>
    <row r="280" spans="21:26" x14ac:dyDescent="0.3">
      <c r="U280" t="e">
        <f t="shared" si="20"/>
        <v>#N/A</v>
      </c>
      <c r="V280">
        <v>-1.23</v>
      </c>
      <c r="W280">
        <f t="shared" si="21"/>
        <v>0.18723541817072956</v>
      </c>
      <c r="X280" t="e">
        <f t="shared" si="22"/>
        <v>#N/A</v>
      </c>
      <c r="Y280">
        <f t="shared" si="23"/>
        <v>0.18723541817072956</v>
      </c>
      <c r="Z280">
        <f t="shared" si="24"/>
        <v>0.18723541817072956</v>
      </c>
    </row>
    <row r="281" spans="21:26" x14ac:dyDescent="0.3">
      <c r="U281" t="e">
        <f t="shared" si="20"/>
        <v>#N/A</v>
      </c>
      <c r="V281">
        <v>-1.22</v>
      </c>
      <c r="W281">
        <f t="shared" si="21"/>
        <v>0.18954315809164024</v>
      </c>
      <c r="X281" t="e">
        <f t="shared" si="22"/>
        <v>#N/A</v>
      </c>
      <c r="Y281">
        <f t="shared" si="23"/>
        <v>0.18954315809164024</v>
      </c>
      <c r="Z281">
        <f t="shared" si="24"/>
        <v>0.18954315809164024</v>
      </c>
    </row>
    <row r="282" spans="21:26" x14ac:dyDescent="0.3">
      <c r="U282" t="e">
        <f t="shared" si="20"/>
        <v>#N/A</v>
      </c>
      <c r="V282">
        <v>-1.21</v>
      </c>
      <c r="W282">
        <f t="shared" si="21"/>
        <v>0.19186015471359938</v>
      </c>
      <c r="X282" t="e">
        <f t="shared" si="22"/>
        <v>#N/A</v>
      </c>
      <c r="Y282">
        <f t="shared" si="23"/>
        <v>0.19186015471359938</v>
      </c>
      <c r="Z282">
        <f t="shared" si="24"/>
        <v>0.19186015471359938</v>
      </c>
    </row>
    <row r="283" spans="21:26" x14ac:dyDescent="0.3">
      <c r="U283" t="e">
        <f t="shared" si="20"/>
        <v>#N/A</v>
      </c>
      <c r="V283">
        <v>-1.2</v>
      </c>
      <c r="W283">
        <f t="shared" si="21"/>
        <v>0.19418605498321295</v>
      </c>
      <c r="X283" t="e">
        <f t="shared" si="22"/>
        <v>#N/A</v>
      </c>
      <c r="Y283">
        <f t="shared" si="23"/>
        <v>0.19418605498321295</v>
      </c>
      <c r="Z283">
        <f t="shared" si="24"/>
        <v>0.19418605498321295</v>
      </c>
    </row>
    <row r="284" spans="21:26" x14ac:dyDescent="0.3">
      <c r="U284" t="e">
        <f t="shared" si="20"/>
        <v>#N/A</v>
      </c>
      <c r="V284">
        <v>-1.19</v>
      </c>
      <c r="W284">
        <f t="shared" si="21"/>
        <v>0.19652049886213654</v>
      </c>
      <c r="X284" t="e">
        <f t="shared" si="22"/>
        <v>#N/A</v>
      </c>
      <c r="Y284">
        <f t="shared" si="23"/>
        <v>0.19652049886213654</v>
      </c>
      <c r="Z284">
        <f t="shared" si="24"/>
        <v>0.19652049886213654</v>
      </c>
    </row>
    <row r="285" spans="21:26" x14ac:dyDescent="0.3">
      <c r="U285" t="e">
        <f t="shared" si="20"/>
        <v>#N/A</v>
      </c>
      <c r="V285">
        <v>-1.18</v>
      </c>
      <c r="W285">
        <f t="shared" si="21"/>
        <v>0.19886311938727591</v>
      </c>
      <c r="X285" t="e">
        <f t="shared" si="22"/>
        <v>#N/A</v>
      </c>
      <c r="Y285">
        <f t="shared" si="23"/>
        <v>0.19886311938727591</v>
      </c>
      <c r="Z285">
        <f t="shared" si="24"/>
        <v>0.19886311938727591</v>
      </c>
    </row>
    <row r="286" spans="21:26" x14ac:dyDescent="0.3">
      <c r="U286" t="e">
        <f t="shared" si="20"/>
        <v>#N/A</v>
      </c>
      <c r="V286">
        <v>-1.17</v>
      </c>
      <c r="W286">
        <f t="shared" si="21"/>
        <v>0.2012135427351974</v>
      </c>
      <c r="X286" t="e">
        <f t="shared" si="22"/>
        <v>#N/A</v>
      </c>
      <c r="Y286">
        <f t="shared" si="23"/>
        <v>0.2012135427351974</v>
      </c>
      <c r="Z286">
        <f t="shared" si="24"/>
        <v>0.2012135427351974</v>
      </c>
    </row>
    <row r="287" spans="21:26" x14ac:dyDescent="0.3">
      <c r="U287" t="e">
        <f t="shared" si="20"/>
        <v>#N/A</v>
      </c>
      <c r="V287">
        <v>-1.1599999999999999</v>
      </c>
      <c r="W287">
        <f t="shared" si="21"/>
        <v>0.20357138829075944</v>
      </c>
      <c r="X287" t="e">
        <f t="shared" si="22"/>
        <v>#N/A</v>
      </c>
      <c r="Y287">
        <f t="shared" si="23"/>
        <v>0.20357138829075944</v>
      </c>
      <c r="Z287">
        <f t="shared" si="24"/>
        <v>0.20357138829075944</v>
      </c>
    </row>
    <row r="288" spans="21:26" x14ac:dyDescent="0.3">
      <c r="U288" t="e">
        <f t="shared" si="20"/>
        <v>#N/A</v>
      </c>
      <c r="V288">
        <v>-1.1499999999999999</v>
      </c>
      <c r="W288">
        <f t="shared" si="21"/>
        <v>0.20593626871997478</v>
      </c>
      <c r="X288" t="e">
        <f t="shared" si="22"/>
        <v>#N/A</v>
      </c>
      <c r="Y288">
        <f t="shared" si="23"/>
        <v>0.20593626871997478</v>
      </c>
      <c r="Z288">
        <f t="shared" si="24"/>
        <v>0.20593626871997478</v>
      </c>
    </row>
    <row r="289" spans="21:26" x14ac:dyDescent="0.3">
      <c r="U289" t="e">
        <f t="shared" si="20"/>
        <v>#N/A</v>
      </c>
      <c r="V289">
        <v>-1.1399999999999999</v>
      </c>
      <c r="W289">
        <f t="shared" si="21"/>
        <v>0.20830779004710837</v>
      </c>
      <c r="X289" t="e">
        <f t="shared" si="22"/>
        <v>#N/A</v>
      </c>
      <c r="Y289">
        <f t="shared" si="23"/>
        <v>0.20830779004710837</v>
      </c>
      <c r="Z289">
        <f t="shared" si="24"/>
        <v>0.20830779004710837</v>
      </c>
    </row>
    <row r="290" spans="21:26" x14ac:dyDescent="0.3">
      <c r="U290" t="e">
        <f t="shared" si="20"/>
        <v>#N/A</v>
      </c>
      <c r="V290">
        <v>-1.1299999999999999</v>
      </c>
      <c r="W290">
        <f t="shared" si="21"/>
        <v>0.21068555173601533</v>
      </c>
      <c r="X290" t="e">
        <f t="shared" si="22"/>
        <v>#N/A</v>
      </c>
      <c r="Y290">
        <f t="shared" si="23"/>
        <v>0.21068555173601533</v>
      </c>
      <c r="Z290">
        <f t="shared" si="24"/>
        <v>0.21068555173601533</v>
      </c>
    </row>
    <row r="291" spans="21:26" x14ac:dyDescent="0.3">
      <c r="U291" t="e">
        <f t="shared" si="20"/>
        <v>#N/A</v>
      </c>
      <c r="V291">
        <v>-1.1200000000000001</v>
      </c>
      <c r="W291">
        <f t="shared" si="21"/>
        <v>0.21306914677571784</v>
      </c>
      <c r="X291" t="e">
        <f t="shared" si="22"/>
        <v>#N/A</v>
      </c>
      <c r="Y291">
        <f t="shared" si="23"/>
        <v>0.21306914677571784</v>
      </c>
      <c r="Z291">
        <f t="shared" si="24"/>
        <v>0.21306914677571784</v>
      </c>
    </row>
    <row r="292" spans="21:26" x14ac:dyDescent="0.3">
      <c r="U292" t="e">
        <f t="shared" si="20"/>
        <v>#N/A</v>
      </c>
      <c r="V292">
        <v>-1.1100000000000001</v>
      </c>
      <c r="W292">
        <f t="shared" si="21"/>
        <v>0.21545816177021967</v>
      </c>
      <c r="X292" t="e">
        <f t="shared" si="22"/>
        <v>#N/A</v>
      </c>
      <c r="Y292">
        <f t="shared" si="23"/>
        <v>0.21545816177021967</v>
      </c>
      <c r="Z292">
        <f t="shared" si="24"/>
        <v>0.21545816177021967</v>
      </c>
    </row>
    <row r="293" spans="21:26" x14ac:dyDescent="0.3">
      <c r="U293" t="e">
        <f t="shared" si="20"/>
        <v>#N/A</v>
      </c>
      <c r="V293">
        <v>-1.1000000000000001</v>
      </c>
      <c r="W293">
        <f t="shared" si="21"/>
        <v>0.21785217703255053</v>
      </c>
      <c r="X293" t="e">
        <f t="shared" si="22"/>
        <v>#N/A</v>
      </c>
      <c r="Y293">
        <f t="shared" si="23"/>
        <v>0.21785217703255053</v>
      </c>
      <c r="Z293">
        <f t="shared" si="24"/>
        <v>0.21785217703255053</v>
      </c>
    </row>
    <row r="294" spans="21:26" x14ac:dyDescent="0.3">
      <c r="U294" t="e">
        <f t="shared" si="20"/>
        <v>#N/A</v>
      </c>
      <c r="V294">
        <v>-1.0900000000000001</v>
      </c>
      <c r="W294">
        <f t="shared" si="21"/>
        <v>0.22025076668303326</v>
      </c>
      <c r="X294" t="e">
        <f t="shared" si="22"/>
        <v>#N/A</v>
      </c>
      <c r="Y294">
        <f t="shared" si="23"/>
        <v>0.22025076668303326</v>
      </c>
      <c r="Z294">
        <f t="shared" si="24"/>
        <v>0.22025076668303326</v>
      </c>
    </row>
    <row r="295" spans="21:26" x14ac:dyDescent="0.3">
      <c r="U295" t="e">
        <f t="shared" si="20"/>
        <v>#N/A</v>
      </c>
      <c r="V295">
        <v>-1.08</v>
      </c>
      <c r="W295">
        <f t="shared" si="21"/>
        <v>0.22265349875176113</v>
      </c>
      <c r="X295" t="e">
        <f t="shared" si="22"/>
        <v>#N/A</v>
      </c>
      <c r="Y295">
        <f t="shared" si="23"/>
        <v>0.22265349875176113</v>
      </c>
      <c r="Z295">
        <f t="shared" si="24"/>
        <v>0.22265349875176113</v>
      </c>
    </row>
    <row r="296" spans="21:26" x14ac:dyDescent="0.3">
      <c r="U296" t="e">
        <f t="shared" si="20"/>
        <v>#N/A</v>
      </c>
      <c r="V296">
        <v>-1.07</v>
      </c>
      <c r="W296">
        <f t="shared" si="21"/>
        <v>0.22505993528526966</v>
      </c>
      <c r="X296" t="e">
        <f t="shared" si="22"/>
        <v>#N/A</v>
      </c>
      <c r="Y296">
        <f t="shared" si="23"/>
        <v>0.22505993528526966</v>
      </c>
      <c r="Z296">
        <f t="shared" si="24"/>
        <v>0.22505993528526966</v>
      </c>
    </row>
    <row r="297" spans="21:26" x14ac:dyDescent="0.3">
      <c r="U297" t="e">
        <f t="shared" si="20"/>
        <v>#N/A</v>
      </c>
      <c r="V297">
        <v>-1.06</v>
      </c>
      <c r="W297">
        <f t="shared" si="21"/>
        <v>0.22746963245738591</v>
      </c>
      <c r="X297" t="e">
        <f t="shared" si="22"/>
        <v>#N/A</v>
      </c>
      <c r="Y297">
        <f t="shared" si="23"/>
        <v>0.22746963245738591</v>
      </c>
      <c r="Z297">
        <f t="shared" si="24"/>
        <v>0.22746963245738591</v>
      </c>
    </row>
    <row r="298" spans="21:26" x14ac:dyDescent="0.3">
      <c r="U298" t="e">
        <f t="shared" si="20"/>
        <v>#N/A</v>
      </c>
      <c r="V298">
        <v>-1.05</v>
      </c>
      <c r="W298">
        <f t="shared" si="21"/>
        <v>0.22988214068423302</v>
      </c>
      <c r="X298" t="e">
        <f t="shared" si="22"/>
        <v>#N/A</v>
      </c>
      <c r="Y298">
        <f t="shared" si="23"/>
        <v>0.22988214068423302</v>
      </c>
      <c r="Z298">
        <f t="shared" si="24"/>
        <v>0.22988214068423302</v>
      </c>
    </row>
    <row r="299" spans="21:26" x14ac:dyDescent="0.3">
      <c r="U299" t="e">
        <f t="shared" si="20"/>
        <v>#N/A</v>
      </c>
      <c r="V299">
        <v>-1.04</v>
      </c>
      <c r="W299">
        <f t="shared" si="21"/>
        <v>0.2322970047433662</v>
      </c>
      <c r="X299" t="e">
        <f t="shared" si="22"/>
        <v>#N/A</v>
      </c>
      <c r="Y299">
        <f t="shared" si="23"/>
        <v>0.2322970047433662</v>
      </c>
      <c r="Z299">
        <f t="shared" si="24"/>
        <v>0.2322970047433662</v>
      </c>
    </row>
    <row r="300" spans="21:26" x14ac:dyDescent="0.3">
      <c r="U300" t="e">
        <f t="shared" si="20"/>
        <v>#N/A</v>
      </c>
      <c r="V300">
        <v>-1.03</v>
      </c>
      <c r="W300">
        <f t="shared" si="21"/>
        <v>0.23471376389701182</v>
      </c>
      <c r="X300" t="e">
        <f t="shared" si="22"/>
        <v>#N/A</v>
      </c>
      <c r="Y300">
        <f t="shared" si="23"/>
        <v>0.23471376389701182</v>
      </c>
      <c r="Z300">
        <f t="shared" si="24"/>
        <v>0.23471376389701182</v>
      </c>
    </row>
    <row r="301" spans="21:26" x14ac:dyDescent="0.3">
      <c r="U301" t="e">
        <f t="shared" si="20"/>
        <v>#N/A</v>
      </c>
      <c r="V301">
        <v>-1.02</v>
      </c>
      <c r="W301">
        <f t="shared" si="21"/>
        <v>0.23713195201937959</v>
      </c>
      <c r="X301" t="e">
        <f t="shared" si="22"/>
        <v>#N/A</v>
      </c>
      <c r="Y301">
        <f t="shared" si="23"/>
        <v>0.23713195201937959</v>
      </c>
      <c r="Z301">
        <f t="shared" si="24"/>
        <v>0.23713195201937959</v>
      </c>
    </row>
    <row r="302" spans="21:26" x14ac:dyDescent="0.3">
      <c r="U302" t="e">
        <f t="shared" si="20"/>
        <v>#N/A</v>
      </c>
      <c r="V302">
        <v>-1.01</v>
      </c>
      <c r="W302">
        <f t="shared" si="21"/>
        <v>0.23955109772801336</v>
      </c>
      <c r="X302" t="e">
        <f t="shared" si="22"/>
        <v>#N/A</v>
      </c>
      <c r="Y302">
        <f t="shared" si="23"/>
        <v>0.23955109772801336</v>
      </c>
      <c r="Z302">
        <f t="shared" si="24"/>
        <v>0.23955109772801336</v>
      </c>
    </row>
    <row r="303" spans="21:26" x14ac:dyDescent="0.3">
      <c r="U303" t="e">
        <f t="shared" si="20"/>
        <v>#N/A</v>
      </c>
      <c r="V303">
        <v>-1</v>
      </c>
      <c r="W303">
        <f t="shared" si="21"/>
        <v>0.24197072451914337</v>
      </c>
      <c r="X303" t="e">
        <f t="shared" si="22"/>
        <v>#N/A</v>
      </c>
      <c r="Y303">
        <f t="shared" si="23"/>
        <v>0.24197072451914337</v>
      </c>
      <c r="Z303">
        <f t="shared" si="24"/>
        <v>0.24197072451914337</v>
      </c>
    </row>
    <row r="304" spans="21:26" x14ac:dyDescent="0.3">
      <c r="U304" t="e">
        <f t="shared" si="20"/>
        <v>#N/A</v>
      </c>
      <c r="V304">
        <v>-0.99</v>
      </c>
      <c r="W304">
        <f t="shared" si="21"/>
        <v>0.24439035090699956</v>
      </c>
      <c r="X304" t="e">
        <f t="shared" si="22"/>
        <v>#N/A</v>
      </c>
      <c r="Y304">
        <f t="shared" si="23"/>
        <v>0.24439035090699956</v>
      </c>
      <c r="Z304">
        <f t="shared" si="24"/>
        <v>0.24439035090699956</v>
      </c>
    </row>
    <row r="305" spans="21:26" x14ac:dyDescent="0.3">
      <c r="U305" t="e">
        <f t="shared" si="20"/>
        <v>#N/A</v>
      </c>
      <c r="V305">
        <v>-0.98</v>
      </c>
      <c r="W305">
        <f t="shared" si="21"/>
        <v>0.24680949056704274</v>
      </c>
      <c r="X305" t="e">
        <f t="shared" si="22"/>
        <v>#N/A</v>
      </c>
      <c r="Y305">
        <f t="shared" si="23"/>
        <v>0.24680949056704274</v>
      </c>
      <c r="Z305">
        <f t="shared" si="24"/>
        <v>0.24680949056704274</v>
      </c>
    </row>
    <row r="306" spans="21:26" x14ac:dyDescent="0.3">
      <c r="U306" t="e">
        <f t="shared" si="20"/>
        <v>#N/A</v>
      </c>
      <c r="V306">
        <v>-0.97</v>
      </c>
      <c r="W306">
        <f t="shared" si="21"/>
        <v>0.24922765248306594</v>
      </c>
      <c r="X306" t="e">
        <f t="shared" si="22"/>
        <v>#N/A</v>
      </c>
      <c r="Y306">
        <f t="shared" si="23"/>
        <v>0.24922765248306594</v>
      </c>
      <c r="Z306">
        <f t="shared" si="24"/>
        <v>0.24922765248306594</v>
      </c>
    </row>
    <row r="307" spans="21:26" x14ac:dyDescent="0.3">
      <c r="U307" t="e">
        <f t="shared" si="20"/>
        <v>#N/A</v>
      </c>
      <c r="V307">
        <v>-0.96</v>
      </c>
      <c r="W307">
        <f t="shared" si="21"/>
        <v>0.25164434109811712</v>
      </c>
      <c r="X307" t="e">
        <f t="shared" si="22"/>
        <v>#N/A</v>
      </c>
      <c r="Y307">
        <f t="shared" si="23"/>
        <v>0.25164434109811712</v>
      </c>
      <c r="Z307">
        <f t="shared" si="24"/>
        <v>0.25164434109811712</v>
      </c>
    </row>
    <row r="308" spans="21:26" x14ac:dyDescent="0.3">
      <c r="U308" t="e">
        <f t="shared" si="20"/>
        <v>#N/A</v>
      </c>
      <c r="V308">
        <v>-0.95</v>
      </c>
      <c r="W308">
        <f t="shared" si="21"/>
        <v>0.25405905646918903</v>
      </c>
      <c r="X308" t="e">
        <f t="shared" si="22"/>
        <v>#N/A</v>
      </c>
      <c r="Y308">
        <f t="shared" si="23"/>
        <v>0.25405905646918903</v>
      </c>
      <c r="Z308">
        <f t="shared" si="24"/>
        <v>0.25405905646918903</v>
      </c>
    </row>
    <row r="309" spans="21:26" x14ac:dyDescent="0.3">
      <c r="U309" t="e">
        <f t="shared" si="20"/>
        <v>#N/A</v>
      </c>
      <c r="V309">
        <v>-0.94</v>
      </c>
      <c r="W309">
        <f t="shared" si="21"/>
        <v>0.25647129442562033</v>
      </c>
      <c r="X309" t="e">
        <f t="shared" si="22"/>
        <v>#N/A</v>
      </c>
      <c r="Y309">
        <f t="shared" si="23"/>
        <v>0.25647129442562033</v>
      </c>
      <c r="Z309">
        <f t="shared" si="24"/>
        <v>0.25647129442562033</v>
      </c>
    </row>
    <row r="310" spans="21:26" x14ac:dyDescent="0.3">
      <c r="U310" t="e">
        <f t="shared" si="20"/>
        <v>#N/A</v>
      </c>
      <c r="V310">
        <v>-0.93</v>
      </c>
      <c r="W310">
        <f t="shared" si="21"/>
        <v>0.2588805467311488</v>
      </c>
      <c r="X310" t="e">
        <f t="shared" si="22"/>
        <v>#N/A</v>
      </c>
      <c r="Y310">
        <f t="shared" si="23"/>
        <v>0.2588805467311488</v>
      </c>
      <c r="Z310">
        <f t="shared" si="24"/>
        <v>0.2588805467311488</v>
      </c>
    </row>
    <row r="311" spans="21:26" x14ac:dyDescent="0.3">
      <c r="U311" t="e">
        <f t="shared" si="20"/>
        <v>#N/A</v>
      </c>
      <c r="V311">
        <v>-0.92</v>
      </c>
      <c r="W311">
        <f t="shared" si="21"/>
        <v>0.26128630124955315</v>
      </c>
      <c r="X311" t="e">
        <f t="shared" si="22"/>
        <v>#N/A</v>
      </c>
      <c r="Y311">
        <f t="shared" si="23"/>
        <v>0.26128630124955315</v>
      </c>
      <c r="Z311">
        <f t="shared" si="24"/>
        <v>0.26128630124955315</v>
      </c>
    </row>
    <row r="312" spans="21:26" x14ac:dyDescent="0.3">
      <c r="U312" t="e">
        <f t="shared" si="20"/>
        <v>#N/A</v>
      </c>
      <c r="V312">
        <v>-0.91</v>
      </c>
      <c r="W312">
        <f t="shared" si="21"/>
        <v>0.26368804211381813</v>
      </c>
      <c r="X312" t="e">
        <f t="shared" si="22"/>
        <v>#N/A</v>
      </c>
      <c r="Y312">
        <f t="shared" si="23"/>
        <v>0.26368804211381813</v>
      </c>
      <c r="Z312">
        <f t="shared" si="24"/>
        <v>0.26368804211381813</v>
      </c>
    </row>
    <row r="313" spans="21:26" x14ac:dyDescent="0.3">
      <c r="U313" t="e">
        <f t="shared" si="20"/>
        <v>#N/A</v>
      </c>
      <c r="V313">
        <v>-0.9</v>
      </c>
      <c r="W313">
        <f t="shared" si="21"/>
        <v>0.26608524989875482</v>
      </c>
      <c r="X313" t="e">
        <f t="shared" si="22"/>
        <v>#N/A</v>
      </c>
      <c r="Y313">
        <f t="shared" si="23"/>
        <v>0.26608524989875482</v>
      </c>
      <c r="Z313">
        <f t="shared" si="24"/>
        <v>0.26608524989875482</v>
      </c>
    </row>
    <row r="314" spans="21:26" x14ac:dyDescent="0.3">
      <c r="U314" t="e">
        <f t="shared" si="20"/>
        <v>#N/A</v>
      </c>
      <c r="V314">
        <v>-0.89</v>
      </c>
      <c r="W314">
        <f t="shared" si="21"/>
        <v>0.26847740179700241</v>
      </c>
      <c r="X314" t="e">
        <f t="shared" si="22"/>
        <v>#N/A</v>
      </c>
      <c r="Y314">
        <f t="shared" si="23"/>
        <v>0.26847740179700241</v>
      </c>
      <c r="Z314">
        <f t="shared" si="24"/>
        <v>0.26847740179700241</v>
      </c>
    </row>
    <row r="315" spans="21:26" x14ac:dyDescent="0.3">
      <c r="U315" t="e">
        <f t="shared" si="20"/>
        <v>#N/A</v>
      </c>
      <c r="V315">
        <v>-0.88</v>
      </c>
      <c r="W315">
        <f t="shared" si="21"/>
        <v>0.27086397179833799</v>
      </c>
      <c r="X315" t="e">
        <f t="shared" si="22"/>
        <v>#N/A</v>
      </c>
      <c r="Y315">
        <f t="shared" si="23"/>
        <v>0.27086397179833799</v>
      </c>
      <c r="Z315">
        <f t="shared" si="24"/>
        <v>0.27086397179833799</v>
      </c>
    </row>
    <row r="316" spans="21:26" x14ac:dyDescent="0.3">
      <c r="U316" t="e">
        <f t="shared" si="20"/>
        <v>#N/A</v>
      </c>
      <c r="V316">
        <v>-0.87</v>
      </c>
      <c r="W316">
        <f t="shared" si="21"/>
        <v>0.27324443087221623</v>
      </c>
      <c r="X316" t="e">
        <f t="shared" si="22"/>
        <v>#N/A</v>
      </c>
      <c r="Y316">
        <f t="shared" si="23"/>
        <v>0.27324443087221623</v>
      </c>
      <c r="Z316">
        <f t="shared" si="24"/>
        <v>0.27324443087221623</v>
      </c>
    </row>
    <row r="317" spans="21:26" x14ac:dyDescent="0.3">
      <c r="U317" t="e">
        <f t="shared" si="20"/>
        <v>#N/A</v>
      </c>
      <c r="V317">
        <v>-0.86</v>
      </c>
      <c r="W317">
        <f t="shared" si="21"/>
        <v>0.27561824715345667</v>
      </c>
      <c r="X317" t="e">
        <f t="shared" si="22"/>
        <v>#N/A</v>
      </c>
      <c r="Y317">
        <f t="shared" si="23"/>
        <v>0.27561824715345667</v>
      </c>
      <c r="Z317">
        <f t="shared" si="24"/>
        <v>0.27561824715345667</v>
      </c>
    </row>
    <row r="318" spans="21:26" x14ac:dyDescent="0.3">
      <c r="U318" t="e">
        <f t="shared" si="20"/>
        <v>#N/A</v>
      </c>
      <c r="V318">
        <v>-0.85</v>
      </c>
      <c r="W318">
        <f t="shared" si="21"/>
        <v>0.27798488613099648</v>
      </c>
      <c r="X318" t="e">
        <f t="shared" si="22"/>
        <v>#N/A</v>
      </c>
      <c r="Y318">
        <f t="shared" si="23"/>
        <v>0.27798488613099648</v>
      </c>
      <c r="Z318">
        <f t="shared" si="24"/>
        <v>0.27798488613099648</v>
      </c>
    </row>
    <row r="319" spans="21:26" x14ac:dyDescent="0.3">
      <c r="U319" t="e">
        <f t="shared" si="20"/>
        <v>#N/A</v>
      </c>
      <c r="V319">
        <v>-0.84</v>
      </c>
      <c r="W319">
        <f t="shared" si="21"/>
        <v>0.28034381083962062</v>
      </c>
      <c r="X319" t="e">
        <f t="shared" si="22"/>
        <v>#N/A</v>
      </c>
      <c r="Y319">
        <f t="shared" si="23"/>
        <v>0.28034381083962062</v>
      </c>
      <c r="Z319">
        <f t="shared" si="24"/>
        <v>0.28034381083962062</v>
      </c>
    </row>
    <row r="320" spans="21:26" x14ac:dyDescent="0.3">
      <c r="U320" t="e">
        <f t="shared" si="20"/>
        <v>#N/A</v>
      </c>
      <c r="V320">
        <v>-0.83</v>
      </c>
      <c r="W320">
        <f t="shared" si="21"/>
        <v>0.28269448205458025</v>
      </c>
      <c r="X320" t="e">
        <f t="shared" si="22"/>
        <v>#N/A</v>
      </c>
      <c r="Y320">
        <f t="shared" si="23"/>
        <v>0.28269448205458025</v>
      </c>
      <c r="Z320">
        <f t="shared" si="24"/>
        <v>0.28269448205458025</v>
      </c>
    </row>
    <row r="321" spans="21:26" x14ac:dyDescent="0.3">
      <c r="U321" t="e">
        <f t="shared" si="20"/>
        <v>#N/A</v>
      </c>
      <c r="V321">
        <v>-0.82</v>
      </c>
      <c r="W321">
        <f t="shared" si="21"/>
        <v>0.28503635848900727</v>
      </c>
      <c r="X321" t="e">
        <f t="shared" si="22"/>
        <v>#N/A</v>
      </c>
      <c r="Y321">
        <f t="shared" si="23"/>
        <v>0.28503635848900727</v>
      </c>
      <c r="Z321">
        <f t="shared" si="24"/>
        <v>0.28503635848900727</v>
      </c>
    </row>
    <row r="322" spans="21:26" x14ac:dyDescent="0.3">
      <c r="U322" t="e">
        <f t="shared" si="20"/>
        <v>#N/A</v>
      </c>
      <c r="V322">
        <v>-0.81</v>
      </c>
      <c r="W322">
        <f t="shared" si="21"/>
        <v>0.28736889699402829</v>
      </c>
      <c r="X322" t="e">
        <f t="shared" si="22"/>
        <v>#N/A</v>
      </c>
      <c r="Y322">
        <f t="shared" si="23"/>
        <v>0.28736889699402829</v>
      </c>
      <c r="Z322">
        <f t="shared" si="24"/>
        <v>0.28736889699402829</v>
      </c>
    </row>
    <row r="323" spans="21:26" x14ac:dyDescent="0.3">
      <c r="U323" t="e">
        <f t="shared" si="20"/>
        <v>#N/A</v>
      </c>
      <c r="V323">
        <v>-0.8</v>
      </c>
      <c r="W323">
        <f t="shared" si="21"/>
        <v>0.28969155276148273</v>
      </c>
      <c r="X323" t="e">
        <f t="shared" si="22"/>
        <v>#N/A</v>
      </c>
      <c r="Y323">
        <f t="shared" si="23"/>
        <v>0.28969155276148273</v>
      </c>
      <c r="Z323">
        <f t="shared" si="24"/>
        <v>0.28969155276148273</v>
      </c>
    </row>
    <row r="324" spans="21:26" x14ac:dyDescent="0.3">
      <c r="U324" t="e">
        <f t="shared" ref="U324:U387" si="25">IF($A$2=ABS(V324),0,NA())</f>
        <v>#N/A</v>
      </c>
      <c r="V324">
        <v>-0.79</v>
      </c>
      <c r="W324">
        <f t="shared" ref="W324:W387" si="26">_xlfn.NORM.S.DIST(V324,0)</f>
        <v>0.29200377952914142</v>
      </c>
      <c r="X324" t="e">
        <f t="shared" ref="X324:X387" si="27">IF(ABS(V324)=$A$2,W324,NA())</f>
        <v>#N/A</v>
      </c>
      <c r="Y324">
        <f t="shared" ref="Y324:Y387" si="28">IF(V324&lt;=$A$2,W324,NA())</f>
        <v>0.29200377952914142</v>
      </c>
      <c r="Z324">
        <f t="shared" ref="Z324:Z387" si="29">IF(ABS(V324)&lt;=$A$2,W324,NA())</f>
        <v>0.29200377952914142</v>
      </c>
    </row>
    <row r="325" spans="21:26" x14ac:dyDescent="0.3">
      <c r="U325" t="e">
        <f t="shared" si="25"/>
        <v>#N/A</v>
      </c>
      <c r="V325">
        <v>-0.78</v>
      </c>
      <c r="W325">
        <f t="shared" si="26"/>
        <v>0.29430502978832512</v>
      </c>
      <c r="X325" t="e">
        <f t="shared" si="27"/>
        <v>#N/A</v>
      </c>
      <c r="Y325">
        <f t="shared" si="28"/>
        <v>0.29430502978832512</v>
      </c>
      <c r="Z325">
        <f t="shared" si="29"/>
        <v>0.29430502978832512</v>
      </c>
    </row>
    <row r="326" spans="21:26" x14ac:dyDescent="0.3">
      <c r="U326" t="e">
        <f t="shared" si="25"/>
        <v>#N/A</v>
      </c>
      <c r="V326">
        <v>-0.77</v>
      </c>
      <c r="W326">
        <f t="shared" si="26"/>
        <v>0.29659475499381571</v>
      </c>
      <c r="X326" t="e">
        <f t="shared" si="27"/>
        <v>#N/A</v>
      </c>
      <c r="Y326">
        <f t="shared" si="28"/>
        <v>0.29659475499381571</v>
      </c>
      <c r="Z326">
        <f t="shared" si="29"/>
        <v>0.29659475499381571</v>
      </c>
    </row>
    <row r="327" spans="21:26" x14ac:dyDescent="0.3">
      <c r="U327" t="e">
        <f t="shared" si="25"/>
        <v>#N/A</v>
      </c>
      <c r="V327">
        <v>-0.76</v>
      </c>
      <c r="W327">
        <f t="shared" si="26"/>
        <v>0.29887240577595275</v>
      </c>
      <c r="X327" t="e">
        <f t="shared" si="27"/>
        <v>#N/A</v>
      </c>
      <c r="Y327">
        <f t="shared" si="28"/>
        <v>0.29887240577595275</v>
      </c>
      <c r="Z327">
        <f t="shared" si="29"/>
        <v>0.29887240577595275</v>
      </c>
    </row>
    <row r="328" spans="21:26" x14ac:dyDescent="0.3">
      <c r="U328" t="e">
        <f t="shared" si="25"/>
        <v>#N/A</v>
      </c>
      <c r="V328">
        <v>-0.75</v>
      </c>
      <c r="W328">
        <f t="shared" si="26"/>
        <v>0.30113743215480443</v>
      </c>
      <c r="X328" t="e">
        <f t="shared" si="27"/>
        <v>#N/A</v>
      </c>
      <c r="Y328">
        <f t="shared" si="28"/>
        <v>0.30113743215480443</v>
      </c>
      <c r="Z328">
        <f t="shared" si="29"/>
        <v>0.30113743215480443</v>
      </c>
    </row>
    <row r="329" spans="21:26" x14ac:dyDescent="0.3">
      <c r="U329" t="e">
        <f t="shared" si="25"/>
        <v>#N/A</v>
      </c>
      <c r="V329">
        <v>-0.74</v>
      </c>
      <c r="W329">
        <f t="shared" si="26"/>
        <v>0.30338928375630014</v>
      </c>
      <c r="X329" t="e">
        <f t="shared" si="27"/>
        <v>#N/A</v>
      </c>
      <c r="Y329">
        <f t="shared" si="28"/>
        <v>0.30338928375630014</v>
      </c>
      <c r="Z329">
        <f t="shared" si="29"/>
        <v>0.30338928375630014</v>
      </c>
    </row>
    <row r="330" spans="21:26" x14ac:dyDescent="0.3">
      <c r="U330" t="e">
        <f t="shared" si="25"/>
        <v>#N/A</v>
      </c>
      <c r="V330">
        <v>-0.73</v>
      </c>
      <c r="W330">
        <f t="shared" si="26"/>
        <v>0.30562741003020988</v>
      </c>
      <c r="X330" t="e">
        <f t="shared" si="27"/>
        <v>#N/A</v>
      </c>
      <c r="Y330">
        <f t="shared" si="28"/>
        <v>0.30562741003020988</v>
      </c>
      <c r="Z330">
        <f t="shared" si="29"/>
        <v>0.30562741003020988</v>
      </c>
    </row>
    <row r="331" spans="21:26" x14ac:dyDescent="0.3">
      <c r="U331" t="e">
        <f t="shared" si="25"/>
        <v>#N/A</v>
      </c>
      <c r="V331">
        <v>-0.72</v>
      </c>
      <c r="W331">
        <f t="shared" si="26"/>
        <v>0.30785126046985295</v>
      </c>
      <c r="X331" t="e">
        <f t="shared" si="27"/>
        <v>#N/A</v>
      </c>
      <c r="Y331">
        <f t="shared" si="28"/>
        <v>0.30785126046985295</v>
      </c>
      <c r="Z331">
        <f t="shared" si="29"/>
        <v>0.30785126046985295</v>
      </c>
    </row>
    <row r="332" spans="21:26" x14ac:dyDescent="0.3">
      <c r="U332" t="e">
        <f t="shared" si="25"/>
        <v>#N/A</v>
      </c>
      <c r="V332">
        <v>-0.71</v>
      </c>
      <c r="W332">
        <f t="shared" si="26"/>
        <v>0.31006028483341613</v>
      </c>
      <c r="X332" t="e">
        <f t="shared" si="27"/>
        <v>#N/A</v>
      </c>
      <c r="Y332">
        <f t="shared" si="28"/>
        <v>0.31006028483341613</v>
      </c>
      <c r="Z332">
        <f t="shared" si="29"/>
        <v>0.31006028483341613</v>
      </c>
    </row>
    <row r="333" spans="21:26" x14ac:dyDescent="0.3">
      <c r="U333" t="e">
        <f t="shared" si="25"/>
        <v>#N/A</v>
      </c>
      <c r="V333">
        <v>-0.7</v>
      </c>
      <c r="W333">
        <f t="shared" si="26"/>
        <v>0.31225393336676127</v>
      </c>
      <c r="X333" t="e">
        <f t="shared" si="27"/>
        <v>#N/A</v>
      </c>
      <c r="Y333">
        <f t="shared" si="28"/>
        <v>0.31225393336676127</v>
      </c>
      <c r="Z333">
        <f t="shared" si="29"/>
        <v>0.31225393336676127</v>
      </c>
    </row>
    <row r="334" spans="21:26" x14ac:dyDescent="0.3">
      <c r="U334" t="e">
        <f t="shared" si="25"/>
        <v>#N/A</v>
      </c>
      <c r="V334">
        <v>-0.69</v>
      </c>
      <c r="W334">
        <f t="shared" si="26"/>
        <v>0.31443165702759734</v>
      </c>
      <c r="X334" t="e">
        <f t="shared" si="27"/>
        <v>#N/A</v>
      </c>
      <c r="Y334">
        <f t="shared" si="28"/>
        <v>0.31443165702759734</v>
      </c>
      <c r="Z334">
        <f t="shared" si="29"/>
        <v>0.31443165702759734</v>
      </c>
    </row>
    <row r="335" spans="21:26" x14ac:dyDescent="0.3">
      <c r="U335" t="e">
        <f t="shared" si="25"/>
        <v>#N/A</v>
      </c>
      <c r="V335">
        <v>-0.68</v>
      </c>
      <c r="W335">
        <f t="shared" si="26"/>
        <v>0.31659290771089277</v>
      </c>
      <c r="X335" t="e">
        <f t="shared" si="27"/>
        <v>#N/A</v>
      </c>
      <c r="Y335">
        <f t="shared" si="28"/>
        <v>0.31659290771089277</v>
      </c>
      <c r="Z335">
        <f t="shared" si="29"/>
        <v>0.31659290771089277</v>
      </c>
    </row>
    <row r="336" spans="21:26" x14ac:dyDescent="0.3">
      <c r="U336" t="e">
        <f t="shared" si="25"/>
        <v>#N/A</v>
      </c>
      <c r="V336">
        <v>-0.67</v>
      </c>
      <c r="W336">
        <f t="shared" si="26"/>
        <v>0.31873713847540153</v>
      </c>
      <c r="X336" t="e">
        <f t="shared" si="27"/>
        <v>#N/A</v>
      </c>
      <c r="Y336">
        <f t="shared" si="28"/>
        <v>0.31873713847540153</v>
      </c>
      <c r="Z336">
        <f t="shared" si="29"/>
        <v>0.31873713847540153</v>
      </c>
    </row>
    <row r="337" spans="21:26" x14ac:dyDescent="0.3">
      <c r="U337" t="e">
        <f t="shared" si="25"/>
        <v>#N/A</v>
      </c>
      <c r="V337">
        <v>-0.66</v>
      </c>
      <c r="W337">
        <f t="shared" si="26"/>
        <v>0.32086380377117252</v>
      </c>
      <c r="X337" t="e">
        <f t="shared" si="27"/>
        <v>#N/A</v>
      </c>
      <c r="Y337">
        <f t="shared" si="28"/>
        <v>0.32086380377117252</v>
      </c>
      <c r="Z337">
        <f t="shared" si="29"/>
        <v>0.32086380377117252</v>
      </c>
    </row>
    <row r="338" spans="21:26" x14ac:dyDescent="0.3">
      <c r="U338" t="e">
        <f t="shared" si="25"/>
        <v>#N/A</v>
      </c>
      <c r="V338">
        <v>-0.65</v>
      </c>
      <c r="W338">
        <f t="shared" si="26"/>
        <v>0.32297235966791427</v>
      </c>
      <c r="X338" t="e">
        <f t="shared" si="27"/>
        <v>#N/A</v>
      </c>
      <c r="Y338">
        <f t="shared" si="28"/>
        <v>0.32297235966791427</v>
      </c>
      <c r="Z338">
        <f t="shared" si="29"/>
        <v>0.32297235966791427</v>
      </c>
    </row>
    <row r="339" spans="21:26" x14ac:dyDescent="0.3">
      <c r="U339" t="e">
        <f t="shared" si="25"/>
        <v>#N/A</v>
      </c>
      <c r="V339">
        <v>-0.64</v>
      </c>
      <c r="W339">
        <f t="shared" si="26"/>
        <v>0.32506226408408218</v>
      </c>
      <c r="X339" t="e">
        <f t="shared" si="27"/>
        <v>#N/A</v>
      </c>
      <c r="Y339">
        <f t="shared" si="28"/>
        <v>0.32506226408408218</v>
      </c>
      <c r="Z339">
        <f t="shared" si="29"/>
        <v>0.32506226408408218</v>
      </c>
    </row>
    <row r="340" spans="21:26" x14ac:dyDescent="0.3">
      <c r="U340" t="e">
        <f t="shared" si="25"/>
        <v>#N/A</v>
      </c>
      <c r="V340">
        <v>-0.63</v>
      </c>
      <c r="W340">
        <f t="shared" si="26"/>
        <v>0.32713297701655447</v>
      </c>
      <c r="X340" t="e">
        <f t="shared" si="27"/>
        <v>#N/A</v>
      </c>
      <c r="Y340">
        <f t="shared" si="28"/>
        <v>0.32713297701655447</v>
      </c>
      <c r="Z340">
        <f t="shared" si="29"/>
        <v>0.32713297701655447</v>
      </c>
    </row>
    <row r="341" spans="21:26" x14ac:dyDescent="0.3">
      <c r="U341" t="e">
        <f t="shared" si="25"/>
        <v>#N/A</v>
      </c>
      <c r="V341">
        <v>-0.62</v>
      </c>
      <c r="W341">
        <f t="shared" si="26"/>
        <v>0.32918396077076478</v>
      </c>
      <c r="X341" t="e">
        <f t="shared" si="27"/>
        <v>#N/A</v>
      </c>
      <c r="Y341">
        <f t="shared" si="28"/>
        <v>0.32918396077076478</v>
      </c>
      <c r="Z341">
        <f t="shared" si="29"/>
        <v>0.32918396077076478</v>
      </c>
    </row>
    <row r="342" spans="21:26" x14ac:dyDescent="0.3">
      <c r="U342" t="e">
        <f t="shared" si="25"/>
        <v>#N/A</v>
      </c>
      <c r="V342">
        <v>-0.61</v>
      </c>
      <c r="W342">
        <f t="shared" si="26"/>
        <v>0.33121468019115297</v>
      </c>
      <c r="X342" t="e">
        <f t="shared" si="27"/>
        <v>#N/A</v>
      </c>
      <c r="Y342">
        <f t="shared" si="28"/>
        <v>0.33121468019115297</v>
      </c>
      <c r="Z342">
        <f t="shared" si="29"/>
        <v>0.33121468019115297</v>
      </c>
    </row>
    <row r="343" spans="21:26" x14ac:dyDescent="0.3">
      <c r="U343" t="e">
        <f t="shared" si="25"/>
        <v>#N/A</v>
      </c>
      <c r="V343">
        <v>-0.6</v>
      </c>
      <c r="W343">
        <f t="shared" si="26"/>
        <v>0.33322460289179967</v>
      </c>
      <c r="X343" t="e">
        <f t="shared" si="27"/>
        <v>#N/A</v>
      </c>
      <c r="Y343">
        <f t="shared" si="28"/>
        <v>0.33322460289179967</v>
      </c>
      <c r="Z343">
        <f t="shared" si="29"/>
        <v>0.33322460289179967</v>
      </c>
    </row>
    <row r="344" spans="21:26" x14ac:dyDescent="0.3">
      <c r="U344" t="e">
        <f t="shared" si="25"/>
        <v>#N/A</v>
      </c>
      <c r="V344">
        <v>-0.59</v>
      </c>
      <c r="W344">
        <f t="shared" si="26"/>
        <v>0.33521319948710609</v>
      </c>
      <c r="X344" t="e">
        <f t="shared" si="27"/>
        <v>#N/A</v>
      </c>
      <c r="Y344">
        <f t="shared" si="28"/>
        <v>0.33521319948710609</v>
      </c>
      <c r="Z344">
        <f t="shared" si="29"/>
        <v>0.33521319948710609</v>
      </c>
    </row>
    <row r="345" spans="21:26" x14ac:dyDescent="0.3">
      <c r="U345" t="e">
        <f t="shared" si="25"/>
        <v>#N/A</v>
      </c>
      <c r="V345">
        <v>-0.57999999999999996</v>
      </c>
      <c r="W345">
        <f t="shared" si="26"/>
        <v>0.33717994382238059</v>
      </c>
      <c r="X345" t="e">
        <f t="shared" si="27"/>
        <v>#N/A</v>
      </c>
      <c r="Y345">
        <f t="shared" si="28"/>
        <v>0.33717994382238059</v>
      </c>
      <c r="Z345">
        <f t="shared" si="29"/>
        <v>0.33717994382238059</v>
      </c>
    </row>
    <row r="346" spans="21:26" x14ac:dyDescent="0.3">
      <c r="U346" t="e">
        <f t="shared" si="25"/>
        <v>#N/A</v>
      </c>
      <c r="V346">
        <v>-0.56999999999999995</v>
      </c>
      <c r="W346">
        <f t="shared" si="26"/>
        <v>0.33912431320419223</v>
      </c>
      <c r="X346" t="e">
        <f t="shared" si="27"/>
        <v>#N/A</v>
      </c>
      <c r="Y346">
        <f t="shared" si="28"/>
        <v>0.33912431320419223</v>
      </c>
      <c r="Z346">
        <f t="shared" si="29"/>
        <v>0.33912431320419223</v>
      </c>
    </row>
    <row r="347" spans="21:26" x14ac:dyDescent="0.3">
      <c r="U347" t="e">
        <f t="shared" si="25"/>
        <v>#N/A</v>
      </c>
      <c r="V347">
        <v>-0.56000000000000005</v>
      </c>
      <c r="W347">
        <f t="shared" si="26"/>
        <v>0.34104578863035256</v>
      </c>
      <c r="X347" t="e">
        <f t="shared" si="27"/>
        <v>#N/A</v>
      </c>
      <c r="Y347">
        <f t="shared" si="28"/>
        <v>0.34104578863035256</v>
      </c>
      <c r="Z347">
        <f t="shared" si="29"/>
        <v>0.34104578863035256</v>
      </c>
    </row>
    <row r="348" spans="21:26" x14ac:dyDescent="0.3">
      <c r="U348" t="e">
        <f t="shared" si="25"/>
        <v>#N/A</v>
      </c>
      <c r="V348">
        <v>-0.55000000000000004</v>
      </c>
      <c r="W348">
        <f t="shared" si="26"/>
        <v>0.3429438550193839</v>
      </c>
      <c r="X348" t="e">
        <f t="shared" si="27"/>
        <v>#N/A</v>
      </c>
      <c r="Y348">
        <f t="shared" si="28"/>
        <v>0.3429438550193839</v>
      </c>
      <c r="Z348">
        <f t="shared" si="29"/>
        <v>0.3429438550193839</v>
      </c>
    </row>
    <row r="349" spans="21:26" x14ac:dyDescent="0.3">
      <c r="U349" t="e">
        <f t="shared" si="25"/>
        <v>#N/A</v>
      </c>
      <c r="V349">
        <v>-0.54</v>
      </c>
      <c r="W349">
        <f t="shared" si="26"/>
        <v>0.34481800143933333</v>
      </c>
      <c r="X349" t="e">
        <f t="shared" si="27"/>
        <v>#N/A</v>
      </c>
      <c r="Y349">
        <f t="shared" si="28"/>
        <v>0.34481800143933333</v>
      </c>
      <c r="Z349">
        <f t="shared" si="29"/>
        <v>0.34481800143933333</v>
      </c>
    </row>
    <row r="350" spans="21:26" x14ac:dyDescent="0.3">
      <c r="U350" t="e">
        <f t="shared" si="25"/>
        <v>#N/A</v>
      </c>
      <c r="V350">
        <v>-0.53</v>
      </c>
      <c r="W350">
        <f t="shared" si="26"/>
        <v>0.34666772133579166</v>
      </c>
      <c r="X350" t="e">
        <f t="shared" si="27"/>
        <v>#N/A</v>
      </c>
      <c r="Y350">
        <f t="shared" si="28"/>
        <v>0.34666772133579166</v>
      </c>
      <c r="Z350">
        <f t="shared" si="29"/>
        <v>0.34666772133579166</v>
      </c>
    </row>
    <row r="351" spans="21:26" x14ac:dyDescent="0.3">
      <c r="U351" t="e">
        <f t="shared" si="25"/>
        <v>#N/A</v>
      </c>
      <c r="V351">
        <v>-0.52</v>
      </c>
      <c r="W351">
        <f t="shared" si="26"/>
        <v>0.34849251275897447</v>
      </c>
      <c r="X351" t="e">
        <f t="shared" si="27"/>
        <v>#N/A</v>
      </c>
      <c r="Y351">
        <f t="shared" si="28"/>
        <v>0.34849251275897447</v>
      </c>
      <c r="Z351">
        <f t="shared" si="29"/>
        <v>0.34849251275897447</v>
      </c>
    </row>
    <row r="352" spans="21:26" x14ac:dyDescent="0.3">
      <c r="U352" t="e">
        <f t="shared" si="25"/>
        <v>#N/A</v>
      </c>
      <c r="V352">
        <v>-0.51</v>
      </c>
      <c r="W352">
        <f t="shared" si="26"/>
        <v>0.35029187858972582</v>
      </c>
      <c r="X352" t="e">
        <f t="shared" si="27"/>
        <v>#N/A</v>
      </c>
      <c r="Y352">
        <f t="shared" si="28"/>
        <v>0.35029187858972582</v>
      </c>
      <c r="Z352">
        <f t="shared" si="29"/>
        <v>0.35029187858972582</v>
      </c>
    </row>
    <row r="353" spans="21:26" x14ac:dyDescent="0.3">
      <c r="U353" t="e">
        <f t="shared" si="25"/>
        <v>#N/A</v>
      </c>
      <c r="V353">
        <v>-0.5</v>
      </c>
      <c r="W353">
        <f t="shared" si="26"/>
        <v>0.35206532676429952</v>
      </c>
      <c r="X353" t="e">
        <f t="shared" si="27"/>
        <v>#N/A</v>
      </c>
      <c r="Y353">
        <f t="shared" si="28"/>
        <v>0.35206532676429952</v>
      </c>
      <c r="Z353">
        <f t="shared" si="29"/>
        <v>0.35206532676429952</v>
      </c>
    </row>
    <row r="354" spans="21:26" x14ac:dyDescent="0.3">
      <c r="U354" t="e">
        <f t="shared" si="25"/>
        <v>#N/A</v>
      </c>
      <c r="V354">
        <v>-0.49</v>
      </c>
      <c r="W354">
        <f t="shared" si="26"/>
        <v>0.35381237049777969</v>
      </c>
      <c r="X354" t="e">
        <f t="shared" si="27"/>
        <v>#N/A</v>
      </c>
      <c r="Y354">
        <f t="shared" si="28"/>
        <v>0.35381237049777969</v>
      </c>
      <c r="Z354">
        <f t="shared" si="29"/>
        <v>0.35381237049777969</v>
      </c>
    </row>
    <row r="355" spans="21:26" x14ac:dyDescent="0.3">
      <c r="U355" t="e">
        <f t="shared" si="25"/>
        <v>#N/A</v>
      </c>
      <c r="V355">
        <v>-0.48</v>
      </c>
      <c r="W355">
        <f t="shared" si="26"/>
        <v>0.35553252850599709</v>
      </c>
      <c r="X355" t="e">
        <f t="shared" si="27"/>
        <v>#N/A</v>
      </c>
      <c r="Y355">
        <f t="shared" si="28"/>
        <v>0.35553252850599709</v>
      </c>
      <c r="Z355">
        <f t="shared" si="29"/>
        <v>0.35553252850599709</v>
      </c>
    </row>
    <row r="356" spans="21:26" x14ac:dyDescent="0.3">
      <c r="U356" t="e">
        <f t="shared" si="25"/>
        <v>#N/A</v>
      </c>
      <c r="V356">
        <v>-0.47</v>
      </c>
      <c r="W356">
        <f t="shared" si="26"/>
        <v>0.35722532522580086</v>
      </c>
      <c r="X356" t="e">
        <f t="shared" si="27"/>
        <v>#N/A</v>
      </c>
      <c r="Y356">
        <f t="shared" si="28"/>
        <v>0.35722532522580086</v>
      </c>
      <c r="Z356">
        <f t="shared" si="29"/>
        <v>0.35722532522580086</v>
      </c>
    </row>
    <row r="357" spans="21:26" x14ac:dyDescent="0.3">
      <c r="U357" t="e">
        <f t="shared" si="25"/>
        <v>#N/A</v>
      </c>
      <c r="V357">
        <v>-0.46</v>
      </c>
      <c r="W357">
        <f t="shared" si="26"/>
        <v>0.35889029103354464</v>
      </c>
      <c r="X357" t="e">
        <f t="shared" si="27"/>
        <v>#N/A</v>
      </c>
      <c r="Y357">
        <f t="shared" si="28"/>
        <v>0.35889029103354464</v>
      </c>
      <c r="Z357">
        <f t="shared" si="29"/>
        <v>0.35889029103354464</v>
      </c>
    </row>
    <row r="358" spans="21:26" x14ac:dyDescent="0.3">
      <c r="U358" t="e">
        <f t="shared" si="25"/>
        <v>#N/A</v>
      </c>
      <c r="V358">
        <v>-0.45</v>
      </c>
      <c r="W358">
        <f t="shared" si="26"/>
        <v>0.36052696246164795</v>
      </c>
      <c r="X358" t="e">
        <f t="shared" si="27"/>
        <v>#N/A</v>
      </c>
      <c r="Y358">
        <f t="shared" si="28"/>
        <v>0.36052696246164795</v>
      </c>
      <c r="Z358">
        <f t="shared" si="29"/>
        <v>0.36052696246164795</v>
      </c>
    </row>
    <row r="359" spans="21:26" x14ac:dyDescent="0.3">
      <c r="U359" t="e">
        <f t="shared" si="25"/>
        <v>#N/A</v>
      </c>
      <c r="V359">
        <v>-0.44</v>
      </c>
      <c r="W359">
        <f t="shared" si="26"/>
        <v>0.36213488241309222</v>
      </c>
      <c r="X359" t="e">
        <f t="shared" si="27"/>
        <v>#N/A</v>
      </c>
      <c r="Y359">
        <f t="shared" si="28"/>
        <v>0.36213488241309222</v>
      </c>
      <c r="Z359">
        <f t="shared" si="29"/>
        <v>0.36213488241309222</v>
      </c>
    </row>
    <row r="360" spans="21:26" x14ac:dyDescent="0.3">
      <c r="U360" t="e">
        <f t="shared" si="25"/>
        <v>#N/A</v>
      </c>
      <c r="V360">
        <v>-0.43</v>
      </c>
      <c r="W360">
        <f t="shared" si="26"/>
        <v>0.36371360037371342</v>
      </c>
      <c r="X360" t="e">
        <f t="shared" si="27"/>
        <v>#N/A</v>
      </c>
      <c r="Y360">
        <f t="shared" si="28"/>
        <v>0.36371360037371342</v>
      </c>
      <c r="Z360">
        <f t="shared" si="29"/>
        <v>0.36371360037371342</v>
      </c>
    </row>
    <row r="361" spans="21:26" x14ac:dyDescent="0.3">
      <c r="U361" t="e">
        <f t="shared" si="25"/>
        <v>#N/A</v>
      </c>
      <c r="V361">
        <v>-0.42</v>
      </c>
      <c r="W361">
        <f t="shared" si="26"/>
        <v>0.36526267262215389</v>
      </c>
      <c r="X361" t="e">
        <f t="shared" si="27"/>
        <v>#N/A</v>
      </c>
      <c r="Y361">
        <f t="shared" si="28"/>
        <v>0.36526267262215389</v>
      </c>
      <c r="Z361">
        <f t="shared" si="29"/>
        <v>0.36526267262215389</v>
      </c>
    </row>
    <row r="362" spans="21:26" x14ac:dyDescent="0.3">
      <c r="U362" t="e">
        <f t="shared" si="25"/>
        <v>#N/A</v>
      </c>
      <c r="V362">
        <v>-0.41</v>
      </c>
      <c r="W362">
        <f t="shared" si="26"/>
        <v>0.36678166243733612</v>
      </c>
      <c r="X362" t="e">
        <f t="shared" si="27"/>
        <v>#N/A</v>
      </c>
      <c r="Y362">
        <f t="shared" si="28"/>
        <v>0.36678166243733612</v>
      </c>
      <c r="Z362">
        <f t="shared" si="29"/>
        <v>0.36678166243733612</v>
      </c>
    </row>
    <row r="363" spans="21:26" x14ac:dyDescent="0.3">
      <c r="U363" t="e">
        <f t="shared" si="25"/>
        <v>#N/A</v>
      </c>
      <c r="V363">
        <v>-0.4</v>
      </c>
      <c r="W363">
        <f t="shared" si="26"/>
        <v>0.36827014030332333</v>
      </c>
      <c r="X363" t="e">
        <f t="shared" si="27"/>
        <v>#N/A</v>
      </c>
      <c r="Y363">
        <f t="shared" si="28"/>
        <v>0.36827014030332333</v>
      </c>
      <c r="Z363">
        <f t="shared" si="29"/>
        <v>0.36827014030332333</v>
      </c>
    </row>
    <row r="364" spans="21:26" x14ac:dyDescent="0.3">
      <c r="U364" t="e">
        <f t="shared" si="25"/>
        <v>#N/A</v>
      </c>
      <c r="V364">
        <v>-0.39</v>
      </c>
      <c r="W364">
        <f t="shared" si="26"/>
        <v>0.36972768411143236</v>
      </c>
      <c r="X364" t="e">
        <f t="shared" si="27"/>
        <v>#N/A</v>
      </c>
      <c r="Y364">
        <f t="shared" si="28"/>
        <v>0.36972768411143236</v>
      </c>
      <c r="Z364">
        <f t="shared" si="29"/>
        <v>0.36972768411143236</v>
      </c>
    </row>
    <row r="365" spans="21:26" x14ac:dyDescent="0.3">
      <c r="U365" t="e">
        <f t="shared" si="25"/>
        <v>#N/A</v>
      </c>
      <c r="V365">
        <v>-0.38</v>
      </c>
      <c r="W365">
        <f t="shared" si="26"/>
        <v>0.37115387935946603</v>
      </c>
      <c r="X365" t="e">
        <f t="shared" si="27"/>
        <v>#N/A</v>
      </c>
      <c r="Y365">
        <f t="shared" si="28"/>
        <v>0.37115387935946603</v>
      </c>
      <c r="Z365">
        <f t="shared" si="29"/>
        <v>0.37115387935946603</v>
      </c>
    </row>
    <row r="366" spans="21:26" x14ac:dyDescent="0.3">
      <c r="U366" t="e">
        <f t="shared" si="25"/>
        <v>#N/A</v>
      </c>
      <c r="V366">
        <v>-0.37</v>
      </c>
      <c r="W366">
        <f t="shared" si="26"/>
        <v>0.37254831934793342</v>
      </c>
      <c r="X366" t="e">
        <f t="shared" si="27"/>
        <v>#N/A</v>
      </c>
      <c r="Y366">
        <f t="shared" si="28"/>
        <v>0.37254831934793342</v>
      </c>
      <c r="Z366">
        <f t="shared" si="29"/>
        <v>0.37254831934793342</v>
      </c>
    </row>
    <row r="367" spans="21:26" x14ac:dyDescent="0.3">
      <c r="U367" t="e">
        <f t="shared" si="25"/>
        <v>#N/A</v>
      </c>
      <c r="V367">
        <v>-0.36</v>
      </c>
      <c r="W367">
        <f t="shared" si="26"/>
        <v>0.37391060537312842</v>
      </c>
      <c r="X367" t="e">
        <f t="shared" si="27"/>
        <v>#N/A</v>
      </c>
      <c r="Y367">
        <f t="shared" si="28"/>
        <v>0.37391060537312842</v>
      </c>
      <c r="Z367">
        <f t="shared" si="29"/>
        <v>0.37391060537312842</v>
      </c>
    </row>
    <row r="368" spans="21:26" x14ac:dyDescent="0.3">
      <c r="U368" t="e">
        <f t="shared" si="25"/>
        <v>#N/A</v>
      </c>
      <c r="V368">
        <v>-0.35</v>
      </c>
      <c r="W368">
        <f t="shared" si="26"/>
        <v>0.37524034691693792</v>
      </c>
      <c r="X368" t="e">
        <f t="shared" si="27"/>
        <v>#N/A</v>
      </c>
      <c r="Y368">
        <f t="shared" si="28"/>
        <v>0.37524034691693792</v>
      </c>
      <c r="Z368">
        <f t="shared" si="29"/>
        <v>0.37524034691693792</v>
      </c>
    </row>
    <row r="369" spans="21:26" x14ac:dyDescent="0.3">
      <c r="U369" t="e">
        <f t="shared" si="25"/>
        <v>#N/A</v>
      </c>
      <c r="V369">
        <v>-0.34</v>
      </c>
      <c r="W369">
        <f t="shared" si="26"/>
        <v>0.37653716183325392</v>
      </c>
      <c r="X369" t="e">
        <f t="shared" si="27"/>
        <v>#N/A</v>
      </c>
      <c r="Y369">
        <f t="shared" si="28"/>
        <v>0.37653716183325392</v>
      </c>
      <c r="Z369">
        <f t="shared" si="29"/>
        <v>0.37653716183325392</v>
      </c>
    </row>
    <row r="370" spans="21:26" x14ac:dyDescent="0.3">
      <c r="U370" t="e">
        <f t="shared" si="25"/>
        <v>#N/A</v>
      </c>
      <c r="V370">
        <v>-0.33</v>
      </c>
      <c r="W370">
        <f t="shared" si="26"/>
        <v>0.37780067653086458</v>
      </c>
      <c r="X370" t="e">
        <f t="shared" si="27"/>
        <v>#N/A</v>
      </c>
      <c r="Y370">
        <f t="shared" si="28"/>
        <v>0.37780067653086458</v>
      </c>
      <c r="Z370">
        <f t="shared" si="29"/>
        <v>0.37780067653086458</v>
      </c>
    </row>
    <row r="371" spans="21:26" x14ac:dyDescent="0.3">
      <c r="U371" t="e">
        <f t="shared" si="25"/>
        <v>#N/A</v>
      </c>
      <c r="V371">
        <v>-0.32</v>
      </c>
      <c r="W371">
        <f t="shared" si="26"/>
        <v>0.37903052615270166</v>
      </c>
      <c r="X371" t="e">
        <f t="shared" si="27"/>
        <v>#N/A</v>
      </c>
      <c r="Y371">
        <f t="shared" si="28"/>
        <v>0.37903052615270166</v>
      </c>
      <c r="Z371">
        <f t="shared" si="29"/>
        <v>0.37903052615270166</v>
      </c>
    </row>
    <row r="372" spans="21:26" x14ac:dyDescent="0.3">
      <c r="U372" t="e">
        <f t="shared" si="25"/>
        <v>#N/A</v>
      </c>
      <c r="V372">
        <v>-0.31</v>
      </c>
      <c r="W372">
        <f t="shared" si="26"/>
        <v>0.38022635475132494</v>
      </c>
      <c r="X372" t="e">
        <f t="shared" si="27"/>
        <v>#N/A</v>
      </c>
      <c r="Y372">
        <f t="shared" si="28"/>
        <v>0.38022635475132494</v>
      </c>
      <c r="Z372">
        <f t="shared" si="29"/>
        <v>0.38022635475132494</v>
      </c>
    </row>
    <row r="373" spans="21:26" x14ac:dyDescent="0.3">
      <c r="U373" t="e">
        <f t="shared" si="25"/>
        <v>#N/A</v>
      </c>
      <c r="V373">
        <v>-0.3</v>
      </c>
      <c r="W373">
        <f t="shared" si="26"/>
        <v>0.38138781546052414</v>
      </c>
      <c r="X373" t="e">
        <f t="shared" si="27"/>
        <v>#N/A</v>
      </c>
      <c r="Y373">
        <f t="shared" si="28"/>
        <v>0.38138781546052414</v>
      </c>
      <c r="Z373">
        <f t="shared" si="29"/>
        <v>0.38138781546052414</v>
      </c>
    </row>
    <row r="374" spans="21:26" x14ac:dyDescent="0.3">
      <c r="U374" t="e">
        <f t="shared" si="25"/>
        <v>#N/A</v>
      </c>
      <c r="V374">
        <v>-0.28999999999999998</v>
      </c>
      <c r="W374">
        <f t="shared" si="26"/>
        <v>0.38251457066292405</v>
      </c>
      <c r="X374" t="e">
        <f t="shared" si="27"/>
        <v>#N/A</v>
      </c>
      <c r="Y374">
        <f t="shared" si="28"/>
        <v>0.38251457066292405</v>
      </c>
      <c r="Z374">
        <f t="shared" si="29"/>
        <v>0.38251457066292405</v>
      </c>
    </row>
    <row r="375" spans="21:26" x14ac:dyDescent="0.3">
      <c r="U375" t="e">
        <f t="shared" si="25"/>
        <v>#N/A</v>
      </c>
      <c r="V375">
        <v>-0.28000000000000003</v>
      </c>
      <c r="W375">
        <f t="shared" si="26"/>
        <v>0.38360629215347858</v>
      </c>
      <c r="X375" t="e">
        <f t="shared" si="27"/>
        <v>#N/A</v>
      </c>
      <c r="Y375">
        <f t="shared" si="28"/>
        <v>0.38360629215347858</v>
      </c>
      <c r="Z375">
        <f t="shared" si="29"/>
        <v>0.38360629215347858</v>
      </c>
    </row>
    <row r="376" spans="21:26" x14ac:dyDescent="0.3">
      <c r="U376" t="e">
        <f t="shared" si="25"/>
        <v>#N/A</v>
      </c>
      <c r="V376">
        <v>-0.27</v>
      </c>
      <c r="W376">
        <f t="shared" si="26"/>
        <v>0.38466266129874283</v>
      </c>
      <c r="X376" t="e">
        <f t="shared" si="27"/>
        <v>#N/A</v>
      </c>
      <c r="Y376">
        <f t="shared" si="28"/>
        <v>0.38466266129874283</v>
      </c>
      <c r="Z376">
        <f t="shared" si="29"/>
        <v>0.38466266129874283</v>
      </c>
    </row>
    <row r="377" spans="21:26" x14ac:dyDescent="0.3">
      <c r="U377" t="e">
        <f t="shared" si="25"/>
        <v>#N/A</v>
      </c>
      <c r="V377">
        <v>-0.26</v>
      </c>
      <c r="W377">
        <f t="shared" si="26"/>
        <v>0.38568336919181612</v>
      </c>
      <c r="X377" t="e">
        <f t="shared" si="27"/>
        <v>#N/A</v>
      </c>
      <c r="Y377">
        <f t="shared" si="28"/>
        <v>0.38568336919181612</v>
      </c>
      <c r="Z377">
        <f t="shared" si="29"/>
        <v>0.38568336919181612</v>
      </c>
    </row>
    <row r="378" spans="21:26" x14ac:dyDescent="0.3">
      <c r="U378" t="e">
        <f t="shared" si="25"/>
        <v>#N/A</v>
      </c>
      <c r="V378">
        <v>-0.25</v>
      </c>
      <c r="W378">
        <f t="shared" si="26"/>
        <v>0.38666811680284924</v>
      </c>
      <c r="X378" t="e">
        <f t="shared" si="27"/>
        <v>#N/A</v>
      </c>
      <c r="Y378">
        <f t="shared" si="28"/>
        <v>0.38666811680284924</v>
      </c>
      <c r="Z378">
        <f t="shared" si="29"/>
        <v>0.38666811680284924</v>
      </c>
    </row>
    <row r="379" spans="21:26" x14ac:dyDescent="0.3">
      <c r="U379" t="e">
        <f t="shared" si="25"/>
        <v>#N/A</v>
      </c>
      <c r="V379">
        <v>-0.24</v>
      </c>
      <c r="W379">
        <f t="shared" si="26"/>
        <v>0.38761661512501416</v>
      </c>
      <c r="X379" t="e">
        <f t="shared" si="27"/>
        <v>#N/A</v>
      </c>
      <c r="Y379">
        <f t="shared" si="28"/>
        <v>0.38761661512501416</v>
      </c>
      <c r="Z379">
        <f t="shared" si="29"/>
        <v>0.38761661512501416</v>
      </c>
    </row>
    <row r="380" spans="21:26" x14ac:dyDescent="0.3">
      <c r="U380" t="e">
        <f t="shared" si="25"/>
        <v>#N/A</v>
      </c>
      <c r="V380">
        <v>-0.23</v>
      </c>
      <c r="W380">
        <f t="shared" si="26"/>
        <v>0.38852858531583589</v>
      </c>
      <c r="X380" t="e">
        <f t="shared" si="27"/>
        <v>#N/A</v>
      </c>
      <c r="Y380">
        <f t="shared" si="28"/>
        <v>0.38852858531583589</v>
      </c>
      <c r="Z380">
        <f t="shared" si="29"/>
        <v>0.38852858531583589</v>
      </c>
    </row>
    <row r="381" spans="21:26" x14ac:dyDescent="0.3">
      <c r="U381" t="e">
        <f t="shared" si="25"/>
        <v>#N/A</v>
      </c>
      <c r="V381">
        <v>-0.22</v>
      </c>
      <c r="W381">
        <f t="shared" si="26"/>
        <v>0.38940375883379041</v>
      </c>
      <c r="X381" t="e">
        <f t="shared" si="27"/>
        <v>#N/A</v>
      </c>
      <c r="Y381">
        <f t="shared" si="28"/>
        <v>0.38940375883379041</v>
      </c>
      <c r="Z381">
        <f t="shared" si="29"/>
        <v>0.38940375883379041</v>
      </c>
    </row>
    <row r="382" spans="21:26" x14ac:dyDescent="0.3">
      <c r="U382" t="e">
        <f t="shared" si="25"/>
        <v>#N/A</v>
      </c>
      <c r="V382">
        <v>-0.21</v>
      </c>
      <c r="W382">
        <f t="shared" si="26"/>
        <v>0.39024187757007428</v>
      </c>
      <c r="X382" t="e">
        <f t="shared" si="27"/>
        <v>#N/A</v>
      </c>
      <c r="Y382">
        <f t="shared" si="28"/>
        <v>0.39024187757007428</v>
      </c>
      <c r="Z382">
        <f t="shared" si="29"/>
        <v>0.39024187757007428</v>
      </c>
    </row>
    <row r="383" spans="21:26" x14ac:dyDescent="0.3">
      <c r="U383" t="e">
        <f t="shared" si="25"/>
        <v>#N/A</v>
      </c>
      <c r="V383">
        <v>-0.2</v>
      </c>
      <c r="W383">
        <f t="shared" si="26"/>
        <v>0.39104269397545588</v>
      </c>
      <c r="X383" t="e">
        <f t="shared" si="27"/>
        <v>#N/A</v>
      </c>
      <c r="Y383">
        <f t="shared" si="28"/>
        <v>0.39104269397545588</v>
      </c>
      <c r="Z383">
        <f t="shared" si="29"/>
        <v>0.39104269397545588</v>
      </c>
    </row>
    <row r="384" spans="21:26" x14ac:dyDescent="0.3">
      <c r="U384" t="e">
        <f t="shared" si="25"/>
        <v>#N/A</v>
      </c>
      <c r="V384">
        <v>-0.19</v>
      </c>
      <c r="W384">
        <f t="shared" si="26"/>
        <v>0.39180597118212113</v>
      </c>
      <c r="X384" t="e">
        <f t="shared" si="27"/>
        <v>#N/A</v>
      </c>
      <c r="Y384">
        <f t="shared" si="28"/>
        <v>0.39180597118212113</v>
      </c>
      <c r="Z384">
        <f t="shared" si="29"/>
        <v>0.39180597118212113</v>
      </c>
    </row>
    <row r="385" spans="21:26" x14ac:dyDescent="0.3">
      <c r="U385" t="e">
        <f t="shared" si="25"/>
        <v>#N/A</v>
      </c>
      <c r="V385">
        <v>-0.18</v>
      </c>
      <c r="W385">
        <f t="shared" si="26"/>
        <v>0.3925314831204289</v>
      </c>
      <c r="X385" t="e">
        <f t="shared" si="27"/>
        <v>#N/A</v>
      </c>
      <c r="Y385">
        <f t="shared" si="28"/>
        <v>0.3925314831204289</v>
      </c>
      <c r="Z385">
        <f t="shared" si="29"/>
        <v>0.3925314831204289</v>
      </c>
    </row>
    <row r="386" spans="21:26" x14ac:dyDescent="0.3">
      <c r="U386" t="e">
        <f t="shared" si="25"/>
        <v>#N/A</v>
      </c>
      <c r="V386">
        <v>-0.17</v>
      </c>
      <c r="W386">
        <f t="shared" si="26"/>
        <v>0.39321901463049719</v>
      </c>
      <c r="X386" t="e">
        <f t="shared" si="27"/>
        <v>#N/A</v>
      </c>
      <c r="Y386">
        <f t="shared" si="28"/>
        <v>0.39321901463049719</v>
      </c>
      <c r="Z386">
        <f t="shared" si="29"/>
        <v>0.39321901463049719</v>
      </c>
    </row>
    <row r="387" spans="21:26" x14ac:dyDescent="0.3">
      <c r="U387" t="e">
        <f t="shared" si="25"/>
        <v>#N/A</v>
      </c>
      <c r="V387">
        <v>-0.16</v>
      </c>
      <c r="W387">
        <f t="shared" si="26"/>
        <v>0.39386836156854083</v>
      </c>
      <c r="X387" t="e">
        <f t="shared" si="27"/>
        <v>#N/A</v>
      </c>
      <c r="Y387">
        <f t="shared" si="28"/>
        <v>0.39386836156854083</v>
      </c>
      <c r="Z387">
        <f t="shared" si="29"/>
        <v>0.39386836156854083</v>
      </c>
    </row>
    <row r="388" spans="21:26" x14ac:dyDescent="0.3">
      <c r="U388" t="e">
        <f t="shared" ref="U388:U451" si="30">IF($A$2=ABS(V388),0,NA())</f>
        <v>#N/A</v>
      </c>
      <c r="V388">
        <v>-0.15</v>
      </c>
      <c r="W388">
        <f t="shared" ref="W388:W451" si="31">_xlfn.NORM.S.DIST(V388,0)</f>
        <v>0.39447933090788895</v>
      </c>
      <c r="X388" t="e">
        <f t="shared" ref="X388:X451" si="32">IF(ABS(V388)=$A$2,W388,NA())</f>
        <v>#N/A</v>
      </c>
      <c r="Y388">
        <f t="shared" ref="Y388:Y451" si="33">IF(V388&lt;=$A$2,W388,NA())</f>
        <v>0.39447933090788895</v>
      </c>
      <c r="Z388">
        <f t="shared" ref="Z388:Z451" si="34">IF(ABS(V388)&lt;=$A$2,W388,NA())</f>
        <v>0.39447933090788895</v>
      </c>
    </row>
    <row r="389" spans="21:26" x14ac:dyDescent="0.3">
      <c r="U389" t="e">
        <f t="shared" si="30"/>
        <v>#N/A</v>
      </c>
      <c r="V389">
        <v>-0.14000000000000001</v>
      </c>
      <c r="W389">
        <f t="shared" si="31"/>
        <v>0.39505174083461125</v>
      </c>
      <c r="X389" t="e">
        <f t="shared" si="32"/>
        <v>#N/A</v>
      </c>
      <c r="Y389">
        <f t="shared" si="33"/>
        <v>0.39505174083461125</v>
      </c>
      <c r="Z389">
        <f t="shared" si="34"/>
        <v>0.39505174083461125</v>
      </c>
    </row>
    <row r="390" spans="21:26" x14ac:dyDescent="0.3">
      <c r="U390" t="e">
        <f t="shared" si="30"/>
        <v>#N/A</v>
      </c>
      <c r="V390">
        <v>-0.13</v>
      </c>
      <c r="W390">
        <f t="shared" si="31"/>
        <v>0.39558542083768738</v>
      </c>
      <c r="X390" t="e">
        <f t="shared" si="32"/>
        <v>#N/A</v>
      </c>
      <c r="Y390">
        <f t="shared" si="33"/>
        <v>0.39558542083768738</v>
      </c>
      <c r="Z390">
        <f t="shared" si="34"/>
        <v>0.39558542083768738</v>
      </c>
    </row>
    <row r="391" spans="21:26" x14ac:dyDescent="0.3">
      <c r="U391" t="e">
        <f t="shared" si="30"/>
        <v>#N/A</v>
      </c>
      <c r="V391">
        <v>-0.12</v>
      </c>
      <c r="W391">
        <f t="shared" si="31"/>
        <v>0.3960802117936561</v>
      </c>
      <c r="X391" t="e">
        <f t="shared" si="32"/>
        <v>#N/A</v>
      </c>
      <c r="Y391">
        <f t="shared" si="33"/>
        <v>0.3960802117936561</v>
      </c>
      <c r="Z391">
        <f t="shared" si="34"/>
        <v>0.3960802117936561</v>
      </c>
    </row>
    <row r="392" spans="21:26" x14ac:dyDescent="0.3">
      <c r="U392" t="e">
        <f t="shared" si="30"/>
        <v>#N/A</v>
      </c>
      <c r="V392">
        <v>-0.11</v>
      </c>
      <c r="W392">
        <f t="shared" si="31"/>
        <v>0.39653596604568575</v>
      </c>
      <c r="X392" t="e">
        <f t="shared" si="32"/>
        <v>#N/A</v>
      </c>
      <c r="Y392">
        <f t="shared" si="33"/>
        <v>0.39653596604568575</v>
      </c>
      <c r="Z392">
        <f t="shared" si="34"/>
        <v>0.39653596604568575</v>
      </c>
    </row>
    <row r="393" spans="21:26" x14ac:dyDescent="0.3">
      <c r="U393" t="e">
        <f t="shared" si="30"/>
        <v>#N/A</v>
      </c>
      <c r="V393">
        <v>-0.1</v>
      </c>
      <c r="W393">
        <f t="shared" si="31"/>
        <v>0.39695254747701181</v>
      </c>
      <c r="X393" t="e">
        <f t="shared" si="32"/>
        <v>#N/A</v>
      </c>
      <c r="Y393">
        <f t="shared" si="33"/>
        <v>0.39695254747701181</v>
      </c>
      <c r="Z393">
        <f t="shared" si="34"/>
        <v>0.39695254747701181</v>
      </c>
    </row>
    <row r="394" spans="21:26" x14ac:dyDescent="0.3">
      <c r="U394" t="e">
        <f t="shared" si="30"/>
        <v>#N/A</v>
      </c>
      <c r="V394">
        <v>-0.09</v>
      </c>
      <c r="W394">
        <f t="shared" si="31"/>
        <v>0.39732983157868834</v>
      </c>
      <c r="X394" t="e">
        <f t="shared" si="32"/>
        <v>#N/A</v>
      </c>
      <c r="Y394">
        <f t="shared" si="33"/>
        <v>0.39732983157868834</v>
      </c>
      <c r="Z394">
        <f t="shared" si="34"/>
        <v>0.39732983157868834</v>
      </c>
    </row>
    <row r="395" spans="21:26" x14ac:dyDescent="0.3">
      <c r="U395" t="e">
        <f t="shared" si="30"/>
        <v>#N/A</v>
      </c>
      <c r="V395">
        <v>-0.08</v>
      </c>
      <c r="W395">
        <f t="shared" si="31"/>
        <v>0.39766770551160885</v>
      </c>
      <c r="X395" t="e">
        <f t="shared" si="32"/>
        <v>#N/A</v>
      </c>
      <c r="Y395">
        <f t="shared" si="33"/>
        <v>0.39766770551160885</v>
      </c>
      <c r="Z395">
        <f t="shared" si="34"/>
        <v>0.39766770551160885</v>
      </c>
    </row>
    <row r="396" spans="21:26" x14ac:dyDescent="0.3">
      <c r="U396" t="e">
        <f t="shared" si="30"/>
        <v>#N/A</v>
      </c>
      <c r="V396">
        <v>-7.0000000000000007E-2</v>
      </c>
      <c r="W396">
        <f t="shared" si="31"/>
        <v>0.39796606816275104</v>
      </c>
      <c r="X396" t="e">
        <f t="shared" si="32"/>
        <v>#N/A</v>
      </c>
      <c r="Y396">
        <f t="shared" si="33"/>
        <v>0.39796606816275104</v>
      </c>
      <c r="Z396">
        <f t="shared" si="34"/>
        <v>0.39796606816275104</v>
      </c>
    </row>
    <row r="397" spans="21:26" x14ac:dyDescent="0.3">
      <c r="U397" t="e">
        <f t="shared" si="30"/>
        <v>#N/A</v>
      </c>
      <c r="V397">
        <v>-0.06</v>
      </c>
      <c r="W397">
        <f t="shared" si="31"/>
        <v>0.39822483019560695</v>
      </c>
      <c r="X397" t="e">
        <f t="shared" si="32"/>
        <v>#N/A</v>
      </c>
      <c r="Y397">
        <f t="shared" si="33"/>
        <v>0.39822483019560695</v>
      </c>
      <c r="Z397">
        <f t="shared" si="34"/>
        <v>0.39822483019560695</v>
      </c>
    </row>
    <row r="398" spans="21:26" x14ac:dyDescent="0.3">
      <c r="U398" t="e">
        <f t="shared" si="30"/>
        <v>#N/A</v>
      </c>
      <c r="V398">
        <v>-0.05</v>
      </c>
      <c r="W398">
        <f t="shared" si="31"/>
        <v>0.39844391409476404</v>
      </c>
      <c r="X398" t="e">
        <f t="shared" si="32"/>
        <v>#N/A</v>
      </c>
      <c r="Y398">
        <f t="shared" si="33"/>
        <v>0.39844391409476404</v>
      </c>
      <c r="Z398">
        <f t="shared" si="34"/>
        <v>0.39844391409476404</v>
      </c>
    </row>
    <row r="399" spans="21:26" x14ac:dyDescent="0.3">
      <c r="U399" t="e">
        <f t="shared" si="30"/>
        <v>#N/A</v>
      </c>
      <c r="V399">
        <v>-0.04</v>
      </c>
      <c r="W399">
        <f t="shared" si="31"/>
        <v>0.39862325420460504</v>
      </c>
      <c r="X399" t="e">
        <f t="shared" si="32"/>
        <v>#N/A</v>
      </c>
      <c r="Y399">
        <f t="shared" si="33"/>
        <v>0.39862325420460504</v>
      </c>
      <c r="Z399">
        <f t="shared" si="34"/>
        <v>0.39862325420460504</v>
      </c>
    </row>
    <row r="400" spans="21:26" x14ac:dyDescent="0.3">
      <c r="U400" t="e">
        <f t="shared" si="30"/>
        <v>#N/A</v>
      </c>
      <c r="V400">
        <v>-0.03</v>
      </c>
      <c r="W400">
        <f t="shared" si="31"/>
        <v>0.39876279676209969</v>
      </c>
      <c r="X400" t="e">
        <f t="shared" si="32"/>
        <v>#N/A</v>
      </c>
      <c r="Y400">
        <f t="shared" si="33"/>
        <v>0.39876279676209969</v>
      </c>
      <c r="Z400">
        <f t="shared" si="34"/>
        <v>0.39876279676209969</v>
      </c>
    </row>
    <row r="401" spans="21:27" x14ac:dyDescent="0.3">
      <c r="U401" t="e">
        <f t="shared" si="30"/>
        <v>#N/A</v>
      </c>
      <c r="V401">
        <v>-0.02</v>
      </c>
      <c r="W401">
        <f t="shared" si="31"/>
        <v>0.39886249992366613</v>
      </c>
      <c r="X401" t="e">
        <f t="shared" si="32"/>
        <v>#N/A</v>
      </c>
      <c r="Y401">
        <f t="shared" si="33"/>
        <v>0.39886249992366613</v>
      </c>
      <c r="Z401">
        <f t="shared" si="34"/>
        <v>0.39886249992366613</v>
      </c>
    </row>
    <row r="402" spans="21:27" x14ac:dyDescent="0.3">
      <c r="U402" t="e">
        <f t="shared" si="30"/>
        <v>#N/A</v>
      </c>
      <c r="V402">
        <v>-0.01</v>
      </c>
      <c r="W402">
        <f t="shared" si="31"/>
        <v>0.39892233378608216</v>
      </c>
      <c r="X402" t="e">
        <f t="shared" si="32"/>
        <v>#N/A</v>
      </c>
      <c r="Y402">
        <f t="shared" si="33"/>
        <v>0.39892233378608216</v>
      </c>
      <c r="Z402">
        <f t="shared" si="34"/>
        <v>0.39892233378608216</v>
      </c>
    </row>
    <row r="403" spans="21:27" x14ac:dyDescent="0.3">
      <c r="U403" t="e">
        <f t="shared" si="30"/>
        <v>#N/A</v>
      </c>
      <c r="V403">
        <v>0</v>
      </c>
      <c r="W403">
        <f t="shared" si="31"/>
        <v>0.3989422804014327</v>
      </c>
      <c r="X403" t="e">
        <f t="shared" si="32"/>
        <v>#N/A</v>
      </c>
      <c r="Y403">
        <f t="shared" si="33"/>
        <v>0.3989422804014327</v>
      </c>
      <c r="Z403">
        <f t="shared" si="34"/>
        <v>0.3989422804014327</v>
      </c>
      <c r="AA403">
        <f>W403</f>
        <v>0.3989422804014327</v>
      </c>
    </row>
    <row r="404" spans="21:27" x14ac:dyDescent="0.3">
      <c r="U404" t="e">
        <f t="shared" si="30"/>
        <v>#N/A</v>
      </c>
      <c r="V404">
        <v>0.01</v>
      </c>
      <c r="W404">
        <f t="shared" si="31"/>
        <v>0.39892233378608216</v>
      </c>
      <c r="X404" t="e">
        <f t="shared" si="32"/>
        <v>#N/A</v>
      </c>
      <c r="Y404">
        <f t="shared" si="33"/>
        <v>0.39892233378608216</v>
      </c>
      <c r="Z404">
        <f t="shared" si="34"/>
        <v>0.39892233378608216</v>
      </c>
    </row>
    <row r="405" spans="21:27" x14ac:dyDescent="0.3">
      <c r="U405" t="e">
        <f t="shared" si="30"/>
        <v>#N/A</v>
      </c>
      <c r="V405">
        <v>0.02</v>
      </c>
      <c r="W405">
        <f t="shared" si="31"/>
        <v>0.39886249992366613</v>
      </c>
      <c r="X405" t="e">
        <f t="shared" si="32"/>
        <v>#N/A</v>
      </c>
      <c r="Y405">
        <f t="shared" si="33"/>
        <v>0.39886249992366613</v>
      </c>
      <c r="Z405">
        <f t="shared" si="34"/>
        <v>0.39886249992366613</v>
      </c>
    </row>
    <row r="406" spans="21:27" x14ac:dyDescent="0.3">
      <c r="U406" t="e">
        <f t="shared" si="30"/>
        <v>#N/A</v>
      </c>
      <c r="V406">
        <v>0.03</v>
      </c>
      <c r="W406">
        <f t="shared" si="31"/>
        <v>0.39876279676209969</v>
      </c>
      <c r="X406" t="e">
        <f t="shared" si="32"/>
        <v>#N/A</v>
      </c>
      <c r="Y406">
        <f t="shared" si="33"/>
        <v>0.39876279676209969</v>
      </c>
      <c r="Z406">
        <f t="shared" si="34"/>
        <v>0.39876279676209969</v>
      </c>
    </row>
    <row r="407" spans="21:27" x14ac:dyDescent="0.3">
      <c r="U407" t="e">
        <f t="shared" si="30"/>
        <v>#N/A</v>
      </c>
      <c r="V407">
        <v>0.04</v>
      </c>
      <c r="W407">
        <f t="shared" si="31"/>
        <v>0.39862325420460504</v>
      </c>
      <c r="X407" t="e">
        <f t="shared" si="32"/>
        <v>#N/A</v>
      </c>
      <c r="Y407">
        <f t="shared" si="33"/>
        <v>0.39862325420460504</v>
      </c>
      <c r="Z407">
        <f t="shared" si="34"/>
        <v>0.39862325420460504</v>
      </c>
    </row>
    <row r="408" spans="21:27" x14ac:dyDescent="0.3">
      <c r="U408" t="e">
        <f t="shared" si="30"/>
        <v>#N/A</v>
      </c>
      <c r="V408">
        <v>0.05</v>
      </c>
      <c r="W408">
        <f t="shared" si="31"/>
        <v>0.39844391409476404</v>
      </c>
      <c r="X408" t="e">
        <f t="shared" si="32"/>
        <v>#N/A</v>
      </c>
      <c r="Y408">
        <f t="shared" si="33"/>
        <v>0.39844391409476404</v>
      </c>
      <c r="Z408">
        <f t="shared" si="34"/>
        <v>0.39844391409476404</v>
      </c>
    </row>
    <row r="409" spans="21:27" x14ac:dyDescent="0.3">
      <c r="U409" t="e">
        <f t="shared" si="30"/>
        <v>#N/A</v>
      </c>
      <c r="V409">
        <v>0.06</v>
      </c>
      <c r="W409">
        <f t="shared" si="31"/>
        <v>0.39822483019560695</v>
      </c>
      <c r="X409" t="e">
        <f t="shared" si="32"/>
        <v>#N/A</v>
      </c>
      <c r="Y409">
        <f t="shared" si="33"/>
        <v>0.39822483019560695</v>
      </c>
      <c r="Z409">
        <f t="shared" si="34"/>
        <v>0.39822483019560695</v>
      </c>
    </row>
    <row r="410" spans="21:27" x14ac:dyDescent="0.3">
      <c r="U410" t="e">
        <f t="shared" si="30"/>
        <v>#N/A</v>
      </c>
      <c r="V410">
        <v>7.0000000000000007E-2</v>
      </c>
      <c r="W410">
        <f t="shared" si="31"/>
        <v>0.39796606816275104</v>
      </c>
      <c r="X410" t="e">
        <f t="shared" si="32"/>
        <v>#N/A</v>
      </c>
      <c r="Y410">
        <f t="shared" si="33"/>
        <v>0.39796606816275104</v>
      </c>
      <c r="Z410">
        <f t="shared" si="34"/>
        <v>0.39796606816275104</v>
      </c>
    </row>
    <row r="411" spans="21:27" x14ac:dyDescent="0.3">
      <c r="U411" t="e">
        <f t="shared" si="30"/>
        <v>#N/A</v>
      </c>
      <c r="V411">
        <v>0.08</v>
      </c>
      <c r="W411">
        <f t="shared" si="31"/>
        <v>0.39766770551160885</v>
      </c>
      <c r="X411" t="e">
        <f t="shared" si="32"/>
        <v>#N/A</v>
      </c>
      <c r="Y411">
        <f t="shared" si="33"/>
        <v>0.39766770551160885</v>
      </c>
      <c r="Z411">
        <f t="shared" si="34"/>
        <v>0.39766770551160885</v>
      </c>
    </row>
    <row r="412" spans="21:27" x14ac:dyDescent="0.3">
      <c r="U412" t="e">
        <f t="shared" si="30"/>
        <v>#N/A</v>
      </c>
      <c r="V412">
        <v>0.09</v>
      </c>
      <c r="W412">
        <f t="shared" si="31"/>
        <v>0.39732983157868834</v>
      </c>
      <c r="X412" t="e">
        <f t="shared" si="32"/>
        <v>#N/A</v>
      </c>
      <c r="Y412">
        <f t="shared" si="33"/>
        <v>0.39732983157868834</v>
      </c>
      <c r="Z412">
        <f t="shared" si="34"/>
        <v>0.39732983157868834</v>
      </c>
    </row>
    <row r="413" spans="21:27" x14ac:dyDescent="0.3">
      <c r="U413" t="e">
        <f t="shared" si="30"/>
        <v>#N/A</v>
      </c>
      <c r="V413">
        <v>0.1</v>
      </c>
      <c r="W413">
        <f t="shared" si="31"/>
        <v>0.39695254747701181</v>
      </c>
      <c r="X413" t="e">
        <f t="shared" si="32"/>
        <v>#N/A</v>
      </c>
      <c r="Y413">
        <f t="shared" si="33"/>
        <v>0.39695254747701181</v>
      </c>
      <c r="Z413">
        <f t="shared" si="34"/>
        <v>0.39695254747701181</v>
      </c>
    </row>
    <row r="414" spans="21:27" x14ac:dyDescent="0.3">
      <c r="U414" t="e">
        <f t="shared" si="30"/>
        <v>#N/A</v>
      </c>
      <c r="V414">
        <v>0.11</v>
      </c>
      <c r="W414">
        <f t="shared" si="31"/>
        <v>0.39653596604568575</v>
      </c>
      <c r="X414" t="e">
        <f t="shared" si="32"/>
        <v>#N/A</v>
      </c>
      <c r="Y414">
        <f t="shared" si="33"/>
        <v>0.39653596604568575</v>
      </c>
      <c r="Z414">
        <f t="shared" si="34"/>
        <v>0.39653596604568575</v>
      </c>
    </row>
    <row r="415" spans="21:27" x14ac:dyDescent="0.3">
      <c r="U415" t="e">
        <f t="shared" si="30"/>
        <v>#N/A</v>
      </c>
      <c r="V415">
        <v>0.12</v>
      </c>
      <c r="W415">
        <f t="shared" si="31"/>
        <v>0.3960802117936561</v>
      </c>
      <c r="X415" t="e">
        <f t="shared" si="32"/>
        <v>#N/A</v>
      </c>
      <c r="Y415">
        <f t="shared" si="33"/>
        <v>0.3960802117936561</v>
      </c>
      <c r="Z415">
        <f t="shared" si="34"/>
        <v>0.3960802117936561</v>
      </c>
    </row>
    <row r="416" spans="21:27" x14ac:dyDescent="0.3">
      <c r="U416" t="e">
        <f t="shared" si="30"/>
        <v>#N/A</v>
      </c>
      <c r="V416">
        <v>0.13</v>
      </c>
      <c r="W416">
        <f t="shared" si="31"/>
        <v>0.39558542083768738</v>
      </c>
      <c r="X416" t="e">
        <f t="shared" si="32"/>
        <v>#N/A</v>
      </c>
      <c r="Y416">
        <f t="shared" si="33"/>
        <v>0.39558542083768738</v>
      </c>
      <c r="Z416">
        <f t="shared" si="34"/>
        <v>0.39558542083768738</v>
      </c>
    </row>
    <row r="417" spans="21:26" x14ac:dyDescent="0.3">
      <c r="U417" t="e">
        <f t="shared" si="30"/>
        <v>#N/A</v>
      </c>
      <c r="V417">
        <v>0.14000000000000001</v>
      </c>
      <c r="W417">
        <f t="shared" si="31"/>
        <v>0.39505174083461125</v>
      </c>
      <c r="X417" t="e">
        <f t="shared" si="32"/>
        <v>#N/A</v>
      </c>
      <c r="Y417">
        <f t="shared" si="33"/>
        <v>0.39505174083461125</v>
      </c>
      <c r="Z417">
        <f t="shared" si="34"/>
        <v>0.39505174083461125</v>
      </c>
    </row>
    <row r="418" spans="21:26" x14ac:dyDescent="0.3">
      <c r="U418" t="e">
        <f t="shared" si="30"/>
        <v>#N/A</v>
      </c>
      <c r="V418">
        <v>0.15</v>
      </c>
      <c r="W418">
        <f t="shared" si="31"/>
        <v>0.39447933090788895</v>
      </c>
      <c r="X418" t="e">
        <f t="shared" si="32"/>
        <v>#N/A</v>
      </c>
      <c r="Y418">
        <f t="shared" si="33"/>
        <v>0.39447933090788895</v>
      </c>
      <c r="Z418">
        <f t="shared" si="34"/>
        <v>0.39447933090788895</v>
      </c>
    </row>
    <row r="419" spans="21:26" x14ac:dyDescent="0.3">
      <c r="U419" t="e">
        <f t="shared" si="30"/>
        <v>#N/A</v>
      </c>
      <c r="V419">
        <v>0.16</v>
      </c>
      <c r="W419">
        <f t="shared" si="31"/>
        <v>0.39386836156854083</v>
      </c>
      <c r="X419" t="e">
        <f t="shared" si="32"/>
        <v>#N/A</v>
      </c>
      <c r="Y419">
        <f t="shared" si="33"/>
        <v>0.39386836156854083</v>
      </c>
      <c r="Z419">
        <f t="shared" si="34"/>
        <v>0.39386836156854083</v>
      </c>
    </row>
    <row r="420" spans="21:26" x14ac:dyDescent="0.3">
      <c r="U420" t="e">
        <f t="shared" si="30"/>
        <v>#N/A</v>
      </c>
      <c r="V420">
        <v>0.17</v>
      </c>
      <c r="W420">
        <f t="shared" si="31"/>
        <v>0.39321901463049719</v>
      </c>
      <c r="X420" t="e">
        <f t="shared" si="32"/>
        <v>#N/A</v>
      </c>
      <c r="Y420">
        <f t="shared" si="33"/>
        <v>0.39321901463049719</v>
      </c>
      <c r="Z420">
        <f t="shared" si="34"/>
        <v>0.39321901463049719</v>
      </c>
    </row>
    <row r="421" spans="21:26" x14ac:dyDescent="0.3">
      <c r="U421" t="e">
        <f t="shared" si="30"/>
        <v>#N/A</v>
      </c>
      <c r="V421">
        <v>0.18</v>
      </c>
      <c r="W421">
        <f t="shared" si="31"/>
        <v>0.3925314831204289</v>
      </c>
      <c r="X421" t="e">
        <f t="shared" si="32"/>
        <v>#N/A</v>
      </c>
      <c r="Y421">
        <f t="shared" si="33"/>
        <v>0.3925314831204289</v>
      </c>
      <c r="Z421">
        <f t="shared" si="34"/>
        <v>0.3925314831204289</v>
      </c>
    </row>
    <row r="422" spans="21:26" x14ac:dyDescent="0.3">
      <c r="U422" t="e">
        <f t="shared" si="30"/>
        <v>#N/A</v>
      </c>
      <c r="V422">
        <v>0.19</v>
      </c>
      <c r="W422">
        <f t="shared" si="31"/>
        <v>0.39180597118212113</v>
      </c>
      <c r="X422" t="e">
        <f t="shared" si="32"/>
        <v>#N/A</v>
      </c>
      <c r="Y422">
        <f t="shared" si="33"/>
        <v>0.39180597118212113</v>
      </c>
      <c r="Z422">
        <f t="shared" si="34"/>
        <v>0.39180597118212113</v>
      </c>
    </row>
    <row r="423" spans="21:26" x14ac:dyDescent="0.3">
      <c r="U423" t="e">
        <f t="shared" si="30"/>
        <v>#N/A</v>
      </c>
      <c r="V423">
        <v>0.2</v>
      </c>
      <c r="W423">
        <f t="shared" si="31"/>
        <v>0.39104269397545588</v>
      </c>
      <c r="X423" t="e">
        <f t="shared" si="32"/>
        <v>#N/A</v>
      </c>
      <c r="Y423">
        <f t="shared" si="33"/>
        <v>0.39104269397545588</v>
      </c>
      <c r="Z423">
        <f t="shared" si="34"/>
        <v>0.39104269397545588</v>
      </c>
    </row>
    <row r="424" spans="21:26" x14ac:dyDescent="0.3">
      <c r="U424" t="e">
        <f t="shared" si="30"/>
        <v>#N/A</v>
      </c>
      <c r="V424">
        <v>0.21</v>
      </c>
      <c r="W424">
        <f t="shared" si="31"/>
        <v>0.39024187757007428</v>
      </c>
      <c r="X424" t="e">
        <f t="shared" si="32"/>
        <v>#N/A</v>
      </c>
      <c r="Y424">
        <f t="shared" si="33"/>
        <v>0.39024187757007428</v>
      </c>
      <c r="Z424">
        <f t="shared" si="34"/>
        <v>0.39024187757007428</v>
      </c>
    </row>
    <row r="425" spans="21:26" x14ac:dyDescent="0.3">
      <c r="U425" t="e">
        <f t="shared" si="30"/>
        <v>#N/A</v>
      </c>
      <c r="V425">
        <v>0.22</v>
      </c>
      <c r="W425">
        <f t="shared" si="31"/>
        <v>0.38940375883379041</v>
      </c>
      <c r="X425" t="e">
        <f t="shared" si="32"/>
        <v>#N/A</v>
      </c>
      <c r="Y425">
        <f t="shared" si="33"/>
        <v>0.38940375883379041</v>
      </c>
      <c r="Z425">
        <f t="shared" si="34"/>
        <v>0.38940375883379041</v>
      </c>
    </row>
    <row r="426" spans="21:26" x14ac:dyDescent="0.3">
      <c r="U426" t="e">
        <f t="shared" si="30"/>
        <v>#N/A</v>
      </c>
      <c r="V426">
        <v>0.23</v>
      </c>
      <c r="W426">
        <f t="shared" si="31"/>
        <v>0.38852858531583589</v>
      </c>
      <c r="X426" t="e">
        <f t="shared" si="32"/>
        <v>#N/A</v>
      </c>
      <c r="Y426">
        <f t="shared" si="33"/>
        <v>0.38852858531583589</v>
      </c>
      <c r="Z426">
        <f t="shared" si="34"/>
        <v>0.38852858531583589</v>
      </c>
    </row>
    <row r="427" spans="21:26" x14ac:dyDescent="0.3">
      <c r="U427" t="e">
        <f t="shared" si="30"/>
        <v>#N/A</v>
      </c>
      <c r="V427">
        <v>0.24</v>
      </c>
      <c r="W427">
        <f t="shared" si="31"/>
        <v>0.38761661512501416</v>
      </c>
      <c r="X427" t="e">
        <f t="shared" si="32"/>
        <v>#N/A</v>
      </c>
      <c r="Y427">
        <f t="shared" si="33"/>
        <v>0.38761661512501416</v>
      </c>
      <c r="Z427">
        <f t="shared" si="34"/>
        <v>0.38761661512501416</v>
      </c>
    </row>
    <row r="428" spans="21:26" x14ac:dyDescent="0.3">
      <c r="U428" t="e">
        <f t="shared" si="30"/>
        <v>#N/A</v>
      </c>
      <c r="V428">
        <v>0.25</v>
      </c>
      <c r="W428">
        <f t="shared" si="31"/>
        <v>0.38666811680284924</v>
      </c>
      <c r="X428" t="e">
        <f t="shared" si="32"/>
        <v>#N/A</v>
      </c>
      <c r="Y428">
        <f t="shared" si="33"/>
        <v>0.38666811680284924</v>
      </c>
      <c r="Z428">
        <f t="shared" si="34"/>
        <v>0.38666811680284924</v>
      </c>
    </row>
    <row r="429" spans="21:26" x14ac:dyDescent="0.3">
      <c r="U429" t="e">
        <f t="shared" si="30"/>
        <v>#N/A</v>
      </c>
      <c r="V429">
        <v>0.26</v>
      </c>
      <c r="W429">
        <f t="shared" si="31"/>
        <v>0.38568336919181612</v>
      </c>
      <c r="X429" t="e">
        <f t="shared" si="32"/>
        <v>#N/A</v>
      </c>
      <c r="Y429">
        <f t="shared" si="33"/>
        <v>0.38568336919181612</v>
      </c>
      <c r="Z429">
        <f t="shared" si="34"/>
        <v>0.38568336919181612</v>
      </c>
    </row>
    <row r="430" spans="21:26" x14ac:dyDescent="0.3">
      <c r="U430" t="e">
        <f t="shared" si="30"/>
        <v>#N/A</v>
      </c>
      <c r="V430">
        <v>0.27</v>
      </c>
      <c r="W430">
        <f t="shared" si="31"/>
        <v>0.38466266129874283</v>
      </c>
      <c r="X430" t="e">
        <f t="shared" si="32"/>
        <v>#N/A</v>
      </c>
      <c r="Y430">
        <f t="shared" si="33"/>
        <v>0.38466266129874283</v>
      </c>
      <c r="Z430">
        <f t="shared" si="34"/>
        <v>0.38466266129874283</v>
      </c>
    </row>
    <row r="431" spans="21:26" x14ac:dyDescent="0.3">
      <c r="U431" t="e">
        <f t="shared" si="30"/>
        <v>#N/A</v>
      </c>
      <c r="V431">
        <v>0.28000000000000003</v>
      </c>
      <c r="W431">
        <f t="shared" si="31"/>
        <v>0.38360629215347858</v>
      </c>
      <c r="X431" t="e">
        <f t="shared" si="32"/>
        <v>#N/A</v>
      </c>
      <c r="Y431">
        <f t="shared" si="33"/>
        <v>0.38360629215347858</v>
      </c>
      <c r="Z431">
        <f t="shared" si="34"/>
        <v>0.38360629215347858</v>
      </c>
    </row>
    <row r="432" spans="21:26" x14ac:dyDescent="0.3">
      <c r="U432" t="e">
        <f t="shared" si="30"/>
        <v>#N/A</v>
      </c>
      <c r="V432">
        <v>0.28999999999999998</v>
      </c>
      <c r="W432">
        <f t="shared" si="31"/>
        <v>0.38251457066292405</v>
      </c>
      <c r="X432" t="e">
        <f t="shared" si="32"/>
        <v>#N/A</v>
      </c>
      <c r="Y432">
        <f t="shared" si="33"/>
        <v>0.38251457066292405</v>
      </c>
      <c r="Z432">
        <f t="shared" si="34"/>
        <v>0.38251457066292405</v>
      </c>
    </row>
    <row r="433" spans="21:26" x14ac:dyDescent="0.3">
      <c r="U433" t="e">
        <f t="shared" si="30"/>
        <v>#N/A</v>
      </c>
      <c r="V433">
        <v>0.3</v>
      </c>
      <c r="W433">
        <f t="shared" si="31"/>
        <v>0.38138781546052414</v>
      </c>
      <c r="X433" t="e">
        <f t="shared" si="32"/>
        <v>#N/A</v>
      </c>
      <c r="Y433">
        <f t="shared" si="33"/>
        <v>0.38138781546052414</v>
      </c>
      <c r="Z433">
        <f t="shared" si="34"/>
        <v>0.38138781546052414</v>
      </c>
    </row>
    <row r="434" spans="21:26" x14ac:dyDescent="0.3">
      <c r="U434" t="e">
        <f t="shared" si="30"/>
        <v>#N/A</v>
      </c>
      <c r="V434">
        <v>0.31</v>
      </c>
      <c r="W434">
        <f t="shared" si="31"/>
        <v>0.38022635475132494</v>
      </c>
      <c r="X434" t="e">
        <f t="shared" si="32"/>
        <v>#N/A</v>
      </c>
      <c r="Y434">
        <f t="shared" si="33"/>
        <v>0.38022635475132494</v>
      </c>
      <c r="Z434">
        <f t="shared" si="34"/>
        <v>0.38022635475132494</v>
      </c>
    </row>
    <row r="435" spans="21:26" x14ac:dyDescent="0.3">
      <c r="U435" t="e">
        <f t="shared" si="30"/>
        <v>#N/A</v>
      </c>
      <c r="V435">
        <v>0.32</v>
      </c>
      <c r="W435">
        <f t="shared" si="31"/>
        <v>0.37903052615270166</v>
      </c>
      <c r="X435" t="e">
        <f t="shared" si="32"/>
        <v>#N/A</v>
      </c>
      <c r="Y435">
        <f t="shared" si="33"/>
        <v>0.37903052615270166</v>
      </c>
      <c r="Z435">
        <f t="shared" si="34"/>
        <v>0.37903052615270166</v>
      </c>
    </row>
    <row r="436" spans="21:26" x14ac:dyDescent="0.3">
      <c r="U436" t="e">
        <f t="shared" si="30"/>
        <v>#N/A</v>
      </c>
      <c r="V436">
        <v>0.33</v>
      </c>
      <c r="W436">
        <f t="shared" si="31"/>
        <v>0.37780067653086458</v>
      </c>
      <c r="X436" t="e">
        <f t="shared" si="32"/>
        <v>#N/A</v>
      </c>
      <c r="Y436">
        <f t="shared" si="33"/>
        <v>0.37780067653086458</v>
      </c>
      <c r="Z436">
        <f t="shared" si="34"/>
        <v>0.37780067653086458</v>
      </c>
    </row>
    <row r="437" spans="21:26" x14ac:dyDescent="0.3">
      <c r="U437" t="e">
        <f t="shared" si="30"/>
        <v>#N/A</v>
      </c>
      <c r="V437">
        <v>0.34</v>
      </c>
      <c r="W437">
        <f t="shared" si="31"/>
        <v>0.37653716183325392</v>
      </c>
      <c r="X437" t="e">
        <f t="shared" si="32"/>
        <v>#N/A</v>
      </c>
      <c r="Y437">
        <f t="shared" si="33"/>
        <v>0.37653716183325392</v>
      </c>
      <c r="Z437">
        <f t="shared" si="34"/>
        <v>0.37653716183325392</v>
      </c>
    </row>
    <row r="438" spans="21:26" x14ac:dyDescent="0.3">
      <c r="U438" t="e">
        <f t="shared" si="30"/>
        <v>#N/A</v>
      </c>
      <c r="V438">
        <v>0.35</v>
      </c>
      <c r="W438">
        <f t="shared" si="31"/>
        <v>0.37524034691693792</v>
      </c>
      <c r="X438" t="e">
        <f t="shared" si="32"/>
        <v>#N/A</v>
      </c>
      <c r="Y438">
        <f t="shared" si="33"/>
        <v>0.37524034691693792</v>
      </c>
      <c r="Z438">
        <f t="shared" si="34"/>
        <v>0.37524034691693792</v>
      </c>
    </row>
    <row r="439" spans="21:26" x14ac:dyDescent="0.3">
      <c r="U439" t="e">
        <f t="shared" si="30"/>
        <v>#N/A</v>
      </c>
      <c r="V439">
        <v>0.36</v>
      </c>
      <c r="W439">
        <f t="shared" si="31"/>
        <v>0.37391060537312842</v>
      </c>
      <c r="X439" t="e">
        <f t="shared" si="32"/>
        <v>#N/A</v>
      </c>
      <c r="Y439">
        <f t="shared" si="33"/>
        <v>0.37391060537312842</v>
      </c>
      <c r="Z439">
        <f t="shared" si="34"/>
        <v>0.37391060537312842</v>
      </c>
    </row>
    <row r="440" spans="21:26" x14ac:dyDescent="0.3">
      <c r="U440" t="e">
        <f t="shared" si="30"/>
        <v>#N/A</v>
      </c>
      <c r="V440">
        <v>0.37</v>
      </c>
      <c r="W440">
        <f t="shared" si="31"/>
        <v>0.37254831934793342</v>
      </c>
      <c r="X440" t="e">
        <f t="shared" si="32"/>
        <v>#N/A</v>
      </c>
      <c r="Y440">
        <f t="shared" si="33"/>
        <v>0.37254831934793342</v>
      </c>
      <c r="Z440">
        <f t="shared" si="34"/>
        <v>0.37254831934793342</v>
      </c>
    </row>
    <row r="441" spans="21:26" x14ac:dyDescent="0.3">
      <c r="U441" t="e">
        <f t="shared" si="30"/>
        <v>#N/A</v>
      </c>
      <c r="V441">
        <v>0.38</v>
      </c>
      <c r="W441">
        <f t="shared" si="31"/>
        <v>0.37115387935946603</v>
      </c>
      <c r="X441" t="e">
        <f t="shared" si="32"/>
        <v>#N/A</v>
      </c>
      <c r="Y441">
        <f t="shared" si="33"/>
        <v>0.37115387935946603</v>
      </c>
      <c r="Z441">
        <f t="shared" si="34"/>
        <v>0.37115387935946603</v>
      </c>
    </row>
    <row r="442" spans="21:26" x14ac:dyDescent="0.3">
      <c r="U442" t="e">
        <f t="shared" si="30"/>
        <v>#N/A</v>
      </c>
      <c r="V442">
        <v>0.39</v>
      </c>
      <c r="W442">
        <f t="shared" si="31"/>
        <v>0.36972768411143236</v>
      </c>
      <c r="X442" t="e">
        <f t="shared" si="32"/>
        <v>#N/A</v>
      </c>
      <c r="Y442">
        <f t="shared" si="33"/>
        <v>0.36972768411143236</v>
      </c>
      <c r="Z442">
        <f t="shared" si="34"/>
        <v>0.36972768411143236</v>
      </c>
    </row>
    <row r="443" spans="21:26" x14ac:dyDescent="0.3">
      <c r="U443" t="e">
        <f t="shared" si="30"/>
        <v>#N/A</v>
      </c>
      <c r="V443">
        <v>0.4</v>
      </c>
      <c r="W443">
        <f t="shared" si="31"/>
        <v>0.36827014030332333</v>
      </c>
      <c r="X443" t="e">
        <f t="shared" si="32"/>
        <v>#N/A</v>
      </c>
      <c r="Y443">
        <f t="shared" si="33"/>
        <v>0.36827014030332333</v>
      </c>
      <c r="Z443">
        <f t="shared" si="34"/>
        <v>0.36827014030332333</v>
      </c>
    </row>
    <row r="444" spans="21:26" x14ac:dyDescent="0.3">
      <c r="U444" t="e">
        <f t="shared" si="30"/>
        <v>#N/A</v>
      </c>
      <c r="V444">
        <v>0.41</v>
      </c>
      <c r="W444">
        <f t="shared" si="31"/>
        <v>0.36678166243733612</v>
      </c>
      <c r="X444" t="e">
        <f t="shared" si="32"/>
        <v>#N/A</v>
      </c>
      <c r="Y444">
        <f t="shared" si="33"/>
        <v>0.36678166243733612</v>
      </c>
      <c r="Z444">
        <f t="shared" si="34"/>
        <v>0.36678166243733612</v>
      </c>
    </row>
    <row r="445" spans="21:26" x14ac:dyDescent="0.3">
      <c r="U445" t="e">
        <f t="shared" si="30"/>
        <v>#N/A</v>
      </c>
      <c r="V445">
        <v>0.42</v>
      </c>
      <c r="W445">
        <f t="shared" si="31"/>
        <v>0.36526267262215389</v>
      </c>
      <c r="X445" t="e">
        <f t="shared" si="32"/>
        <v>#N/A</v>
      </c>
      <c r="Y445">
        <f t="shared" si="33"/>
        <v>0.36526267262215389</v>
      </c>
      <c r="Z445">
        <f t="shared" si="34"/>
        <v>0.36526267262215389</v>
      </c>
    </row>
    <row r="446" spans="21:26" x14ac:dyDescent="0.3">
      <c r="U446" t="e">
        <f t="shared" si="30"/>
        <v>#N/A</v>
      </c>
      <c r="V446">
        <v>0.43</v>
      </c>
      <c r="W446">
        <f t="shared" si="31"/>
        <v>0.36371360037371342</v>
      </c>
      <c r="X446" t="e">
        <f t="shared" si="32"/>
        <v>#N/A</v>
      </c>
      <c r="Y446">
        <f t="shared" si="33"/>
        <v>0.36371360037371342</v>
      </c>
      <c r="Z446">
        <f t="shared" si="34"/>
        <v>0.36371360037371342</v>
      </c>
    </row>
    <row r="447" spans="21:26" x14ac:dyDescent="0.3">
      <c r="U447" t="e">
        <f t="shared" si="30"/>
        <v>#N/A</v>
      </c>
      <c r="V447">
        <v>0.44</v>
      </c>
      <c r="W447">
        <f t="shared" si="31"/>
        <v>0.36213488241309222</v>
      </c>
      <c r="X447" t="e">
        <f t="shared" si="32"/>
        <v>#N/A</v>
      </c>
      <c r="Y447">
        <f t="shared" si="33"/>
        <v>0.36213488241309222</v>
      </c>
      <c r="Z447">
        <f t="shared" si="34"/>
        <v>0.36213488241309222</v>
      </c>
    </row>
    <row r="448" spans="21:26" x14ac:dyDescent="0.3">
      <c r="U448" t="e">
        <f t="shared" si="30"/>
        <v>#N/A</v>
      </c>
      <c r="V448">
        <v>0.45</v>
      </c>
      <c r="W448">
        <f t="shared" si="31"/>
        <v>0.36052696246164795</v>
      </c>
      <c r="X448" t="e">
        <f t="shared" si="32"/>
        <v>#N/A</v>
      </c>
      <c r="Y448">
        <f t="shared" si="33"/>
        <v>0.36052696246164795</v>
      </c>
      <c r="Z448">
        <f t="shared" si="34"/>
        <v>0.36052696246164795</v>
      </c>
    </row>
    <row r="449" spans="21:26" x14ac:dyDescent="0.3">
      <c r="U449" t="e">
        <f t="shared" si="30"/>
        <v>#N/A</v>
      </c>
      <c r="V449">
        <v>0.46</v>
      </c>
      <c r="W449">
        <f t="shared" si="31"/>
        <v>0.35889029103354464</v>
      </c>
      <c r="X449" t="e">
        <f t="shared" si="32"/>
        <v>#N/A</v>
      </c>
      <c r="Y449">
        <f t="shared" si="33"/>
        <v>0.35889029103354464</v>
      </c>
      <c r="Z449">
        <f t="shared" si="34"/>
        <v>0.35889029103354464</v>
      </c>
    </row>
    <row r="450" spans="21:26" x14ac:dyDescent="0.3">
      <c r="U450" t="e">
        <f t="shared" si="30"/>
        <v>#N/A</v>
      </c>
      <c r="V450">
        <v>0.47</v>
      </c>
      <c r="W450">
        <f t="shared" si="31"/>
        <v>0.35722532522580086</v>
      </c>
      <c r="X450" t="e">
        <f t="shared" si="32"/>
        <v>#N/A</v>
      </c>
      <c r="Y450">
        <f t="shared" si="33"/>
        <v>0.35722532522580086</v>
      </c>
      <c r="Z450">
        <f t="shared" si="34"/>
        <v>0.35722532522580086</v>
      </c>
    </row>
    <row r="451" spans="21:26" x14ac:dyDescent="0.3">
      <c r="U451" t="e">
        <f t="shared" si="30"/>
        <v>#N/A</v>
      </c>
      <c r="V451">
        <v>0.48</v>
      </c>
      <c r="W451">
        <f t="shared" si="31"/>
        <v>0.35553252850599709</v>
      </c>
      <c r="X451" t="e">
        <f t="shared" si="32"/>
        <v>#N/A</v>
      </c>
      <c r="Y451">
        <f t="shared" si="33"/>
        <v>0.35553252850599709</v>
      </c>
      <c r="Z451">
        <f t="shared" si="34"/>
        <v>0.35553252850599709</v>
      </c>
    </row>
    <row r="452" spans="21:26" x14ac:dyDescent="0.3">
      <c r="U452" t="e">
        <f t="shared" ref="U452:U515" si="35">IF($A$2=ABS(V452),0,NA())</f>
        <v>#N/A</v>
      </c>
      <c r="V452">
        <v>0.49</v>
      </c>
      <c r="W452">
        <f t="shared" ref="W452:W515" si="36">_xlfn.NORM.S.DIST(V452,0)</f>
        <v>0.35381237049777969</v>
      </c>
      <c r="X452" t="e">
        <f t="shared" ref="X452:X515" si="37">IF(ABS(V452)=$A$2,W452,NA())</f>
        <v>#N/A</v>
      </c>
      <c r="Y452">
        <f t="shared" ref="Y452:Y515" si="38">IF(V452&lt;=$A$2,W452,NA())</f>
        <v>0.35381237049777969</v>
      </c>
      <c r="Z452">
        <f t="shared" ref="Z452:Z515" si="39">IF(ABS(V452)&lt;=$A$2,W452,NA())</f>
        <v>0.35381237049777969</v>
      </c>
    </row>
    <row r="453" spans="21:26" x14ac:dyDescent="0.3">
      <c r="U453" t="e">
        <f t="shared" si="35"/>
        <v>#N/A</v>
      </c>
      <c r="V453">
        <v>0.5</v>
      </c>
      <c r="W453">
        <f t="shared" si="36"/>
        <v>0.35206532676429952</v>
      </c>
      <c r="X453" t="e">
        <f t="shared" si="37"/>
        <v>#N/A</v>
      </c>
      <c r="Y453">
        <f t="shared" si="38"/>
        <v>0.35206532676429952</v>
      </c>
      <c r="Z453">
        <f t="shared" si="39"/>
        <v>0.35206532676429952</v>
      </c>
    </row>
    <row r="454" spans="21:26" x14ac:dyDescent="0.3">
      <c r="U454" t="e">
        <f t="shared" si="35"/>
        <v>#N/A</v>
      </c>
      <c r="V454">
        <v>0.51</v>
      </c>
      <c r="W454">
        <f t="shared" si="36"/>
        <v>0.35029187858972582</v>
      </c>
      <c r="X454" t="e">
        <f t="shared" si="37"/>
        <v>#N/A</v>
      </c>
      <c r="Y454">
        <f t="shared" si="38"/>
        <v>0.35029187858972582</v>
      </c>
      <c r="Z454">
        <f t="shared" si="39"/>
        <v>0.35029187858972582</v>
      </c>
    </row>
    <row r="455" spans="21:26" x14ac:dyDescent="0.3">
      <c r="U455" t="e">
        <f t="shared" si="35"/>
        <v>#N/A</v>
      </c>
      <c r="V455">
        <v>0.52</v>
      </c>
      <c r="W455">
        <f t="shared" si="36"/>
        <v>0.34849251275897447</v>
      </c>
      <c r="X455" t="e">
        <f t="shared" si="37"/>
        <v>#N/A</v>
      </c>
      <c r="Y455">
        <f t="shared" si="38"/>
        <v>0.34849251275897447</v>
      </c>
      <c r="Z455">
        <f t="shared" si="39"/>
        <v>0.34849251275897447</v>
      </c>
    </row>
    <row r="456" spans="21:26" x14ac:dyDescent="0.3">
      <c r="U456" t="e">
        <f t="shared" si="35"/>
        <v>#N/A</v>
      </c>
      <c r="V456">
        <v>0.53</v>
      </c>
      <c r="W456">
        <f t="shared" si="36"/>
        <v>0.34666772133579166</v>
      </c>
      <c r="X456" t="e">
        <f t="shared" si="37"/>
        <v>#N/A</v>
      </c>
      <c r="Y456">
        <f t="shared" si="38"/>
        <v>0.34666772133579166</v>
      </c>
      <c r="Z456">
        <f t="shared" si="39"/>
        <v>0.34666772133579166</v>
      </c>
    </row>
    <row r="457" spans="21:26" x14ac:dyDescent="0.3">
      <c r="U457" t="e">
        <f t="shared" si="35"/>
        <v>#N/A</v>
      </c>
      <c r="V457">
        <v>0.54</v>
      </c>
      <c r="W457">
        <f t="shared" si="36"/>
        <v>0.34481800143933333</v>
      </c>
      <c r="X457" t="e">
        <f t="shared" si="37"/>
        <v>#N/A</v>
      </c>
      <c r="Y457">
        <f t="shared" si="38"/>
        <v>0.34481800143933333</v>
      </c>
      <c r="Z457">
        <f t="shared" si="39"/>
        <v>0.34481800143933333</v>
      </c>
    </row>
    <row r="458" spans="21:26" x14ac:dyDescent="0.3">
      <c r="U458" t="e">
        <f t="shared" si="35"/>
        <v>#N/A</v>
      </c>
      <c r="V458">
        <v>0.55000000000000004</v>
      </c>
      <c r="W458">
        <f t="shared" si="36"/>
        <v>0.3429438550193839</v>
      </c>
      <c r="X458" t="e">
        <f t="shared" si="37"/>
        <v>#N/A</v>
      </c>
      <c r="Y458">
        <f t="shared" si="38"/>
        <v>0.3429438550193839</v>
      </c>
      <c r="Z458">
        <f t="shared" si="39"/>
        <v>0.3429438550193839</v>
      </c>
    </row>
    <row r="459" spans="21:26" x14ac:dyDescent="0.3">
      <c r="U459" t="e">
        <f t="shared" si="35"/>
        <v>#N/A</v>
      </c>
      <c r="V459">
        <v>0.56000000000000005</v>
      </c>
      <c r="W459">
        <f t="shared" si="36"/>
        <v>0.34104578863035256</v>
      </c>
      <c r="X459" t="e">
        <f t="shared" si="37"/>
        <v>#N/A</v>
      </c>
      <c r="Y459">
        <f t="shared" si="38"/>
        <v>0.34104578863035256</v>
      </c>
      <c r="Z459">
        <f t="shared" si="39"/>
        <v>0.34104578863035256</v>
      </c>
    </row>
    <row r="460" spans="21:26" x14ac:dyDescent="0.3">
      <c r="U460" t="e">
        <f t="shared" si="35"/>
        <v>#N/A</v>
      </c>
      <c r="V460">
        <v>0.56999999999999995</v>
      </c>
      <c r="W460">
        <f t="shared" si="36"/>
        <v>0.33912431320419223</v>
      </c>
      <c r="X460" t="e">
        <f t="shared" si="37"/>
        <v>#N/A</v>
      </c>
      <c r="Y460">
        <f t="shared" si="38"/>
        <v>0.33912431320419223</v>
      </c>
      <c r="Z460">
        <f t="shared" si="39"/>
        <v>0.33912431320419223</v>
      </c>
    </row>
    <row r="461" spans="21:26" x14ac:dyDescent="0.3">
      <c r="U461" t="e">
        <f t="shared" si="35"/>
        <v>#N/A</v>
      </c>
      <c r="V461">
        <v>0.57999999999999996</v>
      </c>
      <c r="W461">
        <f t="shared" si="36"/>
        <v>0.33717994382238059</v>
      </c>
      <c r="X461" t="e">
        <f t="shared" si="37"/>
        <v>#N/A</v>
      </c>
      <c r="Y461">
        <f t="shared" si="38"/>
        <v>0.33717994382238059</v>
      </c>
      <c r="Z461">
        <f t="shared" si="39"/>
        <v>0.33717994382238059</v>
      </c>
    </row>
    <row r="462" spans="21:26" x14ac:dyDescent="0.3">
      <c r="U462" t="e">
        <f t="shared" si="35"/>
        <v>#N/A</v>
      </c>
      <c r="V462">
        <v>0.59</v>
      </c>
      <c r="W462">
        <f t="shared" si="36"/>
        <v>0.33521319948710609</v>
      </c>
      <c r="X462" t="e">
        <f t="shared" si="37"/>
        <v>#N/A</v>
      </c>
      <c r="Y462">
        <f t="shared" si="38"/>
        <v>0.33521319948710609</v>
      </c>
      <c r="Z462">
        <f t="shared" si="39"/>
        <v>0.33521319948710609</v>
      </c>
    </row>
    <row r="463" spans="21:26" x14ac:dyDescent="0.3">
      <c r="U463" t="e">
        <f t="shared" si="35"/>
        <v>#N/A</v>
      </c>
      <c r="V463">
        <v>0.6</v>
      </c>
      <c r="W463">
        <f t="shared" si="36"/>
        <v>0.33322460289179967</v>
      </c>
      <c r="X463" t="e">
        <f t="shared" si="37"/>
        <v>#N/A</v>
      </c>
      <c r="Y463">
        <f t="shared" si="38"/>
        <v>0.33322460289179967</v>
      </c>
      <c r="Z463">
        <f t="shared" si="39"/>
        <v>0.33322460289179967</v>
      </c>
    </row>
    <row r="464" spans="21:26" x14ac:dyDescent="0.3">
      <c r="U464" t="e">
        <f t="shared" si="35"/>
        <v>#N/A</v>
      </c>
      <c r="V464">
        <v>0.61</v>
      </c>
      <c r="W464">
        <f t="shared" si="36"/>
        <v>0.33121468019115297</v>
      </c>
      <c r="X464" t="e">
        <f t="shared" si="37"/>
        <v>#N/A</v>
      </c>
      <c r="Y464">
        <f t="shared" si="38"/>
        <v>0.33121468019115297</v>
      </c>
      <c r="Z464">
        <f t="shared" si="39"/>
        <v>0.33121468019115297</v>
      </c>
    </row>
    <row r="465" spans="21:26" x14ac:dyDescent="0.3">
      <c r="U465" t="e">
        <f t="shared" si="35"/>
        <v>#N/A</v>
      </c>
      <c r="V465">
        <v>0.62</v>
      </c>
      <c r="W465">
        <f t="shared" si="36"/>
        <v>0.32918396077076478</v>
      </c>
      <c r="X465" t="e">
        <f t="shared" si="37"/>
        <v>#N/A</v>
      </c>
      <c r="Y465">
        <f t="shared" si="38"/>
        <v>0.32918396077076478</v>
      </c>
      <c r="Z465">
        <f t="shared" si="39"/>
        <v>0.32918396077076478</v>
      </c>
    </row>
    <row r="466" spans="21:26" x14ac:dyDescent="0.3">
      <c r="U466" t="e">
        <f t="shared" si="35"/>
        <v>#N/A</v>
      </c>
      <c r="V466">
        <v>0.63</v>
      </c>
      <c r="W466">
        <f t="shared" si="36"/>
        <v>0.32713297701655447</v>
      </c>
      <c r="X466" t="e">
        <f t="shared" si="37"/>
        <v>#N/A</v>
      </c>
      <c r="Y466">
        <f t="shared" si="38"/>
        <v>0.32713297701655447</v>
      </c>
      <c r="Z466">
        <f t="shared" si="39"/>
        <v>0.32713297701655447</v>
      </c>
    </row>
    <row r="467" spans="21:26" x14ac:dyDescent="0.3">
      <c r="U467" t="e">
        <f t="shared" si="35"/>
        <v>#N/A</v>
      </c>
      <c r="V467">
        <v>0.64</v>
      </c>
      <c r="W467">
        <f t="shared" si="36"/>
        <v>0.32506226408408218</v>
      </c>
      <c r="X467" t="e">
        <f t="shared" si="37"/>
        <v>#N/A</v>
      </c>
      <c r="Y467">
        <f t="shared" si="38"/>
        <v>0.32506226408408218</v>
      </c>
      <c r="Z467">
        <f t="shared" si="39"/>
        <v>0.32506226408408218</v>
      </c>
    </row>
    <row r="468" spans="21:26" x14ac:dyDescent="0.3">
      <c r="U468" t="e">
        <f t="shared" si="35"/>
        <v>#N/A</v>
      </c>
      <c r="V468">
        <v>0.65</v>
      </c>
      <c r="W468">
        <f t="shared" si="36"/>
        <v>0.32297235966791427</v>
      </c>
      <c r="X468" t="e">
        <f t="shared" si="37"/>
        <v>#N/A</v>
      </c>
      <c r="Y468">
        <f t="shared" si="38"/>
        <v>0.32297235966791427</v>
      </c>
      <c r="Z468">
        <f t="shared" si="39"/>
        <v>0.32297235966791427</v>
      </c>
    </row>
    <row r="469" spans="21:26" x14ac:dyDescent="0.3">
      <c r="U469" t="e">
        <f t="shared" si="35"/>
        <v>#N/A</v>
      </c>
      <c r="V469">
        <v>0.66</v>
      </c>
      <c r="W469">
        <f t="shared" si="36"/>
        <v>0.32086380377117252</v>
      </c>
      <c r="X469" t="e">
        <f t="shared" si="37"/>
        <v>#N/A</v>
      </c>
      <c r="Y469">
        <f t="shared" si="38"/>
        <v>0.32086380377117252</v>
      </c>
      <c r="Z469">
        <f t="shared" si="39"/>
        <v>0.32086380377117252</v>
      </c>
    </row>
    <row r="470" spans="21:26" x14ac:dyDescent="0.3">
      <c r="U470" t="e">
        <f t="shared" si="35"/>
        <v>#N/A</v>
      </c>
      <c r="V470">
        <v>0.67</v>
      </c>
      <c r="W470">
        <f t="shared" si="36"/>
        <v>0.31873713847540153</v>
      </c>
      <c r="X470" t="e">
        <f t="shared" si="37"/>
        <v>#N/A</v>
      </c>
      <c r="Y470">
        <f t="shared" si="38"/>
        <v>0.31873713847540153</v>
      </c>
      <c r="Z470">
        <f t="shared" si="39"/>
        <v>0.31873713847540153</v>
      </c>
    </row>
    <row r="471" spans="21:26" x14ac:dyDescent="0.3">
      <c r="U471" t="e">
        <f t="shared" si="35"/>
        <v>#N/A</v>
      </c>
      <c r="V471">
        <v>0.68</v>
      </c>
      <c r="W471">
        <f t="shared" si="36"/>
        <v>0.31659290771089277</v>
      </c>
      <c r="X471" t="e">
        <f t="shared" si="37"/>
        <v>#N/A</v>
      </c>
      <c r="Y471">
        <f t="shared" si="38"/>
        <v>0.31659290771089277</v>
      </c>
      <c r="Z471">
        <f t="shared" si="39"/>
        <v>0.31659290771089277</v>
      </c>
    </row>
    <row r="472" spans="21:26" x14ac:dyDescent="0.3">
      <c r="U472" t="e">
        <f t="shared" si="35"/>
        <v>#N/A</v>
      </c>
      <c r="V472">
        <v>0.69</v>
      </c>
      <c r="W472">
        <f t="shared" si="36"/>
        <v>0.31443165702759734</v>
      </c>
      <c r="X472" t="e">
        <f t="shared" si="37"/>
        <v>#N/A</v>
      </c>
      <c r="Y472">
        <f t="shared" si="38"/>
        <v>0.31443165702759734</v>
      </c>
      <c r="Z472">
        <f t="shared" si="39"/>
        <v>0.31443165702759734</v>
      </c>
    </row>
    <row r="473" spans="21:26" x14ac:dyDescent="0.3">
      <c r="U473" t="e">
        <f t="shared" si="35"/>
        <v>#N/A</v>
      </c>
      <c r="V473">
        <v>0.7</v>
      </c>
      <c r="W473">
        <f t="shared" si="36"/>
        <v>0.31225393336676127</v>
      </c>
      <c r="X473" t="e">
        <f t="shared" si="37"/>
        <v>#N/A</v>
      </c>
      <c r="Y473">
        <f t="shared" si="38"/>
        <v>0.31225393336676127</v>
      </c>
      <c r="Z473">
        <f t="shared" si="39"/>
        <v>0.31225393336676127</v>
      </c>
    </row>
    <row r="474" spans="21:26" x14ac:dyDescent="0.3">
      <c r="U474" t="e">
        <f t="shared" si="35"/>
        <v>#N/A</v>
      </c>
      <c r="V474">
        <v>0.71</v>
      </c>
      <c r="W474">
        <f t="shared" si="36"/>
        <v>0.31006028483341613</v>
      </c>
      <c r="X474" t="e">
        <f t="shared" si="37"/>
        <v>#N/A</v>
      </c>
      <c r="Y474">
        <f t="shared" si="38"/>
        <v>0.31006028483341613</v>
      </c>
      <c r="Z474">
        <f t="shared" si="39"/>
        <v>0.31006028483341613</v>
      </c>
    </row>
    <row r="475" spans="21:26" x14ac:dyDescent="0.3">
      <c r="U475" t="e">
        <f t="shared" si="35"/>
        <v>#N/A</v>
      </c>
      <c r="V475">
        <v>0.72</v>
      </c>
      <c r="W475">
        <f t="shared" si="36"/>
        <v>0.30785126046985295</v>
      </c>
      <c r="X475" t="e">
        <f t="shared" si="37"/>
        <v>#N/A</v>
      </c>
      <c r="Y475">
        <f t="shared" si="38"/>
        <v>0.30785126046985295</v>
      </c>
      <c r="Z475">
        <f t="shared" si="39"/>
        <v>0.30785126046985295</v>
      </c>
    </row>
    <row r="476" spans="21:26" x14ac:dyDescent="0.3">
      <c r="U476" t="e">
        <f t="shared" si="35"/>
        <v>#N/A</v>
      </c>
      <c r="V476">
        <v>0.73</v>
      </c>
      <c r="W476">
        <f t="shared" si="36"/>
        <v>0.30562741003020988</v>
      </c>
      <c r="X476" t="e">
        <f t="shared" si="37"/>
        <v>#N/A</v>
      </c>
      <c r="Y476">
        <f t="shared" si="38"/>
        <v>0.30562741003020988</v>
      </c>
      <c r="Z476">
        <f t="shared" si="39"/>
        <v>0.30562741003020988</v>
      </c>
    </row>
    <row r="477" spans="21:26" x14ac:dyDescent="0.3">
      <c r="U477" t="e">
        <f t="shared" si="35"/>
        <v>#N/A</v>
      </c>
      <c r="V477">
        <v>0.74</v>
      </c>
      <c r="W477">
        <f t="shared" si="36"/>
        <v>0.30338928375630014</v>
      </c>
      <c r="X477" t="e">
        <f t="shared" si="37"/>
        <v>#N/A</v>
      </c>
      <c r="Y477">
        <f t="shared" si="38"/>
        <v>0.30338928375630014</v>
      </c>
      <c r="Z477">
        <f t="shared" si="39"/>
        <v>0.30338928375630014</v>
      </c>
    </row>
    <row r="478" spans="21:26" x14ac:dyDescent="0.3">
      <c r="U478" t="e">
        <f t="shared" si="35"/>
        <v>#N/A</v>
      </c>
      <c r="V478">
        <v>0.75</v>
      </c>
      <c r="W478">
        <f t="shared" si="36"/>
        <v>0.30113743215480443</v>
      </c>
      <c r="X478" t="e">
        <f t="shared" si="37"/>
        <v>#N/A</v>
      </c>
      <c r="Y478">
        <f t="shared" si="38"/>
        <v>0.30113743215480443</v>
      </c>
      <c r="Z478">
        <f t="shared" si="39"/>
        <v>0.30113743215480443</v>
      </c>
    </row>
    <row r="479" spans="21:26" x14ac:dyDescent="0.3">
      <c r="U479" t="e">
        <f t="shared" si="35"/>
        <v>#N/A</v>
      </c>
      <c r="V479">
        <v>0.76</v>
      </c>
      <c r="W479">
        <f t="shared" si="36"/>
        <v>0.29887240577595275</v>
      </c>
      <c r="X479" t="e">
        <f t="shared" si="37"/>
        <v>#N/A</v>
      </c>
      <c r="Y479">
        <f t="shared" si="38"/>
        <v>0.29887240577595275</v>
      </c>
      <c r="Z479">
        <f t="shared" si="39"/>
        <v>0.29887240577595275</v>
      </c>
    </row>
    <row r="480" spans="21:26" x14ac:dyDescent="0.3">
      <c r="U480" t="e">
        <f t="shared" si="35"/>
        <v>#N/A</v>
      </c>
      <c r="V480">
        <v>0.77</v>
      </c>
      <c r="W480">
        <f t="shared" si="36"/>
        <v>0.29659475499381571</v>
      </c>
      <c r="X480" t="e">
        <f t="shared" si="37"/>
        <v>#N/A</v>
      </c>
      <c r="Y480">
        <f t="shared" si="38"/>
        <v>0.29659475499381571</v>
      </c>
      <c r="Z480">
        <f t="shared" si="39"/>
        <v>0.29659475499381571</v>
      </c>
    </row>
    <row r="481" spans="21:26" x14ac:dyDescent="0.3">
      <c r="U481" t="e">
        <f t="shared" si="35"/>
        <v>#N/A</v>
      </c>
      <c r="V481">
        <v>0.78</v>
      </c>
      <c r="W481">
        <f t="shared" si="36"/>
        <v>0.29430502978832512</v>
      </c>
      <c r="X481" t="e">
        <f t="shared" si="37"/>
        <v>#N/A</v>
      </c>
      <c r="Y481">
        <f t="shared" si="38"/>
        <v>0.29430502978832512</v>
      </c>
      <c r="Z481">
        <f t="shared" si="39"/>
        <v>0.29430502978832512</v>
      </c>
    </row>
    <row r="482" spans="21:26" x14ac:dyDescent="0.3">
      <c r="U482" t="e">
        <f t="shared" si="35"/>
        <v>#N/A</v>
      </c>
      <c r="V482">
        <v>0.79</v>
      </c>
      <c r="W482">
        <f t="shared" si="36"/>
        <v>0.29200377952914142</v>
      </c>
      <c r="X482" t="e">
        <f t="shared" si="37"/>
        <v>#N/A</v>
      </c>
      <c r="Y482">
        <f t="shared" si="38"/>
        <v>0.29200377952914142</v>
      </c>
      <c r="Z482">
        <f t="shared" si="39"/>
        <v>0.29200377952914142</v>
      </c>
    </row>
    <row r="483" spans="21:26" x14ac:dyDescent="0.3">
      <c r="U483" t="e">
        <f t="shared" si="35"/>
        <v>#N/A</v>
      </c>
      <c r="V483">
        <v>0.8</v>
      </c>
      <c r="W483">
        <f t="shared" si="36"/>
        <v>0.28969155276148273</v>
      </c>
      <c r="X483" t="e">
        <f t="shared" si="37"/>
        <v>#N/A</v>
      </c>
      <c r="Y483">
        <f t="shared" si="38"/>
        <v>0.28969155276148273</v>
      </c>
      <c r="Z483">
        <f t="shared" si="39"/>
        <v>0.28969155276148273</v>
      </c>
    </row>
    <row r="484" spans="21:26" x14ac:dyDescent="0.3">
      <c r="U484" t="e">
        <f t="shared" si="35"/>
        <v>#N/A</v>
      </c>
      <c r="V484">
        <v>0.81</v>
      </c>
      <c r="W484">
        <f t="shared" si="36"/>
        <v>0.28736889699402829</v>
      </c>
      <c r="X484" t="e">
        <f t="shared" si="37"/>
        <v>#N/A</v>
      </c>
      <c r="Y484">
        <f t="shared" si="38"/>
        <v>0.28736889699402829</v>
      </c>
      <c r="Z484">
        <f t="shared" si="39"/>
        <v>0.28736889699402829</v>
      </c>
    </row>
    <row r="485" spans="21:26" x14ac:dyDescent="0.3">
      <c r="U485" t="e">
        <f t="shared" si="35"/>
        <v>#N/A</v>
      </c>
      <c r="V485">
        <v>0.82</v>
      </c>
      <c r="W485">
        <f t="shared" si="36"/>
        <v>0.28503635848900727</v>
      </c>
      <c r="X485" t="e">
        <f t="shared" si="37"/>
        <v>#N/A</v>
      </c>
      <c r="Y485">
        <f t="shared" si="38"/>
        <v>0.28503635848900727</v>
      </c>
      <c r="Z485">
        <f t="shared" si="39"/>
        <v>0.28503635848900727</v>
      </c>
    </row>
    <row r="486" spans="21:26" x14ac:dyDescent="0.3">
      <c r="U486" t="e">
        <f t="shared" si="35"/>
        <v>#N/A</v>
      </c>
      <c r="V486">
        <v>0.83</v>
      </c>
      <c r="W486">
        <f t="shared" si="36"/>
        <v>0.28269448205458025</v>
      </c>
      <c r="X486" t="e">
        <f t="shared" si="37"/>
        <v>#N/A</v>
      </c>
      <c r="Y486">
        <f t="shared" si="38"/>
        <v>0.28269448205458025</v>
      </c>
      <c r="Z486">
        <f t="shared" si="39"/>
        <v>0.28269448205458025</v>
      </c>
    </row>
    <row r="487" spans="21:26" x14ac:dyDescent="0.3">
      <c r="U487" t="e">
        <f t="shared" si="35"/>
        <v>#N/A</v>
      </c>
      <c r="V487">
        <v>0.84</v>
      </c>
      <c r="W487">
        <f t="shared" si="36"/>
        <v>0.28034381083962062</v>
      </c>
      <c r="X487" t="e">
        <f t="shared" si="37"/>
        <v>#N/A</v>
      </c>
      <c r="Y487">
        <f t="shared" si="38"/>
        <v>0.28034381083962062</v>
      </c>
      <c r="Z487">
        <f t="shared" si="39"/>
        <v>0.28034381083962062</v>
      </c>
    </row>
    <row r="488" spans="21:26" x14ac:dyDescent="0.3">
      <c r="U488" t="e">
        <f t="shared" si="35"/>
        <v>#N/A</v>
      </c>
      <c r="V488">
        <v>0.85</v>
      </c>
      <c r="W488">
        <f t="shared" si="36"/>
        <v>0.27798488613099648</v>
      </c>
      <c r="X488" t="e">
        <f t="shared" si="37"/>
        <v>#N/A</v>
      </c>
      <c r="Y488">
        <f t="shared" si="38"/>
        <v>0.27798488613099648</v>
      </c>
      <c r="Z488">
        <f t="shared" si="39"/>
        <v>0.27798488613099648</v>
      </c>
    </row>
    <row r="489" spans="21:26" x14ac:dyDescent="0.3">
      <c r="U489" t="e">
        <f t="shared" si="35"/>
        <v>#N/A</v>
      </c>
      <c r="V489">
        <v>0.86</v>
      </c>
      <c r="W489">
        <f t="shared" si="36"/>
        <v>0.27561824715345667</v>
      </c>
      <c r="X489" t="e">
        <f t="shared" si="37"/>
        <v>#N/A</v>
      </c>
      <c r="Y489">
        <f t="shared" si="38"/>
        <v>0.27561824715345667</v>
      </c>
      <c r="Z489">
        <f t="shared" si="39"/>
        <v>0.27561824715345667</v>
      </c>
    </row>
    <row r="490" spans="21:26" x14ac:dyDescent="0.3">
      <c r="U490" t="e">
        <f t="shared" si="35"/>
        <v>#N/A</v>
      </c>
      <c r="V490">
        <v>0.87</v>
      </c>
      <c r="W490">
        <f t="shared" si="36"/>
        <v>0.27324443087221623</v>
      </c>
      <c r="X490" t="e">
        <f t="shared" si="37"/>
        <v>#N/A</v>
      </c>
      <c r="Y490">
        <f t="shared" si="38"/>
        <v>0.27324443087221623</v>
      </c>
      <c r="Z490">
        <f t="shared" si="39"/>
        <v>0.27324443087221623</v>
      </c>
    </row>
    <row r="491" spans="21:26" x14ac:dyDescent="0.3">
      <c r="U491" t="e">
        <f t="shared" si="35"/>
        <v>#N/A</v>
      </c>
      <c r="V491">
        <v>0.88</v>
      </c>
      <c r="W491">
        <f t="shared" si="36"/>
        <v>0.27086397179833799</v>
      </c>
      <c r="X491" t="e">
        <f t="shared" si="37"/>
        <v>#N/A</v>
      </c>
      <c r="Y491">
        <f t="shared" si="38"/>
        <v>0.27086397179833799</v>
      </c>
      <c r="Z491">
        <f t="shared" si="39"/>
        <v>0.27086397179833799</v>
      </c>
    </row>
    <row r="492" spans="21:26" x14ac:dyDescent="0.3">
      <c r="U492" t="e">
        <f t="shared" si="35"/>
        <v>#N/A</v>
      </c>
      <c r="V492">
        <v>0.89</v>
      </c>
      <c r="W492">
        <f t="shared" si="36"/>
        <v>0.26847740179700241</v>
      </c>
      <c r="X492" t="e">
        <f t="shared" si="37"/>
        <v>#N/A</v>
      </c>
      <c r="Y492">
        <f t="shared" si="38"/>
        <v>0.26847740179700241</v>
      </c>
      <c r="Z492">
        <f t="shared" si="39"/>
        <v>0.26847740179700241</v>
      </c>
    </row>
    <row r="493" spans="21:26" x14ac:dyDescent="0.3">
      <c r="U493" t="e">
        <f t="shared" si="35"/>
        <v>#N/A</v>
      </c>
      <c r="V493">
        <v>0.9</v>
      </c>
      <c r="W493">
        <f t="shared" si="36"/>
        <v>0.26608524989875482</v>
      </c>
      <c r="X493" t="e">
        <f t="shared" si="37"/>
        <v>#N/A</v>
      </c>
      <c r="Y493">
        <f t="shared" si="38"/>
        <v>0.26608524989875482</v>
      </c>
      <c r="Z493">
        <f t="shared" si="39"/>
        <v>0.26608524989875482</v>
      </c>
    </row>
    <row r="494" spans="21:26" x14ac:dyDescent="0.3">
      <c r="U494" t="e">
        <f t="shared" si="35"/>
        <v>#N/A</v>
      </c>
      <c r="V494">
        <v>0.91</v>
      </c>
      <c r="W494">
        <f t="shared" si="36"/>
        <v>0.26368804211381813</v>
      </c>
      <c r="X494" t="e">
        <f t="shared" si="37"/>
        <v>#N/A</v>
      </c>
      <c r="Y494">
        <f t="shared" si="38"/>
        <v>0.26368804211381813</v>
      </c>
      <c r="Z494">
        <f t="shared" si="39"/>
        <v>0.26368804211381813</v>
      </c>
    </row>
    <row r="495" spans="21:26" x14ac:dyDescent="0.3">
      <c r="U495" t="e">
        <f t="shared" si="35"/>
        <v>#N/A</v>
      </c>
      <c r="V495">
        <v>0.92</v>
      </c>
      <c r="W495">
        <f t="shared" si="36"/>
        <v>0.26128630124955315</v>
      </c>
      <c r="X495" t="e">
        <f t="shared" si="37"/>
        <v>#N/A</v>
      </c>
      <c r="Y495">
        <f t="shared" si="38"/>
        <v>0.26128630124955315</v>
      </c>
      <c r="Z495">
        <f t="shared" si="39"/>
        <v>0.26128630124955315</v>
      </c>
    </row>
    <row r="496" spans="21:26" x14ac:dyDescent="0.3">
      <c r="U496" t="e">
        <f t="shared" si="35"/>
        <v>#N/A</v>
      </c>
      <c r="V496">
        <v>0.93</v>
      </c>
      <c r="W496">
        <f t="shared" si="36"/>
        <v>0.2588805467311488</v>
      </c>
      <c r="X496" t="e">
        <f t="shared" si="37"/>
        <v>#N/A</v>
      </c>
      <c r="Y496">
        <f t="shared" si="38"/>
        <v>0.2588805467311488</v>
      </c>
      <c r="Z496">
        <f t="shared" si="39"/>
        <v>0.2588805467311488</v>
      </c>
    </row>
    <row r="497" spans="21:26" x14ac:dyDescent="0.3">
      <c r="U497" t="e">
        <f t="shared" si="35"/>
        <v>#N/A</v>
      </c>
      <c r="V497">
        <v>0.94</v>
      </c>
      <c r="W497">
        <f t="shared" si="36"/>
        <v>0.25647129442562033</v>
      </c>
      <c r="X497" t="e">
        <f t="shared" si="37"/>
        <v>#N/A</v>
      </c>
      <c r="Y497">
        <f t="shared" si="38"/>
        <v>0.25647129442562033</v>
      </c>
      <c r="Z497">
        <f t="shared" si="39"/>
        <v>0.25647129442562033</v>
      </c>
    </row>
    <row r="498" spans="21:26" x14ac:dyDescent="0.3">
      <c r="U498" t="e">
        <f t="shared" si="35"/>
        <v>#N/A</v>
      </c>
      <c r="V498">
        <v>0.95</v>
      </c>
      <c r="W498">
        <f t="shared" si="36"/>
        <v>0.25405905646918903</v>
      </c>
      <c r="X498" t="e">
        <f t="shared" si="37"/>
        <v>#N/A</v>
      </c>
      <c r="Y498">
        <f t="shared" si="38"/>
        <v>0.25405905646918903</v>
      </c>
      <c r="Z498">
        <f t="shared" si="39"/>
        <v>0.25405905646918903</v>
      </c>
    </row>
    <row r="499" spans="21:26" x14ac:dyDescent="0.3">
      <c r="U499" t="e">
        <f t="shared" si="35"/>
        <v>#N/A</v>
      </c>
      <c r="V499">
        <v>0.96</v>
      </c>
      <c r="W499">
        <f t="shared" si="36"/>
        <v>0.25164434109811712</v>
      </c>
      <c r="X499" t="e">
        <f t="shared" si="37"/>
        <v>#N/A</v>
      </c>
      <c r="Y499">
        <f t="shared" si="38"/>
        <v>0.25164434109811712</v>
      </c>
      <c r="Z499">
        <f t="shared" si="39"/>
        <v>0.25164434109811712</v>
      </c>
    </row>
    <row r="500" spans="21:26" x14ac:dyDescent="0.3">
      <c r="U500" t="e">
        <f t="shared" si="35"/>
        <v>#N/A</v>
      </c>
      <c r="V500">
        <v>0.97</v>
      </c>
      <c r="W500">
        <f t="shared" si="36"/>
        <v>0.24922765248306594</v>
      </c>
      <c r="X500" t="e">
        <f t="shared" si="37"/>
        <v>#N/A</v>
      </c>
      <c r="Y500">
        <f t="shared" si="38"/>
        <v>0.24922765248306594</v>
      </c>
      <c r="Z500">
        <f t="shared" si="39"/>
        <v>0.24922765248306594</v>
      </c>
    </row>
    <row r="501" spans="21:26" x14ac:dyDescent="0.3">
      <c r="U501" t="e">
        <f t="shared" si="35"/>
        <v>#N/A</v>
      </c>
      <c r="V501">
        <v>0.98</v>
      </c>
      <c r="W501">
        <f t="shared" si="36"/>
        <v>0.24680949056704274</v>
      </c>
      <c r="X501" t="e">
        <f t="shared" si="37"/>
        <v>#N/A</v>
      </c>
      <c r="Y501">
        <f t="shared" si="38"/>
        <v>0.24680949056704274</v>
      </c>
      <c r="Z501">
        <f t="shared" si="39"/>
        <v>0.24680949056704274</v>
      </c>
    </row>
    <row r="502" spans="21:26" x14ac:dyDescent="0.3">
      <c r="U502" t="e">
        <f t="shared" si="35"/>
        <v>#N/A</v>
      </c>
      <c r="V502">
        <v>0.99</v>
      </c>
      <c r="W502">
        <f t="shared" si="36"/>
        <v>0.24439035090699956</v>
      </c>
      <c r="X502" t="e">
        <f t="shared" si="37"/>
        <v>#N/A</v>
      </c>
      <c r="Y502">
        <f t="shared" si="38"/>
        <v>0.24439035090699956</v>
      </c>
      <c r="Z502">
        <f t="shared" si="39"/>
        <v>0.24439035090699956</v>
      </c>
    </row>
    <row r="503" spans="21:26" x14ac:dyDescent="0.3">
      <c r="U503" t="e">
        <f t="shared" si="35"/>
        <v>#N/A</v>
      </c>
      <c r="V503">
        <v>1</v>
      </c>
      <c r="W503">
        <f t="shared" si="36"/>
        <v>0.24197072451914337</v>
      </c>
      <c r="X503" t="e">
        <f t="shared" si="37"/>
        <v>#N/A</v>
      </c>
      <c r="Y503">
        <f t="shared" si="38"/>
        <v>0.24197072451914337</v>
      </c>
      <c r="Z503">
        <f t="shared" si="39"/>
        <v>0.24197072451914337</v>
      </c>
    </row>
    <row r="504" spans="21:26" x14ac:dyDescent="0.3">
      <c r="U504" t="e">
        <f t="shared" si="35"/>
        <v>#N/A</v>
      </c>
      <c r="V504">
        <v>1.01</v>
      </c>
      <c r="W504">
        <f t="shared" si="36"/>
        <v>0.23955109772801336</v>
      </c>
      <c r="X504" t="e">
        <f t="shared" si="37"/>
        <v>#N/A</v>
      </c>
      <c r="Y504">
        <f t="shared" si="38"/>
        <v>0.23955109772801336</v>
      </c>
      <c r="Z504">
        <f t="shared" si="39"/>
        <v>0.23955109772801336</v>
      </c>
    </row>
    <row r="505" spans="21:26" x14ac:dyDescent="0.3">
      <c r="U505" t="e">
        <f t="shared" si="35"/>
        <v>#N/A</v>
      </c>
      <c r="V505">
        <v>1.02</v>
      </c>
      <c r="W505">
        <f t="shared" si="36"/>
        <v>0.23713195201937959</v>
      </c>
      <c r="X505" t="e">
        <f t="shared" si="37"/>
        <v>#N/A</v>
      </c>
      <c r="Y505">
        <f t="shared" si="38"/>
        <v>0.23713195201937959</v>
      </c>
      <c r="Z505">
        <f t="shared" si="39"/>
        <v>0.23713195201937959</v>
      </c>
    </row>
    <row r="506" spans="21:26" x14ac:dyDescent="0.3">
      <c r="U506" t="e">
        <f t="shared" si="35"/>
        <v>#N/A</v>
      </c>
      <c r="V506">
        <v>1.03</v>
      </c>
      <c r="W506">
        <f t="shared" si="36"/>
        <v>0.23471376389701182</v>
      </c>
      <c r="X506" t="e">
        <f t="shared" si="37"/>
        <v>#N/A</v>
      </c>
      <c r="Y506">
        <f t="shared" si="38"/>
        <v>0.23471376389701182</v>
      </c>
      <c r="Z506">
        <f t="shared" si="39"/>
        <v>0.23471376389701182</v>
      </c>
    </row>
    <row r="507" spans="21:26" x14ac:dyDescent="0.3">
      <c r="U507" t="e">
        <f t="shared" si="35"/>
        <v>#N/A</v>
      </c>
      <c r="V507">
        <v>1.04</v>
      </c>
      <c r="W507">
        <f t="shared" si="36"/>
        <v>0.2322970047433662</v>
      </c>
      <c r="X507" t="e">
        <f t="shared" si="37"/>
        <v>#N/A</v>
      </c>
      <c r="Y507">
        <f t="shared" si="38"/>
        <v>0.2322970047433662</v>
      </c>
      <c r="Z507">
        <f t="shared" si="39"/>
        <v>0.2322970047433662</v>
      </c>
    </row>
    <row r="508" spans="21:26" x14ac:dyDescent="0.3">
      <c r="U508" t="e">
        <f t="shared" si="35"/>
        <v>#N/A</v>
      </c>
      <c r="V508">
        <v>1.05</v>
      </c>
      <c r="W508">
        <f t="shared" si="36"/>
        <v>0.22988214068423302</v>
      </c>
      <c r="X508" t="e">
        <f t="shared" si="37"/>
        <v>#N/A</v>
      </c>
      <c r="Y508">
        <f t="shared" si="38"/>
        <v>0.22988214068423302</v>
      </c>
      <c r="Z508">
        <f t="shared" si="39"/>
        <v>0.22988214068423302</v>
      </c>
    </row>
    <row r="509" spans="21:26" x14ac:dyDescent="0.3">
      <c r="U509" t="e">
        <f t="shared" si="35"/>
        <v>#N/A</v>
      </c>
      <c r="V509">
        <v>1.06</v>
      </c>
      <c r="W509">
        <f t="shared" si="36"/>
        <v>0.22746963245738591</v>
      </c>
      <c r="X509" t="e">
        <f t="shared" si="37"/>
        <v>#N/A</v>
      </c>
      <c r="Y509">
        <f t="shared" si="38"/>
        <v>0.22746963245738591</v>
      </c>
      <c r="Z509">
        <f t="shared" si="39"/>
        <v>0.22746963245738591</v>
      </c>
    </row>
    <row r="510" spans="21:26" x14ac:dyDescent="0.3">
      <c r="U510" t="e">
        <f t="shared" si="35"/>
        <v>#N/A</v>
      </c>
      <c r="V510">
        <v>1.07</v>
      </c>
      <c r="W510">
        <f t="shared" si="36"/>
        <v>0.22505993528526966</v>
      </c>
      <c r="X510" t="e">
        <f t="shared" si="37"/>
        <v>#N/A</v>
      </c>
      <c r="Y510">
        <f t="shared" si="38"/>
        <v>0.22505993528526966</v>
      </c>
      <c r="Z510">
        <f t="shared" si="39"/>
        <v>0.22505993528526966</v>
      </c>
    </row>
    <row r="511" spans="21:26" x14ac:dyDescent="0.3">
      <c r="U511" t="e">
        <f t="shared" si="35"/>
        <v>#N/A</v>
      </c>
      <c r="V511">
        <v>1.08</v>
      </c>
      <c r="W511">
        <f t="shared" si="36"/>
        <v>0.22265349875176113</v>
      </c>
      <c r="X511" t="e">
        <f t="shared" si="37"/>
        <v>#N/A</v>
      </c>
      <c r="Y511">
        <f t="shared" si="38"/>
        <v>0.22265349875176113</v>
      </c>
      <c r="Z511">
        <f t="shared" si="39"/>
        <v>0.22265349875176113</v>
      </c>
    </row>
    <row r="512" spans="21:26" x14ac:dyDescent="0.3">
      <c r="U512" t="e">
        <f t="shared" si="35"/>
        <v>#N/A</v>
      </c>
      <c r="V512">
        <v>1.0900000000000001</v>
      </c>
      <c r="W512">
        <f t="shared" si="36"/>
        <v>0.22025076668303326</v>
      </c>
      <c r="X512" t="e">
        <f t="shared" si="37"/>
        <v>#N/A</v>
      </c>
      <c r="Y512">
        <f t="shared" si="38"/>
        <v>0.22025076668303326</v>
      </c>
      <c r="Z512">
        <f t="shared" si="39"/>
        <v>0.22025076668303326</v>
      </c>
    </row>
    <row r="513" spans="21:26" x14ac:dyDescent="0.3">
      <c r="U513" t="e">
        <f t="shared" si="35"/>
        <v>#N/A</v>
      </c>
      <c r="V513">
        <v>1.1000000000000001</v>
      </c>
      <c r="W513">
        <f t="shared" si="36"/>
        <v>0.21785217703255053</v>
      </c>
      <c r="X513" t="e">
        <f t="shared" si="37"/>
        <v>#N/A</v>
      </c>
      <c r="Y513">
        <f t="shared" si="38"/>
        <v>0.21785217703255053</v>
      </c>
      <c r="Z513">
        <f t="shared" si="39"/>
        <v>0.21785217703255053</v>
      </c>
    </row>
    <row r="514" spans="21:26" x14ac:dyDescent="0.3">
      <c r="U514" t="e">
        <f t="shared" si="35"/>
        <v>#N/A</v>
      </c>
      <c r="V514">
        <v>1.1100000000000001</v>
      </c>
      <c r="W514">
        <f t="shared" si="36"/>
        <v>0.21545816177021967</v>
      </c>
      <c r="X514" t="e">
        <f t="shared" si="37"/>
        <v>#N/A</v>
      </c>
      <c r="Y514">
        <f t="shared" si="38"/>
        <v>0.21545816177021967</v>
      </c>
      <c r="Z514">
        <f t="shared" si="39"/>
        <v>0.21545816177021967</v>
      </c>
    </row>
    <row r="515" spans="21:26" x14ac:dyDescent="0.3">
      <c r="U515" t="e">
        <f t="shared" si="35"/>
        <v>#N/A</v>
      </c>
      <c r="V515">
        <v>1.1200000000000001</v>
      </c>
      <c r="W515">
        <f t="shared" si="36"/>
        <v>0.21306914677571784</v>
      </c>
      <c r="X515" t="e">
        <f t="shared" si="37"/>
        <v>#N/A</v>
      </c>
      <c r="Y515">
        <f t="shared" si="38"/>
        <v>0.21306914677571784</v>
      </c>
      <c r="Z515">
        <f t="shared" si="39"/>
        <v>0.21306914677571784</v>
      </c>
    </row>
    <row r="516" spans="21:26" x14ac:dyDescent="0.3">
      <c r="U516" t="e">
        <f t="shared" ref="U516:U579" si="40">IF($A$2=ABS(V516),0,NA())</f>
        <v>#N/A</v>
      </c>
      <c r="V516">
        <v>1.1299999999999999</v>
      </c>
      <c r="W516">
        <f t="shared" ref="W516:W579" si="41">_xlfn.NORM.S.DIST(V516,0)</f>
        <v>0.21068555173601533</v>
      </c>
      <c r="X516" t="e">
        <f t="shared" ref="X516:X579" si="42">IF(ABS(V516)=$A$2,W516,NA())</f>
        <v>#N/A</v>
      </c>
      <c r="Y516">
        <f t="shared" ref="Y516:Y579" si="43">IF(V516&lt;=$A$2,W516,NA())</f>
        <v>0.21068555173601533</v>
      </c>
      <c r="Z516">
        <f t="shared" ref="Z516:Z579" si="44">IF(ABS(V516)&lt;=$A$2,W516,NA())</f>
        <v>0.21068555173601533</v>
      </c>
    </row>
    <row r="517" spans="21:26" x14ac:dyDescent="0.3">
      <c r="U517" t="e">
        <f t="shared" si="40"/>
        <v>#N/A</v>
      </c>
      <c r="V517">
        <v>1.1399999999999999</v>
      </c>
      <c r="W517">
        <f t="shared" si="41"/>
        <v>0.20830779004710837</v>
      </c>
      <c r="X517" t="e">
        <f t="shared" si="42"/>
        <v>#N/A</v>
      </c>
      <c r="Y517">
        <f t="shared" si="43"/>
        <v>0.20830779004710837</v>
      </c>
      <c r="Z517">
        <f t="shared" si="44"/>
        <v>0.20830779004710837</v>
      </c>
    </row>
    <row r="518" spans="21:26" x14ac:dyDescent="0.3">
      <c r="U518" t="e">
        <f t="shared" si="40"/>
        <v>#N/A</v>
      </c>
      <c r="V518">
        <v>1.1499999999999999</v>
      </c>
      <c r="W518">
        <f t="shared" si="41"/>
        <v>0.20593626871997478</v>
      </c>
      <c r="X518" t="e">
        <f t="shared" si="42"/>
        <v>#N/A</v>
      </c>
      <c r="Y518">
        <f t="shared" si="43"/>
        <v>0.20593626871997478</v>
      </c>
      <c r="Z518">
        <f t="shared" si="44"/>
        <v>0.20593626871997478</v>
      </c>
    </row>
    <row r="519" spans="21:26" x14ac:dyDescent="0.3">
      <c r="U519" t="e">
        <f t="shared" si="40"/>
        <v>#N/A</v>
      </c>
      <c r="V519">
        <v>1.1599999999999999</v>
      </c>
      <c r="W519">
        <f t="shared" si="41"/>
        <v>0.20357138829075944</v>
      </c>
      <c r="X519" t="e">
        <f t="shared" si="42"/>
        <v>#N/A</v>
      </c>
      <c r="Y519">
        <f t="shared" si="43"/>
        <v>0.20357138829075944</v>
      </c>
      <c r="Z519">
        <f t="shared" si="44"/>
        <v>0.20357138829075944</v>
      </c>
    </row>
    <row r="520" spans="21:26" x14ac:dyDescent="0.3">
      <c r="U520" t="e">
        <f t="shared" si="40"/>
        <v>#N/A</v>
      </c>
      <c r="V520">
        <v>1.17</v>
      </c>
      <c r="W520">
        <f t="shared" si="41"/>
        <v>0.2012135427351974</v>
      </c>
      <c r="X520" t="e">
        <f t="shared" si="42"/>
        <v>#N/A</v>
      </c>
      <c r="Y520">
        <f t="shared" si="43"/>
        <v>0.2012135427351974</v>
      </c>
      <c r="Z520">
        <f t="shared" si="44"/>
        <v>0.2012135427351974</v>
      </c>
    </row>
    <row r="521" spans="21:26" x14ac:dyDescent="0.3">
      <c r="U521" t="e">
        <f t="shared" si="40"/>
        <v>#N/A</v>
      </c>
      <c r="V521">
        <v>1.18</v>
      </c>
      <c r="W521">
        <f t="shared" si="41"/>
        <v>0.19886311938727591</v>
      </c>
      <c r="X521" t="e">
        <f t="shared" si="42"/>
        <v>#N/A</v>
      </c>
      <c r="Y521">
        <f t="shared" si="43"/>
        <v>0.19886311938727591</v>
      </c>
      <c r="Z521">
        <f t="shared" si="44"/>
        <v>0.19886311938727591</v>
      </c>
    </row>
    <row r="522" spans="21:26" x14ac:dyDescent="0.3">
      <c r="U522" t="e">
        <f t="shared" si="40"/>
        <v>#N/A</v>
      </c>
      <c r="V522">
        <v>1.19</v>
      </c>
      <c r="W522">
        <f t="shared" si="41"/>
        <v>0.19652049886213654</v>
      </c>
      <c r="X522" t="e">
        <f t="shared" si="42"/>
        <v>#N/A</v>
      </c>
      <c r="Y522">
        <f t="shared" si="43"/>
        <v>0.19652049886213654</v>
      </c>
      <c r="Z522">
        <f t="shared" si="44"/>
        <v>0.19652049886213654</v>
      </c>
    </row>
    <row r="523" spans="21:26" x14ac:dyDescent="0.3">
      <c r="U523" t="e">
        <f t="shared" si="40"/>
        <v>#N/A</v>
      </c>
      <c r="V523">
        <v>1.2</v>
      </c>
      <c r="W523">
        <f t="shared" si="41"/>
        <v>0.19418605498321295</v>
      </c>
      <c r="X523" t="e">
        <f t="shared" si="42"/>
        <v>#N/A</v>
      </c>
      <c r="Y523">
        <f t="shared" si="43"/>
        <v>0.19418605498321295</v>
      </c>
      <c r="Z523">
        <f t="shared" si="44"/>
        <v>0.19418605498321295</v>
      </c>
    </row>
    <row r="524" spans="21:26" x14ac:dyDescent="0.3">
      <c r="U524" t="e">
        <f t="shared" si="40"/>
        <v>#N/A</v>
      </c>
      <c r="V524">
        <v>1.21</v>
      </c>
      <c r="W524">
        <f t="shared" si="41"/>
        <v>0.19186015471359938</v>
      </c>
      <c r="X524" t="e">
        <f t="shared" si="42"/>
        <v>#N/A</v>
      </c>
      <c r="Y524">
        <f t="shared" si="43"/>
        <v>0.19186015471359938</v>
      </c>
      <c r="Z524">
        <f t="shared" si="44"/>
        <v>0.19186015471359938</v>
      </c>
    </row>
    <row r="525" spans="21:26" x14ac:dyDescent="0.3">
      <c r="U525" t="e">
        <f t="shared" si="40"/>
        <v>#N/A</v>
      </c>
      <c r="V525">
        <v>1.22</v>
      </c>
      <c r="W525">
        <f t="shared" si="41"/>
        <v>0.18954315809164024</v>
      </c>
      <c r="X525" t="e">
        <f t="shared" si="42"/>
        <v>#N/A</v>
      </c>
      <c r="Y525">
        <f t="shared" si="43"/>
        <v>0.18954315809164024</v>
      </c>
      <c r="Z525">
        <f t="shared" si="44"/>
        <v>0.18954315809164024</v>
      </c>
    </row>
    <row r="526" spans="21:26" x14ac:dyDescent="0.3">
      <c r="U526" t="e">
        <f t="shared" si="40"/>
        <v>#N/A</v>
      </c>
      <c r="V526">
        <v>1.23</v>
      </c>
      <c r="W526">
        <f t="shared" si="41"/>
        <v>0.18723541817072956</v>
      </c>
      <c r="X526" t="e">
        <f t="shared" si="42"/>
        <v>#N/A</v>
      </c>
      <c r="Y526">
        <f t="shared" si="43"/>
        <v>0.18723541817072956</v>
      </c>
      <c r="Z526">
        <f t="shared" si="44"/>
        <v>0.18723541817072956</v>
      </c>
    </row>
    <row r="527" spans="21:26" x14ac:dyDescent="0.3">
      <c r="U527" t="e">
        <f t="shared" si="40"/>
        <v>#N/A</v>
      </c>
      <c r="V527">
        <v>1.24</v>
      </c>
      <c r="W527">
        <f t="shared" si="41"/>
        <v>0.18493728096330531</v>
      </c>
      <c r="X527" t="e">
        <f t="shared" si="42"/>
        <v>#N/A</v>
      </c>
      <c r="Y527">
        <f t="shared" si="43"/>
        <v>0.18493728096330531</v>
      </c>
      <c r="Z527">
        <f t="shared" si="44"/>
        <v>0.18493728096330531</v>
      </c>
    </row>
    <row r="528" spans="21:26" x14ac:dyDescent="0.3">
      <c r="U528" t="e">
        <f t="shared" si="40"/>
        <v>#N/A</v>
      </c>
      <c r="V528">
        <v>1.25</v>
      </c>
      <c r="W528">
        <f t="shared" si="41"/>
        <v>0.18264908538902191</v>
      </c>
      <c r="X528" t="e">
        <f t="shared" si="42"/>
        <v>#N/A</v>
      </c>
      <c r="Y528">
        <f t="shared" si="43"/>
        <v>0.18264908538902191</v>
      </c>
      <c r="Z528">
        <f t="shared" si="44"/>
        <v>0.18264908538902191</v>
      </c>
    </row>
    <row r="529" spans="21:26" x14ac:dyDescent="0.3">
      <c r="U529" t="e">
        <f t="shared" si="40"/>
        <v>#N/A</v>
      </c>
      <c r="V529">
        <v>1.26</v>
      </c>
      <c r="W529">
        <f t="shared" si="41"/>
        <v>0.18037116322708033</v>
      </c>
      <c r="X529" t="e">
        <f t="shared" si="42"/>
        <v>#N/A</v>
      </c>
      <c r="Y529">
        <f t="shared" si="43"/>
        <v>0.18037116322708033</v>
      </c>
      <c r="Z529">
        <f t="shared" si="44"/>
        <v>0.18037116322708033</v>
      </c>
    </row>
    <row r="530" spans="21:26" x14ac:dyDescent="0.3">
      <c r="U530" t="e">
        <f t="shared" si="40"/>
        <v>#N/A</v>
      </c>
      <c r="V530">
        <v>1.27</v>
      </c>
      <c r="W530">
        <f t="shared" si="41"/>
        <v>0.17810383907269359</v>
      </c>
      <c r="X530" t="e">
        <f t="shared" si="42"/>
        <v>#N/A</v>
      </c>
      <c r="Y530">
        <f t="shared" si="43"/>
        <v>0.17810383907269359</v>
      </c>
      <c r="Z530">
        <f t="shared" si="44"/>
        <v>0.17810383907269359</v>
      </c>
    </row>
    <row r="531" spans="21:26" x14ac:dyDescent="0.3">
      <c r="U531" t="e">
        <f t="shared" si="40"/>
        <v>#N/A</v>
      </c>
      <c r="V531">
        <v>1.28</v>
      </c>
      <c r="W531">
        <f t="shared" si="41"/>
        <v>0.17584743029766237</v>
      </c>
      <c r="X531" t="e">
        <f t="shared" si="42"/>
        <v>#N/A</v>
      </c>
      <c r="Y531">
        <f t="shared" si="43"/>
        <v>0.17584743029766237</v>
      </c>
      <c r="Z531">
        <f t="shared" si="44"/>
        <v>0.17584743029766237</v>
      </c>
    </row>
    <row r="532" spans="21:26" x14ac:dyDescent="0.3">
      <c r="U532" t="e">
        <f t="shared" si="40"/>
        <v>#N/A</v>
      </c>
      <c r="V532">
        <v>1.29</v>
      </c>
      <c r="W532">
        <f t="shared" si="41"/>
        <v>0.17360224701503299</v>
      </c>
      <c r="X532" t="e">
        <f t="shared" si="42"/>
        <v>#N/A</v>
      </c>
      <c r="Y532">
        <f t="shared" si="43"/>
        <v>0.17360224701503299</v>
      </c>
      <c r="Z532">
        <f t="shared" si="44"/>
        <v>0.17360224701503299</v>
      </c>
    </row>
    <row r="533" spans="21:26" x14ac:dyDescent="0.3">
      <c r="U533" t="e">
        <f t="shared" si="40"/>
        <v>#N/A</v>
      </c>
      <c r="V533">
        <v>1.3</v>
      </c>
      <c r="W533">
        <f t="shared" si="41"/>
        <v>0.17136859204780736</v>
      </c>
      <c r="X533" t="e">
        <f t="shared" si="42"/>
        <v>#N/A</v>
      </c>
      <c r="Y533">
        <f t="shared" si="43"/>
        <v>0.17136859204780736</v>
      </c>
      <c r="Z533">
        <f t="shared" si="44"/>
        <v>0.17136859204780736</v>
      </c>
    </row>
    <row r="534" spans="21:26" x14ac:dyDescent="0.3">
      <c r="U534" t="e">
        <f t="shared" si="40"/>
        <v>#N/A</v>
      </c>
      <c r="V534">
        <v>1.31</v>
      </c>
      <c r="W534">
        <f t="shared" si="41"/>
        <v>0.16914676090167238</v>
      </c>
      <c r="X534" t="e">
        <f t="shared" si="42"/>
        <v>#N/A</v>
      </c>
      <c r="Y534">
        <f t="shared" si="43"/>
        <v>0.16914676090167238</v>
      </c>
      <c r="Z534">
        <f t="shared" si="44"/>
        <v>0.16914676090167238</v>
      </c>
    </row>
    <row r="535" spans="21:26" x14ac:dyDescent="0.3">
      <c r="U535" t="e">
        <f t="shared" si="40"/>
        <v>#N/A</v>
      </c>
      <c r="V535">
        <v>1.32</v>
      </c>
      <c r="W535">
        <f t="shared" si="41"/>
        <v>0.16693704174171381</v>
      </c>
      <c r="X535" t="e">
        <f t="shared" si="42"/>
        <v>#N/A</v>
      </c>
      <c r="Y535">
        <f t="shared" si="43"/>
        <v>0.16693704174171381</v>
      </c>
      <c r="Z535">
        <f t="shared" si="44"/>
        <v>0.16693704174171381</v>
      </c>
    </row>
    <row r="536" spans="21:26" x14ac:dyDescent="0.3">
      <c r="U536" t="e">
        <f t="shared" si="40"/>
        <v>#N/A</v>
      </c>
      <c r="V536">
        <v>1.33</v>
      </c>
      <c r="W536">
        <f t="shared" si="41"/>
        <v>0.1647397153730768</v>
      </c>
      <c r="X536" t="e">
        <f t="shared" si="42"/>
        <v>#N/A</v>
      </c>
      <c r="Y536">
        <f t="shared" si="43"/>
        <v>0.1647397153730768</v>
      </c>
      <c r="Z536">
        <f t="shared" si="44"/>
        <v>0.1647397153730768</v>
      </c>
    </row>
    <row r="537" spans="21:26" x14ac:dyDescent="0.3">
      <c r="U537" t="e">
        <f t="shared" si="40"/>
        <v>#N/A</v>
      </c>
      <c r="V537">
        <v>1.34</v>
      </c>
      <c r="W537">
        <f t="shared" si="41"/>
        <v>0.16255505522553412</v>
      </c>
      <c r="X537" t="e">
        <f t="shared" si="42"/>
        <v>#N/A</v>
      </c>
      <c r="Y537">
        <f t="shared" si="43"/>
        <v>0.16255505522553412</v>
      </c>
      <c r="Z537">
        <f t="shared" si="44"/>
        <v>0.16255505522553412</v>
      </c>
    </row>
    <row r="538" spans="21:26" x14ac:dyDescent="0.3">
      <c r="U538" t="e">
        <f t="shared" si="40"/>
        <v>#N/A</v>
      </c>
      <c r="V538">
        <v>1.35</v>
      </c>
      <c r="W538">
        <f t="shared" si="41"/>
        <v>0.1603833273419196</v>
      </c>
      <c r="X538" t="e">
        <f t="shared" si="42"/>
        <v>#N/A</v>
      </c>
      <c r="Y538">
        <f t="shared" si="43"/>
        <v>0.1603833273419196</v>
      </c>
      <c r="Z538">
        <f t="shared" si="44"/>
        <v>0.1603833273419196</v>
      </c>
    </row>
    <row r="539" spans="21:26" x14ac:dyDescent="0.3">
      <c r="U539" t="e">
        <f t="shared" si="40"/>
        <v>#N/A</v>
      </c>
      <c r="V539">
        <v>1.36</v>
      </c>
      <c r="W539">
        <f t="shared" si="41"/>
        <v>0.15822479037038303</v>
      </c>
      <c r="X539" t="e">
        <f t="shared" si="42"/>
        <v>#N/A</v>
      </c>
      <c r="Y539">
        <f t="shared" si="43"/>
        <v>0.15822479037038303</v>
      </c>
      <c r="Z539">
        <f t="shared" si="44"/>
        <v>0.15822479037038303</v>
      </c>
    </row>
    <row r="540" spans="21:26" x14ac:dyDescent="0.3">
      <c r="U540" t="e">
        <f t="shared" si="40"/>
        <v>#N/A</v>
      </c>
      <c r="V540">
        <v>1.37</v>
      </c>
      <c r="W540">
        <f t="shared" si="41"/>
        <v>0.15607969556042084</v>
      </c>
      <c r="X540" t="e">
        <f t="shared" si="42"/>
        <v>#N/A</v>
      </c>
      <c r="Y540">
        <f t="shared" si="43"/>
        <v>0.15607969556042084</v>
      </c>
      <c r="Z540">
        <f t="shared" si="44"/>
        <v>0.15607969556042084</v>
      </c>
    </row>
    <row r="541" spans="21:26" x14ac:dyDescent="0.3">
      <c r="U541" t="e">
        <f t="shared" si="40"/>
        <v>#N/A</v>
      </c>
      <c r="V541">
        <v>1.38</v>
      </c>
      <c r="W541">
        <f t="shared" si="41"/>
        <v>0.15394828676263372</v>
      </c>
      <c r="X541" t="e">
        <f t="shared" si="42"/>
        <v>#N/A</v>
      </c>
      <c r="Y541">
        <f t="shared" si="43"/>
        <v>0.15394828676263372</v>
      </c>
      <c r="Z541">
        <f t="shared" si="44"/>
        <v>0.15394828676263372</v>
      </c>
    </row>
    <row r="542" spans="21:26" x14ac:dyDescent="0.3">
      <c r="U542" t="e">
        <f t="shared" si="40"/>
        <v>#N/A</v>
      </c>
      <c r="V542">
        <v>1.39</v>
      </c>
      <c r="W542">
        <f t="shared" si="41"/>
        <v>0.15183080043216168</v>
      </c>
      <c r="X542" t="e">
        <f t="shared" si="42"/>
        <v>#N/A</v>
      </c>
      <c r="Y542">
        <f t="shared" si="43"/>
        <v>0.15183080043216168</v>
      </c>
      <c r="Z542">
        <f t="shared" si="44"/>
        <v>0.15183080043216168</v>
      </c>
    </row>
    <row r="543" spans="21:26" x14ac:dyDescent="0.3">
      <c r="U543" t="e">
        <f t="shared" si="40"/>
        <v>#N/A</v>
      </c>
      <c r="V543">
        <v>1.4</v>
      </c>
      <c r="W543">
        <f t="shared" si="41"/>
        <v>0.14972746563574488</v>
      </c>
      <c r="X543" t="e">
        <f t="shared" si="42"/>
        <v>#N/A</v>
      </c>
      <c r="Y543">
        <f t="shared" si="43"/>
        <v>0.14972746563574488</v>
      </c>
      <c r="Z543">
        <f t="shared" si="44"/>
        <v>0.14972746563574488</v>
      </c>
    </row>
    <row r="544" spans="21:26" x14ac:dyDescent="0.3">
      <c r="U544" t="e">
        <f t="shared" si="40"/>
        <v>#N/A</v>
      </c>
      <c r="V544">
        <v>1.41</v>
      </c>
      <c r="W544">
        <f t="shared" si="41"/>
        <v>0.14763850406235574</v>
      </c>
      <c r="X544" t="e">
        <f t="shared" si="42"/>
        <v>#N/A</v>
      </c>
      <c r="Y544">
        <f t="shared" si="43"/>
        <v>0.14763850406235574</v>
      </c>
      <c r="Z544">
        <f t="shared" si="44"/>
        <v>0.14763850406235574</v>
      </c>
    </row>
    <row r="545" spans="21:26" x14ac:dyDescent="0.3">
      <c r="U545" t="e">
        <f t="shared" si="40"/>
        <v>#N/A</v>
      </c>
      <c r="V545">
        <v>1.42</v>
      </c>
      <c r="W545">
        <f t="shared" si="41"/>
        <v>0.14556413003734761</v>
      </c>
      <c r="X545" t="e">
        <f t="shared" si="42"/>
        <v>#N/A</v>
      </c>
      <c r="Y545">
        <f t="shared" si="43"/>
        <v>0.14556413003734761</v>
      </c>
      <c r="Z545">
        <f t="shared" si="44"/>
        <v>0.14556413003734761</v>
      </c>
    </row>
    <row r="546" spans="21:26" x14ac:dyDescent="0.3">
      <c r="U546" t="e">
        <f t="shared" si="40"/>
        <v>#N/A</v>
      </c>
      <c r="V546">
        <v>1.43</v>
      </c>
      <c r="W546">
        <f t="shared" si="41"/>
        <v>0.14350455054006242</v>
      </c>
      <c r="X546" t="e">
        <f t="shared" si="42"/>
        <v>#N/A</v>
      </c>
      <c r="Y546">
        <f t="shared" si="43"/>
        <v>0.14350455054006242</v>
      </c>
      <c r="Z546">
        <f t="shared" si="44"/>
        <v>0.14350455054006242</v>
      </c>
    </row>
    <row r="547" spans="21:26" x14ac:dyDescent="0.3">
      <c r="U547" t="e">
        <f t="shared" si="40"/>
        <v>#N/A</v>
      </c>
      <c r="V547">
        <v>1.44</v>
      </c>
      <c r="W547">
        <f t="shared" si="41"/>
        <v>0.14145996522483878</v>
      </c>
      <c r="X547" t="e">
        <f t="shared" si="42"/>
        <v>#N/A</v>
      </c>
      <c r="Y547">
        <f t="shared" si="43"/>
        <v>0.14145996522483878</v>
      </c>
      <c r="Z547">
        <f t="shared" si="44"/>
        <v>0.14145996522483878</v>
      </c>
    </row>
    <row r="548" spans="21:26" x14ac:dyDescent="0.3">
      <c r="U548" t="e">
        <f t="shared" si="40"/>
        <v>#N/A</v>
      </c>
      <c r="V548">
        <v>1.45</v>
      </c>
      <c r="W548">
        <f t="shared" si="41"/>
        <v>0.13943056644536028</v>
      </c>
      <c r="X548" t="e">
        <f t="shared" si="42"/>
        <v>#N/A</v>
      </c>
      <c r="Y548">
        <f t="shared" si="43"/>
        <v>0.13943056644536028</v>
      </c>
      <c r="Z548">
        <f t="shared" si="44"/>
        <v>0.13943056644536028</v>
      </c>
    </row>
    <row r="549" spans="21:26" x14ac:dyDescent="0.3">
      <c r="U549" t="e">
        <f t="shared" si="40"/>
        <v>#N/A</v>
      </c>
      <c r="V549">
        <v>1.46</v>
      </c>
      <c r="W549">
        <f t="shared" si="41"/>
        <v>0.13741653928228179</v>
      </c>
      <c r="X549" t="e">
        <f t="shared" si="42"/>
        <v>#N/A</v>
      </c>
      <c r="Y549">
        <f t="shared" si="43"/>
        <v>0.13741653928228179</v>
      </c>
      <c r="Z549">
        <f t="shared" si="44"/>
        <v>0.13741653928228179</v>
      </c>
    </row>
    <row r="550" spans="21:26" x14ac:dyDescent="0.3">
      <c r="U550" t="e">
        <f t="shared" si="40"/>
        <v>#N/A</v>
      </c>
      <c r="V550">
        <v>1.47</v>
      </c>
      <c r="W550">
        <f t="shared" si="41"/>
        <v>0.1354180615740713</v>
      </c>
      <c r="X550" t="e">
        <f t="shared" si="42"/>
        <v>#N/A</v>
      </c>
      <c r="Y550">
        <f t="shared" si="43"/>
        <v>0.1354180615740713</v>
      </c>
      <c r="Z550">
        <f t="shared" si="44"/>
        <v>0.1354180615740713</v>
      </c>
    </row>
    <row r="551" spans="21:26" x14ac:dyDescent="0.3">
      <c r="U551" t="e">
        <f t="shared" si="40"/>
        <v>#N/A</v>
      </c>
      <c r="V551">
        <v>1.48</v>
      </c>
      <c r="W551">
        <f t="shared" si="41"/>
        <v>0.13343530395100231</v>
      </c>
      <c r="X551" t="e">
        <f t="shared" si="42"/>
        <v>#N/A</v>
      </c>
      <c r="Y551">
        <f t="shared" si="43"/>
        <v>0.13343530395100231</v>
      </c>
      <c r="Z551">
        <f t="shared" si="44"/>
        <v>0.13343530395100231</v>
      </c>
    </row>
    <row r="552" spans="21:26" x14ac:dyDescent="0.3">
      <c r="U552" t="e">
        <f t="shared" si="40"/>
        <v>#N/A</v>
      </c>
      <c r="V552">
        <v>1.49</v>
      </c>
      <c r="W552">
        <f t="shared" si="41"/>
        <v>0.13146842987223104</v>
      </c>
      <c r="X552" t="e">
        <f t="shared" si="42"/>
        <v>#N/A</v>
      </c>
      <c r="Y552">
        <f t="shared" si="43"/>
        <v>0.13146842987223104</v>
      </c>
      <c r="Z552">
        <f t="shared" si="44"/>
        <v>0.13146842987223104</v>
      </c>
    </row>
    <row r="553" spans="21:26" x14ac:dyDescent="0.3">
      <c r="U553" t="e">
        <f t="shared" si="40"/>
        <v>#N/A</v>
      </c>
      <c r="V553">
        <v>1.5</v>
      </c>
      <c r="W553">
        <f t="shared" si="41"/>
        <v>0.12951759566589174</v>
      </c>
      <c r="X553" t="e">
        <f t="shared" si="42"/>
        <v>#N/A</v>
      </c>
      <c r="Y553">
        <f t="shared" si="43"/>
        <v>0.12951759566589174</v>
      </c>
      <c r="Z553">
        <f t="shared" si="44"/>
        <v>0.12951759566589174</v>
      </c>
    </row>
    <row r="554" spans="21:26" x14ac:dyDescent="0.3">
      <c r="U554" t="e">
        <f t="shared" si="40"/>
        <v>#N/A</v>
      </c>
      <c r="V554">
        <v>1.51</v>
      </c>
      <c r="W554">
        <f t="shared" si="41"/>
        <v>0.12758295057214186</v>
      </c>
      <c r="X554" t="e">
        <f t="shared" si="42"/>
        <v>#N/A</v>
      </c>
      <c r="Y554">
        <f t="shared" si="43"/>
        <v>0.12758295057214186</v>
      </c>
      <c r="Z554">
        <f t="shared" si="44"/>
        <v>0.12758295057214186</v>
      </c>
    </row>
    <row r="555" spans="21:26" x14ac:dyDescent="0.3">
      <c r="U555" t="e">
        <f t="shared" si="40"/>
        <v>#N/A</v>
      </c>
      <c r="V555">
        <v>1.52</v>
      </c>
      <c r="W555">
        <f t="shared" si="41"/>
        <v>0.12566463678908815</v>
      </c>
      <c r="X555" t="e">
        <f t="shared" si="42"/>
        <v>#N/A</v>
      </c>
      <c r="Y555">
        <f t="shared" si="43"/>
        <v>0.12566463678908815</v>
      </c>
      <c r="Z555">
        <f t="shared" si="44"/>
        <v>0.12566463678908815</v>
      </c>
    </row>
    <row r="556" spans="21:26" x14ac:dyDescent="0.3">
      <c r="U556" t="e">
        <f t="shared" si="40"/>
        <v>#N/A</v>
      </c>
      <c r="V556">
        <v>1.53</v>
      </c>
      <c r="W556">
        <f t="shared" si="41"/>
        <v>0.12376278952152313</v>
      </c>
      <c r="X556" t="e">
        <f t="shared" si="42"/>
        <v>#N/A</v>
      </c>
      <c r="Y556">
        <f t="shared" si="43"/>
        <v>0.12376278952152313</v>
      </c>
      <c r="Z556">
        <f t="shared" si="44"/>
        <v>0.12376278952152313</v>
      </c>
    </row>
    <row r="557" spans="21:26" x14ac:dyDescent="0.3">
      <c r="U557" t="e">
        <f t="shared" si="40"/>
        <v>#N/A</v>
      </c>
      <c r="V557">
        <v>1.54</v>
      </c>
      <c r="W557">
        <f t="shared" si="41"/>
        <v>0.12187753703240178</v>
      </c>
      <c r="X557" t="e">
        <f t="shared" si="42"/>
        <v>#N/A</v>
      </c>
      <c r="Y557">
        <f t="shared" si="43"/>
        <v>0.12187753703240178</v>
      </c>
      <c r="Z557">
        <f t="shared" si="44"/>
        <v>0.12187753703240178</v>
      </c>
    </row>
    <row r="558" spans="21:26" x14ac:dyDescent="0.3">
      <c r="U558" t="e">
        <f t="shared" si="40"/>
        <v>#N/A</v>
      </c>
      <c r="V558">
        <v>1.55</v>
      </c>
      <c r="W558">
        <f t="shared" si="41"/>
        <v>0.12000900069698558</v>
      </c>
      <c r="X558" t="e">
        <f t="shared" si="42"/>
        <v>#N/A</v>
      </c>
      <c r="Y558">
        <f t="shared" si="43"/>
        <v>0.12000900069698558</v>
      </c>
      <c r="Z558">
        <f t="shared" si="44"/>
        <v>0.12000900069698558</v>
      </c>
    </row>
    <row r="559" spans="21:26" x14ac:dyDescent="0.3">
      <c r="U559" t="e">
        <f t="shared" si="40"/>
        <v>#N/A</v>
      </c>
      <c r="V559">
        <v>1.56</v>
      </c>
      <c r="W559">
        <f t="shared" si="41"/>
        <v>0.11815729505958227</v>
      </c>
      <c r="X559" t="e">
        <f t="shared" si="42"/>
        <v>#N/A</v>
      </c>
      <c r="Y559">
        <f t="shared" si="43"/>
        <v>0.11815729505958227</v>
      </c>
      <c r="Z559">
        <f t="shared" si="44"/>
        <v>0.11815729505958227</v>
      </c>
    </row>
    <row r="560" spans="21:26" x14ac:dyDescent="0.3">
      <c r="U560" t="e">
        <f t="shared" si="40"/>
        <v>#N/A</v>
      </c>
      <c r="V560">
        <v>1.57</v>
      </c>
      <c r="W560">
        <f t="shared" si="41"/>
        <v>0.11632252789280709</v>
      </c>
      <c r="X560" t="e">
        <f t="shared" si="42"/>
        <v>#N/A</v>
      </c>
      <c r="Y560">
        <f t="shared" si="43"/>
        <v>0.11632252789280709</v>
      </c>
      <c r="Z560">
        <f t="shared" si="44"/>
        <v>0.11632252789280709</v>
      </c>
    </row>
    <row r="561" spans="21:26" x14ac:dyDescent="0.3">
      <c r="U561" t="e">
        <f t="shared" si="40"/>
        <v>#N/A</v>
      </c>
      <c r="V561">
        <v>1.58</v>
      </c>
      <c r="W561">
        <f t="shared" si="41"/>
        <v>0.11450480025929236</v>
      </c>
      <c r="X561" t="e">
        <f t="shared" si="42"/>
        <v>#N/A</v>
      </c>
      <c r="Y561">
        <f t="shared" si="43"/>
        <v>0.11450480025929236</v>
      </c>
      <c r="Z561">
        <f t="shared" si="44"/>
        <v>0.11450480025929236</v>
      </c>
    </row>
    <row r="562" spans="21:26" x14ac:dyDescent="0.3">
      <c r="U562" t="e">
        <f t="shared" si="40"/>
        <v>#N/A</v>
      </c>
      <c r="V562">
        <v>1.59</v>
      </c>
      <c r="W562">
        <f t="shared" si="41"/>
        <v>0.11270420657577056</v>
      </c>
      <c r="X562" t="e">
        <f t="shared" si="42"/>
        <v>#N/A</v>
      </c>
      <c r="Y562">
        <f t="shared" si="43"/>
        <v>0.11270420657577056</v>
      </c>
      <c r="Z562">
        <f t="shared" si="44"/>
        <v>0.11270420657577056</v>
      </c>
    </row>
    <row r="563" spans="21:26" x14ac:dyDescent="0.3">
      <c r="U563" t="e">
        <f t="shared" si="40"/>
        <v>#N/A</v>
      </c>
      <c r="V563">
        <v>1.6</v>
      </c>
      <c r="W563">
        <f t="shared" si="41"/>
        <v>0.11092083467945554</v>
      </c>
      <c r="X563" t="e">
        <f t="shared" si="42"/>
        <v>#N/A</v>
      </c>
      <c r="Y563">
        <f t="shared" si="43"/>
        <v>0.11092083467945554</v>
      </c>
      <c r="Z563">
        <f t="shared" si="44"/>
        <v>0.11092083467945554</v>
      </c>
    </row>
    <row r="564" spans="21:26" x14ac:dyDescent="0.3">
      <c r="U564" t="e">
        <f t="shared" si="40"/>
        <v>#N/A</v>
      </c>
      <c r="V564">
        <v>1.61</v>
      </c>
      <c r="W564">
        <f t="shared" si="41"/>
        <v>0.10915476589664735</v>
      </c>
      <c r="X564" t="e">
        <f t="shared" si="42"/>
        <v>#N/A</v>
      </c>
      <c r="Y564">
        <f t="shared" si="43"/>
        <v>0.10915476589664735</v>
      </c>
      <c r="Z564">
        <f t="shared" si="44"/>
        <v>0.10915476589664735</v>
      </c>
    </row>
    <row r="565" spans="21:26" x14ac:dyDescent="0.3">
      <c r="U565" t="e">
        <f t="shared" si="40"/>
        <v>#N/A</v>
      </c>
      <c r="V565">
        <v>1.62</v>
      </c>
      <c r="W565">
        <f t="shared" si="41"/>
        <v>0.1074060751134838</v>
      </c>
      <c r="X565" t="e">
        <f t="shared" si="42"/>
        <v>#N/A</v>
      </c>
      <c r="Y565">
        <f t="shared" si="43"/>
        <v>0.1074060751134838</v>
      </c>
      <c r="Z565">
        <f t="shared" si="44"/>
        <v>0.1074060751134838</v>
      </c>
    </row>
    <row r="566" spans="21:26" x14ac:dyDescent="0.3">
      <c r="U566" t="e">
        <f t="shared" si="40"/>
        <v>#N/A</v>
      </c>
      <c r="V566">
        <v>1.63</v>
      </c>
      <c r="W566">
        <f t="shared" si="41"/>
        <v>0.10567483084876363</v>
      </c>
      <c r="X566" t="e">
        <f t="shared" si="42"/>
        <v>#N/A</v>
      </c>
      <c r="Y566">
        <f t="shared" si="43"/>
        <v>0.10567483084876363</v>
      </c>
      <c r="Z566">
        <f t="shared" si="44"/>
        <v>0.10567483084876363</v>
      </c>
    </row>
    <row r="567" spans="21:26" x14ac:dyDescent="0.3">
      <c r="U567" t="e">
        <f t="shared" si="40"/>
        <v>#N/A</v>
      </c>
      <c r="V567">
        <v>1.64</v>
      </c>
      <c r="W567">
        <f t="shared" si="41"/>
        <v>0.10396109532876423</v>
      </c>
      <c r="X567" t="e">
        <f t="shared" si="42"/>
        <v>#N/A</v>
      </c>
      <c r="Y567">
        <f t="shared" si="43"/>
        <v>0.10396109532876423</v>
      </c>
      <c r="Z567">
        <f t="shared" si="44"/>
        <v>0.10396109532876423</v>
      </c>
    </row>
    <row r="568" spans="21:26" x14ac:dyDescent="0.3">
      <c r="U568" t="e">
        <f t="shared" si="40"/>
        <v>#N/A</v>
      </c>
      <c r="V568">
        <v>1.65</v>
      </c>
      <c r="W568">
        <f t="shared" si="41"/>
        <v>0.10226492456397804</v>
      </c>
      <c r="X568" t="e">
        <f t="shared" si="42"/>
        <v>#N/A</v>
      </c>
      <c r="Y568">
        <f t="shared" si="43"/>
        <v>0.10226492456397804</v>
      </c>
      <c r="Z568">
        <f t="shared" si="44"/>
        <v>0.10226492456397804</v>
      </c>
    </row>
    <row r="569" spans="21:26" x14ac:dyDescent="0.3">
      <c r="U569" t="e">
        <f t="shared" si="40"/>
        <v>#N/A</v>
      </c>
      <c r="V569">
        <v>1.66</v>
      </c>
      <c r="W569">
        <f t="shared" si="41"/>
        <v>0.10058636842769057</v>
      </c>
      <c r="X569" t="e">
        <f t="shared" si="42"/>
        <v>#N/A</v>
      </c>
      <c r="Y569">
        <f t="shared" si="43"/>
        <v>0.10058636842769057</v>
      </c>
      <c r="Z569">
        <f t="shared" si="44"/>
        <v>0.10058636842769057</v>
      </c>
    </row>
    <row r="570" spans="21:26" x14ac:dyDescent="0.3">
      <c r="U570" t="e">
        <f t="shared" si="40"/>
        <v>#N/A</v>
      </c>
      <c r="V570">
        <v>1.67</v>
      </c>
      <c r="W570">
        <f t="shared" si="41"/>
        <v>9.8925470736323712E-2</v>
      </c>
      <c r="X570" t="e">
        <f t="shared" si="42"/>
        <v>#N/A</v>
      </c>
      <c r="Y570">
        <f t="shared" si="43"/>
        <v>9.8925470736323712E-2</v>
      </c>
      <c r="Z570">
        <f t="shared" si="44"/>
        <v>9.8925470736323712E-2</v>
      </c>
    </row>
    <row r="571" spans="21:26" x14ac:dyDescent="0.3">
      <c r="U571" t="e">
        <f t="shared" si="40"/>
        <v>#N/A</v>
      </c>
      <c r="V571">
        <v>1.68</v>
      </c>
      <c r="W571">
        <f t="shared" si="41"/>
        <v>9.7282269331467511E-2</v>
      </c>
      <c r="X571" t="e">
        <f t="shared" si="42"/>
        <v>#N/A</v>
      </c>
      <c r="Y571">
        <f t="shared" si="43"/>
        <v>9.7282269331467511E-2</v>
      </c>
      <c r="Z571">
        <f t="shared" si="44"/>
        <v>9.7282269331467511E-2</v>
      </c>
    </row>
    <row r="572" spans="21:26" x14ac:dyDescent="0.3">
      <c r="U572" t="e">
        <f t="shared" si="40"/>
        <v>#N/A</v>
      </c>
      <c r="V572">
        <v>1.69</v>
      </c>
      <c r="W572">
        <f t="shared" si="41"/>
        <v>9.5656796163524016E-2</v>
      </c>
      <c r="X572" t="e">
        <f t="shared" si="42"/>
        <v>#N/A</v>
      </c>
      <c r="Y572">
        <f t="shared" si="43"/>
        <v>9.5656796163524016E-2</v>
      </c>
      <c r="Z572">
        <f t="shared" si="44"/>
        <v>9.5656796163524016E-2</v>
      </c>
    </row>
    <row r="573" spans="21:26" x14ac:dyDescent="0.3">
      <c r="U573" t="e">
        <f t="shared" si="40"/>
        <v>#N/A</v>
      </c>
      <c r="V573">
        <v>1.7</v>
      </c>
      <c r="W573">
        <f t="shared" si="41"/>
        <v>9.4049077376886947E-2</v>
      </c>
      <c r="X573" t="e">
        <f t="shared" si="42"/>
        <v>#N/A</v>
      </c>
      <c r="Y573">
        <f t="shared" si="43"/>
        <v>9.4049077376886947E-2</v>
      </c>
      <c r="Z573">
        <f t="shared" si="44"/>
        <v>9.4049077376886947E-2</v>
      </c>
    </row>
    <row r="574" spans="21:26" x14ac:dyDescent="0.3">
      <c r="U574" t="e">
        <f t="shared" si="40"/>
        <v>#N/A</v>
      </c>
      <c r="V574">
        <v>1.71</v>
      </c>
      <c r="W574">
        <f t="shared" si="41"/>
        <v>9.2459133396580684E-2</v>
      </c>
      <c r="X574" t="e">
        <f t="shared" si="42"/>
        <v>#N/A</v>
      </c>
      <c r="Y574">
        <f t="shared" si="43"/>
        <v>9.2459133396580684E-2</v>
      </c>
      <c r="Z574">
        <f t="shared" si="44"/>
        <v>9.2459133396580684E-2</v>
      </c>
    </row>
    <row r="575" spans="21:26" x14ac:dyDescent="0.3">
      <c r="U575" t="e">
        <f t="shared" si="40"/>
        <v>#N/A</v>
      </c>
      <c r="V575">
        <v>1.72</v>
      </c>
      <c r="W575">
        <f t="shared" si="41"/>
        <v>9.0886979016282871E-2</v>
      </c>
      <c r="X575" t="e">
        <f t="shared" si="42"/>
        <v>#N/A</v>
      </c>
      <c r="Y575">
        <f t="shared" si="43"/>
        <v>9.0886979016282871E-2</v>
      </c>
      <c r="Z575">
        <f t="shared" si="44"/>
        <v>9.0886979016282871E-2</v>
      </c>
    </row>
    <row r="576" spans="21:26" x14ac:dyDescent="0.3">
      <c r="U576" t="e">
        <f t="shared" si="40"/>
        <v>#N/A</v>
      </c>
      <c r="V576">
        <v>1.73</v>
      </c>
      <c r="W576">
        <f t="shared" si="41"/>
        <v>8.9332623487655E-2</v>
      </c>
      <c r="X576" t="e">
        <f t="shared" si="42"/>
        <v>#N/A</v>
      </c>
      <c r="Y576">
        <f t="shared" si="43"/>
        <v>8.9332623487655E-2</v>
      </c>
      <c r="Z576">
        <f t="shared" si="44"/>
        <v>8.9332623487655E-2</v>
      </c>
    </row>
    <row r="577" spans="21:26" x14ac:dyDescent="0.3">
      <c r="U577" t="e">
        <f t="shared" si="40"/>
        <v>#N/A</v>
      </c>
      <c r="V577">
        <v>1.74</v>
      </c>
      <c r="W577">
        <f t="shared" si="41"/>
        <v>8.7796070610905622E-2</v>
      </c>
      <c r="X577" t="e">
        <f t="shared" si="42"/>
        <v>#N/A</v>
      </c>
      <c r="Y577">
        <f t="shared" si="43"/>
        <v>8.7796070610905622E-2</v>
      </c>
      <c r="Z577">
        <f t="shared" si="44"/>
        <v>8.7796070610905622E-2</v>
      </c>
    </row>
    <row r="578" spans="21:26" x14ac:dyDescent="0.3">
      <c r="U578" t="e">
        <f t="shared" si="40"/>
        <v>#N/A</v>
      </c>
      <c r="V578">
        <v>1.75</v>
      </c>
      <c r="W578">
        <f t="shared" si="41"/>
        <v>8.6277318826511532E-2</v>
      </c>
      <c r="X578" t="e">
        <f t="shared" si="42"/>
        <v>#N/A</v>
      </c>
      <c r="Y578">
        <f t="shared" si="43"/>
        <v>8.6277318826511532E-2</v>
      </c>
      <c r="Z578">
        <f t="shared" si="44"/>
        <v>8.6277318826511532E-2</v>
      </c>
    </row>
    <row r="579" spans="21:26" x14ac:dyDescent="0.3">
      <c r="U579" t="e">
        <f t="shared" si="40"/>
        <v>#N/A</v>
      </c>
      <c r="V579">
        <v>1.76</v>
      </c>
      <c r="W579">
        <f t="shared" si="41"/>
        <v>8.4776361308022227E-2</v>
      </c>
      <c r="X579" t="e">
        <f t="shared" si="42"/>
        <v>#N/A</v>
      </c>
      <c r="Y579">
        <f t="shared" si="43"/>
        <v>8.4776361308022227E-2</v>
      </c>
      <c r="Z579">
        <f t="shared" si="44"/>
        <v>8.4776361308022227E-2</v>
      </c>
    </row>
    <row r="580" spans="21:26" x14ac:dyDescent="0.3">
      <c r="U580" t="e">
        <f t="shared" ref="U580:U643" si="45">IF($A$2=ABS(V580),0,NA())</f>
        <v>#N/A</v>
      </c>
      <c r="V580">
        <v>1.77</v>
      </c>
      <c r="W580">
        <f t="shared" ref="W580:W643" si="46">_xlfn.NORM.S.DIST(V580,0)</f>
        <v>8.3293186055874463E-2</v>
      </c>
      <c r="X580" t="e">
        <f t="shared" ref="X580:X643" si="47">IF(ABS(V580)=$A$2,W580,NA())</f>
        <v>#N/A</v>
      </c>
      <c r="Y580">
        <f t="shared" ref="Y580:Y643" si="48">IF(V580&lt;=$A$2,W580,NA())</f>
        <v>8.3293186055874463E-2</v>
      </c>
      <c r="Z580">
        <f t="shared" ref="Z580:Z643" si="49">IF(ABS(V580)&lt;=$A$2,W580,NA())</f>
        <v>8.3293186055874463E-2</v>
      </c>
    </row>
    <row r="581" spans="21:26" x14ac:dyDescent="0.3">
      <c r="U581" t="e">
        <f t="shared" si="45"/>
        <v>#N/A</v>
      </c>
      <c r="V581">
        <v>1.78</v>
      </c>
      <c r="W581">
        <f t="shared" si="46"/>
        <v>8.1827775992142804E-2</v>
      </c>
      <c r="X581" t="e">
        <f t="shared" si="47"/>
        <v>#N/A</v>
      </c>
      <c r="Y581">
        <f t="shared" si="48"/>
        <v>8.1827775992142804E-2</v>
      </c>
      <c r="Z581">
        <f t="shared" si="49"/>
        <v>8.1827775992142804E-2</v>
      </c>
    </row>
    <row r="582" spans="21:26" x14ac:dyDescent="0.3">
      <c r="U582" t="e">
        <f t="shared" si="45"/>
        <v>#N/A</v>
      </c>
      <c r="V582">
        <v>1.79</v>
      </c>
      <c r="W582">
        <f t="shared" si="46"/>
        <v>8.038010905615417E-2</v>
      </c>
      <c r="X582" t="e">
        <f t="shared" si="47"/>
        <v>#N/A</v>
      </c>
      <c r="Y582">
        <f t="shared" si="48"/>
        <v>8.038010905615417E-2</v>
      </c>
      <c r="Z582">
        <f t="shared" si="49"/>
        <v>8.038010905615417E-2</v>
      </c>
    </row>
    <row r="583" spans="21:26" x14ac:dyDescent="0.3">
      <c r="U583" t="e">
        <f t="shared" si="45"/>
        <v>#N/A</v>
      </c>
      <c r="V583">
        <v>1.8</v>
      </c>
      <c r="W583">
        <f t="shared" si="46"/>
        <v>7.8950158300894149E-2</v>
      </c>
      <c r="X583" t="e">
        <f t="shared" si="47"/>
        <v>#N/A</v>
      </c>
      <c r="Y583">
        <f t="shared" si="48"/>
        <v>7.8950158300894149E-2</v>
      </c>
      <c r="Z583">
        <f t="shared" si="49"/>
        <v>7.8950158300894149E-2</v>
      </c>
    </row>
    <row r="584" spans="21:26" x14ac:dyDescent="0.3">
      <c r="U584" t="e">
        <f t="shared" si="45"/>
        <v>#N/A</v>
      </c>
      <c r="V584">
        <v>1.81</v>
      </c>
      <c r="W584">
        <f t="shared" si="46"/>
        <v>7.7537891990133986E-2</v>
      </c>
      <c r="X584" t="e">
        <f t="shared" si="47"/>
        <v>#N/A</v>
      </c>
      <c r="Y584">
        <f t="shared" si="48"/>
        <v>7.7537891990133986E-2</v>
      </c>
      <c r="Z584">
        <f t="shared" si="49"/>
        <v>7.7537891990133986E-2</v>
      </c>
    </row>
    <row r="585" spans="21:26" x14ac:dyDescent="0.3">
      <c r="U585" t="e">
        <f t="shared" si="45"/>
        <v>#N/A</v>
      </c>
      <c r="V585">
        <v>1.82</v>
      </c>
      <c r="W585">
        <f t="shared" si="46"/>
        <v>7.6143273696207311E-2</v>
      </c>
      <c r="X585" t="e">
        <f t="shared" si="47"/>
        <v>#N/A</v>
      </c>
      <c r="Y585">
        <f t="shared" si="48"/>
        <v>7.6143273696207311E-2</v>
      </c>
      <c r="Z585">
        <f t="shared" si="49"/>
        <v>7.6143273696207311E-2</v>
      </c>
    </row>
    <row r="586" spans="21:26" x14ac:dyDescent="0.3">
      <c r="U586" t="e">
        <f t="shared" si="45"/>
        <v>#N/A</v>
      </c>
      <c r="V586">
        <v>1.83</v>
      </c>
      <c r="W586">
        <f t="shared" si="46"/>
        <v>7.4766262398367603E-2</v>
      </c>
      <c r="X586" t="e">
        <f t="shared" si="47"/>
        <v>#N/A</v>
      </c>
      <c r="Y586">
        <f t="shared" si="48"/>
        <v>7.4766262398367603E-2</v>
      </c>
      <c r="Z586">
        <f t="shared" si="49"/>
        <v>7.4766262398367603E-2</v>
      </c>
    </row>
    <row r="587" spans="21:26" x14ac:dyDescent="0.3">
      <c r="U587" t="e">
        <f t="shared" si="45"/>
        <v>#N/A</v>
      </c>
      <c r="V587">
        <v>1.84</v>
      </c>
      <c r="W587">
        <f t="shared" si="46"/>
        <v>7.3406812581656891E-2</v>
      </c>
      <c r="X587" t="e">
        <f t="shared" si="47"/>
        <v>#N/A</v>
      </c>
      <c r="Y587">
        <f t="shared" si="48"/>
        <v>7.3406812581656891E-2</v>
      </c>
      <c r="Z587">
        <f t="shared" si="49"/>
        <v>7.3406812581656891E-2</v>
      </c>
    </row>
    <row r="588" spans="21:26" x14ac:dyDescent="0.3">
      <c r="U588" t="e">
        <f t="shared" si="45"/>
        <v>#N/A</v>
      </c>
      <c r="V588">
        <v>1.85</v>
      </c>
      <c r="W588">
        <f t="shared" si="46"/>
        <v>7.2064874336217985E-2</v>
      </c>
      <c r="X588" t="e">
        <f t="shared" si="47"/>
        <v>#N/A</v>
      </c>
      <c r="Y588">
        <f t="shared" si="48"/>
        <v>7.2064874336217985E-2</v>
      </c>
      <c r="Z588">
        <f t="shared" si="49"/>
        <v>7.2064874336217985E-2</v>
      </c>
    </row>
    <row r="589" spans="21:26" x14ac:dyDescent="0.3">
      <c r="U589" t="e">
        <f t="shared" si="45"/>
        <v>#N/A</v>
      </c>
      <c r="V589">
        <v>1.86</v>
      </c>
      <c r="W589">
        <f t="shared" si="46"/>
        <v>7.074039345698338E-2</v>
      </c>
      <c r="X589" t="e">
        <f t="shared" si="47"/>
        <v>#N/A</v>
      </c>
      <c r="Y589">
        <f t="shared" si="48"/>
        <v>7.074039345698338E-2</v>
      </c>
      <c r="Z589">
        <f t="shared" si="49"/>
        <v>7.074039345698338E-2</v>
      </c>
    </row>
    <row r="590" spans="21:26" x14ac:dyDescent="0.3">
      <c r="U590" t="e">
        <f t="shared" si="45"/>
        <v>#N/A</v>
      </c>
      <c r="V590">
        <v>1.87</v>
      </c>
      <c r="W590">
        <f t="shared" si="46"/>
        <v>6.9433311543674187E-2</v>
      </c>
      <c r="X590" t="e">
        <f t="shared" si="47"/>
        <v>#N/A</v>
      </c>
      <c r="Y590">
        <f t="shared" si="48"/>
        <v>6.9433311543674187E-2</v>
      </c>
      <c r="Z590">
        <f t="shared" si="49"/>
        <v>6.9433311543674187E-2</v>
      </c>
    </row>
    <row r="591" spans="21:26" x14ac:dyDescent="0.3">
      <c r="U591" t="e">
        <f t="shared" si="45"/>
        <v>#N/A</v>
      </c>
      <c r="V591">
        <v>1.88</v>
      </c>
      <c r="W591">
        <f t="shared" si="46"/>
        <v>6.8143566101044578E-2</v>
      </c>
      <c r="X591" t="e">
        <f t="shared" si="47"/>
        <v>#N/A</v>
      </c>
      <c r="Y591">
        <f t="shared" si="48"/>
        <v>6.8143566101044578E-2</v>
      </c>
      <c r="Z591">
        <f t="shared" si="49"/>
        <v>6.8143566101044578E-2</v>
      </c>
    </row>
    <row r="592" spans="21:26" x14ac:dyDescent="0.3">
      <c r="U592" t="e">
        <f t="shared" si="45"/>
        <v>#N/A</v>
      </c>
      <c r="V592">
        <v>1.89</v>
      </c>
      <c r="W592">
        <f t="shared" si="46"/>
        <v>6.6871090639307157E-2</v>
      </c>
      <c r="X592" t="e">
        <f t="shared" si="47"/>
        <v>#N/A</v>
      </c>
      <c r="Y592">
        <f t="shared" si="48"/>
        <v>6.6871090639307157E-2</v>
      </c>
      <c r="Z592">
        <f t="shared" si="49"/>
        <v>6.6871090639307157E-2</v>
      </c>
    </row>
    <row r="593" spans="21:26" x14ac:dyDescent="0.3">
      <c r="U593" t="e">
        <f t="shared" si="45"/>
        <v>#N/A</v>
      </c>
      <c r="V593">
        <v>1.9</v>
      </c>
      <c r="W593">
        <f t="shared" si="46"/>
        <v>6.5615814774676595E-2</v>
      </c>
      <c r="X593" t="e">
        <f t="shared" si="47"/>
        <v>#N/A</v>
      </c>
      <c r="Y593">
        <f t="shared" si="48"/>
        <v>6.5615814774676595E-2</v>
      </c>
      <c r="Z593">
        <f t="shared" si="49"/>
        <v>6.5615814774676595E-2</v>
      </c>
    </row>
    <row r="594" spans="21:26" x14ac:dyDescent="0.3">
      <c r="U594" t="e">
        <f t="shared" si="45"/>
        <v>#N/A</v>
      </c>
      <c r="V594">
        <v>1.91</v>
      </c>
      <c r="W594">
        <f t="shared" si="46"/>
        <v>6.4377664329969359E-2</v>
      </c>
      <c r="X594" t="e">
        <f t="shared" si="47"/>
        <v>#N/A</v>
      </c>
      <c r="Y594">
        <f t="shared" si="48"/>
        <v>6.4377664329969359E-2</v>
      </c>
      <c r="Z594">
        <f t="shared" si="49"/>
        <v>6.4377664329969359E-2</v>
      </c>
    </row>
    <row r="595" spans="21:26" x14ac:dyDescent="0.3">
      <c r="U595" t="e">
        <f t="shared" si="45"/>
        <v>#N/A</v>
      </c>
      <c r="V595">
        <v>1.92</v>
      </c>
      <c r="W595">
        <f t="shared" si="46"/>
        <v>6.3156561435198655E-2</v>
      </c>
      <c r="X595" t="e">
        <f t="shared" si="47"/>
        <v>#N/A</v>
      </c>
      <c r="Y595">
        <f t="shared" si="48"/>
        <v>6.3156561435198655E-2</v>
      </c>
      <c r="Z595">
        <f t="shared" si="49"/>
        <v>6.3156561435198655E-2</v>
      </c>
    </row>
    <row r="596" spans="21:26" x14ac:dyDescent="0.3">
      <c r="U596" t="e">
        <f t="shared" si="45"/>
        <v>#N/A</v>
      </c>
      <c r="V596">
        <v>1.93</v>
      </c>
      <c r="W596">
        <f t="shared" si="46"/>
        <v>6.1952424628105164E-2</v>
      </c>
      <c r="X596" t="e">
        <f t="shared" si="47"/>
        <v>#N/A</v>
      </c>
      <c r="Y596">
        <f t="shared" si="48"/>
        <v>6.1952424628105164E-2</v>
      </c>
      <c r="Z596">
        <f t="shared" si="49"/>
        <v>6.1952424628105164E-2</v>
      </c>
    </row>
    <row r="597" spans="21:26" x14ac:dyDescent="0.3">
      <c r="U597" t="e">
        <f t="shared" si="45"/>
        <v>#N/A</v>
      </c>
      <c r="V597">
        <v>1.94</v>
      </c>
      <c r="W597">
        <f t="shared" si="46"/>
        <v>6.0765168954564776E-2</v>
      </c>
      <c r="X597" t="e">
        <f t="shared" si="47"/>
        <v>#N/A</v>
      </c>
      <c r="Y597">
        <f t="shared" si="48"/>
        <v>6.0765168954564776E-2</v>
      </c>
      <c r="Z597">
        <f t="shared" si="49"/>
        <v>6.0765168954564776E-2</v>
      </c>
    </row>
    <row r="598" spans="21:26" x14ac:dyDescent="0.3">
      <c r="U598" t="e">
        <f t="shared" si="45"/>
        <v>#N/A</v>
      </c>
      <c r="V598">
        <v>1.95</v>
      </c>
      <c r="W598">
        <f t="shared" si="46"/>
        <v>5.9594706068816075E-2</v>
      </c>
      <c r="X598" t="e">
        <f t="shared" si="47"/>
        <v>#N/A</v>
      </c>
      <c r="Y598">
        <f t="shared" si="48"/>
        <v>5.9594706068816075E-2</v>
      </c>
      <c r="Z598">
        <f t="shared" si="49"/>
        <v>5.9594706068816075E-2</v>
      </c>
    </row>
    <row r="599" spans="21:26" x14ac:dyDescent="0.3">
      <c r="U599">
        <f t="shared" si="45"/>
        <v>0</v>
      </c>
      <c r="V599">
        <v>1.96</v>
      </c>
      <c r="W599">
        <f t="shared" si="46"/>
        <v>5.8440944333451469E-2</v>
      </c>
      <c r="X599">
        <f t="shared" si="47"/>
        <v>5.8440944333451469E-2</v>
      </c>
      <c r="Y599">
        <f t="shared" si="48"/>
        <v>5.8440944333451469E-2</v>
      </c>
      <c r="Z599">
        <f t="shared" si="49"/>
        <v>5.8440944333451469E-2</v>
      </c>
    </row>
    <row r="600" spans="21:26" x14ac:dyDescent="0.3">
      <c r="U600" t="e">
        <f t="shared" si="45"/>
        <v>#N/A</v>
      </c>
      <c r="V600">
        <v>1.97</v>
      </c>
      <c r="W600">
        <f t="shared" si="46"/>
        <v>5.7303788919117131E-2</v>
      </c>
      <c r="X600" t="e">
        <f t="shared" si="47"/>
        <v>#N/A</v>
      </c>
      <c r="Y600" t="e">
        <f t="shared" si="48"/>
        <v>#N/A</v>
      </c>
      <c r="Z600" t="e">
        <f t="shared" si="49"/>
        <v>#N/A</v>
      </c>
    </row>
    <row r="601" spans="21:26" x14ac:dyDescent="0.3">
      <c r="U601" t="e">
        <f t="shared" si="45"/>
        <v>#N/A</v>
      </c>
      <c r="V601">
        <v>1.98</v>
      </c>
      <c r="W601">
        <f t="shared" si="46"/>
        <v>5.6183141903868049E-2</v>
      </c>
      <c r="X601" t="e">
        <f t="shared" si="47"/>
        <v>#N/A</v>
      </c>
      <c r="Y601" t="e">
        <f t="shared" si="48"/>
        <v>#N/A</v>
      </c>
      <c r="Z601" t="e">
        <f t="shared" si="49"/>
        <v>#N/A</v>
      </c>
    </row>
    <row r="602" spans="21:26" x14ac:dyDescent="0.3">
      <c r="U602" t="e">
        <f t="shared" si="45"/>
        <v>#N/A</v>
      </c>
      <c r="V602">
        <v>1.99</v>
      </c>
      <c r="W602">
        <f t="shared" si="46"/>
        <v>5.5078902372125767E-2</v>
      </c>
      <c r="X602" t="e">
        <f t="shared" si="47"/>
        <v>#N/A</v>
      </c>
      <c r="Y602" t="e">
        <f t="shared" si="48"/>
        <v>#N/A</v>
      </c>
      <c r="Z602" t="e">
        <f t="shared" si="49"/>
        <v>#N/A</v>
      </c>
    </row>
    <row r="603" spans="21:26" x14ac:dyDescent="0.3">
      <c r="U603" t="e">
        <f t="shared" si="45"/>
        <v>#N/A</v>
      </c>
      <c r="V603">
        <v>2</v>
      </c>
      <c r="W603">
        <f t="shared" si="46"/>
        <v>5.3990966513188063E-2</v>
      </c>
      <c r="X603" t="e">
        <f t="shared" si="47"/>
        <v>#N/A</v>
      </c>
      <c r="Y603" t="e">
        <f t="shared" si="48"/>
        <v>#N/A</v>
      </c>
      <c r="Z603" t="e">
        <f t="shared" si="49"/>
        <v>#N/A</v>
      </c>
    </row>
    <row r="604" spans="21:26" x14ac:dyDescent="0.3">
      <c r="U604" t="e">
        <f t="shared" si="45"/>
        <v>#N/A</v>
      </c>
      <c r="V604">
        <v>2.0099999999999998</v>
      </c>
      <c r="W604">
        <f t="shared" si="46"/>
        <v>5.2919227719240312E-2</v>
      </c>
      <c r="X604" t="e">
        <f t="shared" si="47"/>
        <v>#N/A</v>
      </c>
      <c r="Y604" t="e">
        <f t="shared" si="48"/>
        <v>#N/A</v>
      </c>
      <c r="Z604" t="e">
        <f t="shared" si="49"/>
        <v>#N/A</v>
      </c>
    </row>
    <row r="605" spans="21:26" x14ac:dyDescent="0.3">
      <c r="U605" t="e">
        <f t="shared" si="45"/>
        <v>#N/A</v>
      </c>
      <c r="V605">
        <v>2.02</v>
      </c>
      <c r="W605">
        <f t="shared" si="46"/>
        <v>5.1863576682820565E-2</v>
      </c>
      <c r="X605" t="e">
        <f t="shared" si="47"/>
        <v>#N/A</v>
      </c>
      <c r="Y605" t="e">
        <f t="shared" si="48"/>
        <v>#N/A</v>
      </c>
      <c r="Z605" t="e">
        <f t="shared" si="49"/>
        <v>#N/A</v>
      </c>
    </row>
    <row r="606" spans="21:26" x14ac:dyDescent="0.3">
      <c r="U606" t="e">
        <f t="shared" si="45"/>
        <v>#N/A</v>
      </c>
      <c r="V606">
        <v>2.0299999999999998</v>
      </c>
      <c r="W606">
        <f t="shared" si="46"/>
        <v>5.0823901493691204E-2</v>
      </c>
      <c r="X606" t="e">
        <f t="shared" si="47"/>
        <v>#N/A</v>
      </c>
      <c r="Y606" t="e">
        <f t="shared" si="48"/>
        <v>#N/A</v>
      </c>
      <c r="Z606" t="e">
        <f t="shared" si="49"/>
        <v>#N/A</v>
      </c>
    </row>
    <row r="607" spans="21:26" x14ac:dyDescent="0.3">
      <c r="U607" t="e">
        <f t="shared" si="45"/>
        <v>#N/A</v>
      </c>
      <c r="V607">
        <v>2.04</v>
      </c>
      <c r="W607">
        <f t="shared" si="46"/>
        <v>4.9800087735070775E-2</v>
      </c>
      <c r="X607" t="e">
        <f t="shared" si="47"/>
        <v>#N/A</v>
      </c>
      <c r="Y607" t="e">
        <f t="shared" si="48"/>
        <v>#N/A</v>
      </c>
      <c r="Z607" t="e">
        <f t="shared" si="49"/>
        <v>#N/A</v>
      </c>
    </row>
    <row r="608" spans="21:26" x14ac:dyDescent="0.3">
      <c r="U608" t="e">
        <f t="shared" si="45"/>
        <v>#N/A</v>
      </c>
      <c r="V608">
        <v>2.0499999999999998</v>
      </c>
      <c r="W608">
        <f t="shared" si="46"/>
        <v>4.8792018579182764E-2</v>
      </c>
      <c r="X608" t="e">
        <f t="shared" si="47"/>
        <v>#N/A</v>
      </c>
      <c r="Y608" t="e">
        <f t="shared" si="48"/>
        <v>#N/A</v>
      </c>
      <c r="Z608" t="e">
        <f t="shared" si="49"/>
        <v>#N/A</v>
      </c>
    </row>
    <row r="609" spans="21:26" x14ac:dyDescent="0.3">
      <c r="U609" t="e">
        <f t="shared" si="45"/>
        <v>#N/A</v>
      </c>
      <c r="V609">
        <v>2.06</v>
      </c>
      <c r="W609">
        <f t="shared" si="46"/>
        <v>4.7799574882077034E-2</v>
      </c>
      <c r="X609" t="e">
        <f t="shared" si="47"/>
        <v>#N/A</v>
      </c>
      <c r="Y609" t="e">
        <f t="shared" si="48"/>
        <v>#N/A</v>
      </c>
      <c r="Z609" t="e">
        <f t="shared" si="49"/>
        <v>#N/A</v>
      </c>
    </row>
    <row r="610" spans="21:26" x14ac:dyDescent="0.3">
      <c r="U610" t="e">
        <f t="shared" si="45"/>
        <v>#N/A</v>
      </c>
      <c r="V610">
        <v>2.0699999999999998</v>
      </c>
      <c r="W610">
        <f t="shared" si="46"/>
        <v>4.6822635277683163E-2</v>
      </c>
      <c r="X610" t="e">
        <f t="shared" si="47"/>
        <v>#N/A</v>
      </c>
      <c r="Y610" t="e">
        <f t="shared" si="48"/>
        <v>#N/A</v>
      </c>
      <c r="Z610" t="e">
        <f t="shared" si="49"/>
        <v>#N/A</v>
      </c>
    </row>
    <row r="611" spans="21:26" x14ac:dyDescent="0.3">
      <c r="U611" t="e">
        <f t="shared" si="45"/>
        <v>#N/A</v>
      </c>
      <c r="V611">
        <v>2.08</v>
      </c>
      <c r="W611">
        <f t="shared" si="46"/>
        <v>4.5861076271054887E-2</v>
      </c>
      <c r="X611" t="e">
        <f t="shared" si="47"/>
        <v>#N/A</v>
      </c>
      <c r="Y611" t="e">
        <f t="shared" si="48"/>
        <v>#N/A</v>
      </c>
      <c r="Z611" t="e">
        <f t="shared" si="49"/>
        <v>#N/A</v>
      </c>
    </row>
    <row r="612" spans="21:26" x14ac:dyDescent="0.3">
      <c r="U612" t="e">
        <f t="shared" si="45"/>
        <v>#N/A</v>
      </c>
      <c r="V612">
        <v>2.09</v>
      </c>
      <c r="W612">
        <f t="shared" si="46"/>
        <v>4.49147723307671E-2</v>
      </c>
      <c r="X612" t="e">
        <f t="shared" si="47"/>
        <v>#N/A</v>
      </c>
      <c r="Y612" t="e">
        <f t="shared" si="48"/>
        <v>#N/A</v>
      </c>
      <c r="Z612" t="e">
        <f t="shared" si="49"/>
        <v>#N/A</v>
      </c>
    </row>
    <row r="613" spans="21:26" x14ac:dyDescent="0.3">
      <c r="U613" t="e">
        <f t="shared" si="45"/>
        <v>#N/A</v>
      </c>
      <c r="V613">
        <v>2.1</v>
      </c>
      <c r="W613">
        <f t="shared" si="46"/>
        <v>4.3983595980427191E-2</v>
      </c>
      <c r="X613" t="e">
        <f t="shared" si="47"/>
        <v>#N/A</v>
      </c>
      <c r="Y613" t="e">
        <f t="shared" si="48"/>
        <v>#N/A</v>
      </c>
      <c r="Z613" t="e">
        <f t="shared" si="49"/>
        <v>#N/A</v>
      </c>
    </row>
    <row r="614" spans="21:26" x14ac:dyDescent="0.3">
      <c r="U614" t="e">
        <f t="shared" si="45"/>
        <v>#N/A</v>
      </c>
      <c r="V614">
        <v>2.11</v>
      </c>
      <c r="W614">
        <f t="shared" si="46"/>
        <v>4.3067417889265734E-2</v>
      </c>
      <c r="X614" t="e">
        <f t="shared" si="47"/>
        <v>#N/A</v>
      </c>
      <c r="Y614" t="e">
        <f t="shared" si="48"/>
        <v>#N/A</v>
      </c>
      <c r="Z614" t="e">
        <f t="shared" si="49"/>
        <v>#N/A</v>
      </c>
    </row>
    <row r="615" spans="21:26" x14ac:dyDescent="0.3">
      <c r="U615" t="e">
        <f t="shared" si="45"/>
        <v>#N/A</v>
      </c>
      <c r="V615">
        <v>2.12</v>
      </c>
      <c r="W615">
        <f t="shared" si="46"/>
        <v>4.2166106961770311E-2</v>
      </c>
      <c r="X615" t="e">
        <f t="shared" si="47"/>
        <v>#N/A</v>
      </c>
      <c r="Y615" t="e">
        <f t="shared" si="48"/>
        <v>#N/A</v>
      </c>
      <c r="Z615" t="e">
        <f t="shared" si="49"/>
        <v>#N/A</v>
      </c>
    </row>
    <row r="616" spans="21:26" x14ac:dyDescent="0.3">
      <c r="U616" t="e">
        <f t="shared" si="45"/>
        <v>#N/A</v>
      </c>
      <c r="V616">
        <v>2.13</v>
      </c>
      <c r="W616">
        <f t="shared" si="46"/>
        <v>4.1279530426330417E-2</v>
      </c>
      <c r="X616" t="e">
        <f t="shared" si="47"/>
        <v>#N/A</v>
      </c>
      <c r="Y616" t="e">
        <f t="shared" si="48"/>
        <v>#N/A</v>
      </c>
      <c r="Z616" t="e">
        <f t="shared" si="49"/>
        <v>#N/A</v>
      </c>
    </row>
    <row r="617" spans="21:26" x14ac:dyDescent="0.3">
      <c r="U617" t="e">
        <f t="shared" si="45"/>
        <v>#N/A</v>
      </c>
      <c r="V617">
        <v>2.14</v>
      </c>
      <c r="W617">
        <f t="shared" si="46"/>
        <v>4.0407553922860308E-2</v>
      </c>
      <c r="X617" t="e">
        <f t="shared" si="47"/>
        <v>#N/A</v>
      </c>
      <c r="Y617" t="e">
        <f t="shared" si="48"/>
        <v>#N/A</v>
      </c>
      <c r="Z617" t="e">
        <f t="shared" si="49"/>
        <v>#N/A</v>
      </c>
    </row>
    <row r="618" spans="21:26" x14ac:dyDescent="0.3">
      <c r="U618" t="e">
        <f t="shared" si="45"/>
        <v>#N/A</v>
      </c>
      <c r="V618">
        <v>2.15</v>
      </c>
      <c r="W618">
        <f t="shared" si="46"/>
        <v>3.955004158937022E-2</v>
      </c>
      <c r="X618" t="e">
        <f t="shared" si="47"/>
        <v>#N/A</v>
      </c>
      <c r="Y618" t="e">
        <f t="shared" si="48"/>
        <v>#N/A</v>
      </c>
      <c r="Z618" t="e">
        <f t="shared" si="49"/>
        <v>#N/A</v>
      </c>
    </row>
    <row r="619" spans="21:26" x14ac:dyDescent="0.3">
      <c r="U619" t="e">
        <f t="shared" si="45"/>
        <v>#N/A</v>
      </c>
      <c r="V619">
        <v>2.16</v>
      </c>
      <c r="W619">
        <f t="shared" si="46"/>
        <v>3.8706856147455608E-2</v>
      </c>
      <c r="X619" t="e">
        <f t="shared" si="47"/>
        <v>#N/A</v>
      </c>
      <c r="Y619" t="e">
        <f t="shared" si="48"/>
        <v>#N/A</v>
      </c>
      <c r="Z619" t="e">
        <f t="shared" si="49"/>
        <v>#N/A</v>
      </c>
    </row>
    <row r="620" spans="21:26" x14ac:dyDescent="0.3">
      <c r="U620" t="e">
        <f t="shared" si="45"/>
        <v>#N/A</v>
      </c>
      <c r="V620">
        <v>2.17</v>
      </c>
      <c r="W620">
        <f t="shared" si="46"/>
        <v>3.7877858986677483E-2</v>
      </c>
      <c r="X620" t="e">
        <f t="shared" si="47"/>
        <v>#N/A</v>
      </c>
      <c r="Y620" t="e">
        <f t="shared" si="48"/>
        <v>#N/A</v>
      </c>
      <c r="Z620" t="e">
        <f t="shared" si="49"/>
        <v>#N/A</v>
      </c>
    </row>
    <row r="621" spans="21:26" x14ac:dyDescent="0.3">
      <c r="U621" t="e">
        <f t="shared" si="45"/>
        <v>#N/A</v>
      </c>
      <c r="V621">
        <v>2.1800000000000002</v>
      </c>
      <c r="W621">
        <f t="shared" si="46"/>
        <v>3.7062910247806474E-2</v>
      </c>
      <c r="X621" t="e">
        <f t="shared" si="47"/>
        <v>#N/A</v>
      </c>
      <c r="Y621" t="e">
        <f t="shared" si="48"/>
        <v>#N/A</v>
      </c>
      <c r="Z621" t="e">
        <f t="shared" si="49"/>
        <v>#N/A</v>
      </c>
    </row>
    <row r="622" spans="21:26" x14ac:dyDescent="0.3">
      <c r="U622" t="e">
        <f t="shared" si="45"/>
        <v>#N/A</v>
      </c>
      <c r="V622">
        <v>2.19</v>
      </c>
      <c r="W622">
        <f t="shared" si="46"/>
        <v>3.6261868904906222E-2</v>
      </c>
      <c r="X622" t="e">
        <f t="shared" si="47"/>
        <v>#N/A</v>
      </c>
      <c r="Y622" t="e">
        <f t="shared" si="48"/>
        <v>#N/A</v>
      </c>
      <c r="Z622" t="e">
        <f t="shared" si="49"/>
        <v>#N/A</v>
      </c>
    </row>
    <row r="623" spans="21:26" x14ac:dyDescent="0.3">
      <c r="U623" t="e">
        <f t="shared" si="45"/>
        <v>#N/A</v>
      </c>
      <c r="V623">
        <v>2.2000000000000002</v>
      </c>
      <c r="W623">
        <f t="shared" si="46"/>
        <v>3.5474592846231424E-2</v>
      </c>
      <c r="X623" t="e">
        <f t="shared" si="47"/>
        <v>#N/A</v>
      </c>
      <c r="Y623" t="e">
        <f t="shared" si="48"/>
        <v>#N/A</v>
      </c>
      <c r="Z623" t="e">
        <f t="shared" si="49"/>
        <v>#N/A</v>
      </c>
    </row>
    <row r="624" spans="21:26" x14ac:dyDescent="0.3">
      <c r="U624" t="e">
        <f t="shared" si="45"/>
        <v>#N/A</v>
      </c>
      <c r="V624">
        <v>2.21</v>
      </c>
      <c r="W624">
        <f t="shared" si="46"/>
        <v>3.470093895391882E-2</v>
      </c>
      <c r="X624" t="e">
        <f t="shared" si="47"/>
        <v>#N/A</v>
      </c>
      <c r="Y624" t="e">
        <f t="shared" si="48"/>
        <v>#N/A</v>
      </c>
      <c r="Z624" t="e">
        <f t="shared" si="49"/>
        <v>#N/A</v>
      </c>
    </row>
    <row r="625" spans="21:26" x14ac:dyDescent="0.3">
      <c r="U625" t="e">
        <f t="shared" si="45"/>
        <v>#N/A</v>
      </c>
      <c r="V625">
        <v>2.2200000000000002</v>
      </c>
      <c r="W625">
        <f t="shared" si="46"/>
        <v>3.3940763182449186E-2</v>
      </c>
      <c r="X625" t="e">
        <f t="shared" si="47"/>
        <v>#N/A</v>
      </c>
      <c r="Y625" t="e">
        <f t="shared" si="48"/>
        <v>#N/A</v>
      </c>
      <c r="Z625" t="e">
        <f t="shared" si="49"/>
        <v>#N/A</v>
      </c>
    </row>
    <row r="626" spans="21:26" x14ac:dyDescent="0.3">
      <c r="U626" t="e">
        <f t="shared" si="45"/>
        <v>#N/A</v>
      </c>
      <c r="V626">
        <v>2.23</v>
      </c>
      <c r="W626">
        <f t="shared" si="46"/>
        <v>3.3193920635861122E-2</v>
      </c>
      <c r="X626" t="e">
        <f t="shared" si="47"/>
        <v>#N/A</v>
      </c>
      <c r="Y626" t="e">
        <f t="shared" si="48"/>
        <v>#N/A</v>
      </c>
      <c r="Z626" t="e">
        <f t="shared" si="49"/>
        <v>#N/A</v>
      </c>
    </row>
    <row r="627" spans="21:26" x14ac:dyDescent="0.3">
      <c r="U627" t="e">
        <f t="shared" si="45"/>
        <v>#N/A</v>
      </c>
      <c r="V627">
        <v>2.2400000000000002</v>
      </c>
      <c r="W627">
        <f t="shared" si="46"/>
        <v>3.2460265643697445E-2</v>
      </c>
      <c r="X627" t="e">
        <f t="shared" si="47"/>
        <v>#N/A</v>
      </c>
      <c r="Y627" t="e">
        <f t="shared" si="48"/>
        <v>#N/A</v>
      </c>
      <c r="Z627" t="e">
        <f t="shared" si="49"/>
        <v>#N/A</v>
      </c>
    </row>
    <row r="628" spans="21:26" x14ac:dyDescent="0.3">
      <c r="U628" t="e">
        <f t="shared" si="45"/>
        <v>#N/A</v>
      </c>
      <c r="V628">
        <v>2.25</v>
      </c>
      <c r="W628">
        <f t="shared" si="46"/>
        <v>3.1739651835667418E-2</v>
      </c>
      <c r="X628" t="e">
        <f t="shared" si="47"/>
        <v>#N/A</v>
      </c>
      <c r="Y628" t="e">
        <f t="shared" si="48"/>
        <v>#N/A</v>
      </c>
      <c r="Z628" t="e">
        <f t="shared" si="49"/>
        <v>#N/A</v>
      </c>
    </row>
    <row r="629" spans="21:26" x14ac:dyDescent="0.3">
      <c r="U629" t="e">
        <f t="shared" si="45"/>
        <v>#N/A</v>
      </c>
      <c r="V629">
        <v>2.2599999999999998</v>
      </c>
      <c r="W629">
        <f t="shared" si="46"/>
        <v>3.103193221500827E-2</v>
      </c>
      <c r="X629" t="e">
        <f t="shared" si="47"/>
        <v>#N/A</v>
      </c>
      <c r="Y629" t="e">
        <f t="shared" si="48"/>
        <v>#N/A</v>
      </c>
      <c r="Z629" t="e">
        <f t="shared" si="49"/>
        <v>#N/A</v>
      </c>
    </row>
    <row r="630" spans="21:26" x14ac:dyDescent="0.3">
      <c r="U630" t="e">
        <f t="shared" si="45"/>
        <v>#N/A</v>
      </c>
      <c r="V630">
        <v>2.27</v>
      </c>
      <c r="W630">
        <f t="shared" si="46"/>
        <v>3.0336959230531636E-2</v>
      </c>
      <c r="X630" t="e">
        <f t="shared" si="47"/>
        <v>#N/A</v>
      </c>
      <c r="Y630" t="e">
        <f t="shared" si="48"/>
        <v>#N/A</v>
      </c>
      <c r="Z630" t="e">
        <f t="shared" si="49"/>
        <v>#N/A</v>
      </c>
    </row>
    <row r="631" spans="21:26" x14ac:dyDescent="0.3">
      <c r="U631" t="e">
        <f t="shared" si="45"/>
        <v>#N/A</v>
      </c>
      <c r="V631">
        <v>2.2799999999999998</v>
      </c>
      <c r="W631">
        <f t="shared" si="46"/>
        <v>2.9654584847341278E-2</v>
      </c>
      <c r="X631" t="e">
        <f t="shared" si="47"/>
        <v>#N/A</v>
      </c>
      <c r="Y631" t="e">
        <f t="shared" si="48"/>
        <v>#N/A</v>
      </c>
      <c r="Z631" t="e">
        <f t="shared" si="49"/>
        <v>#N/A</v>
      </c>
    </row>
    <row r="632" spans="21:26" x14ac:dyDescent="0.3">
      <c r="U632" t="e">
        <f t="shared" si="45"/>
        <v>#N/A</v>
      </c>
      <c r="V632">
        <v>2.29</v>
      </c>
      <c r="W632">
        <f t="shared" si="46"/>
        <v>2.8984660616209412E-2</v>
      </c>
      <c r="X632" t="e">
        <f t="shared" si="47"/>
        <v>#N/A</v>
      </c>
      <c r="Y632" t="e">
        <f t="shared" si="48"/>
        <v>#N/A</v>
      </c>
      <c r="Z632" t="e">
        <f t="shared" si="49"/>
        <v>#N/A</v>
      </c>
    </row>
    <row r="633" spans="21:26" x14ac:dyDescent="0.3">
      <c r="U633" t="e">
        <f t="shared" si="45"/>
        <v>#N/A</v>
      </c>
      <c r="V633">
        <v>2.2999999999999998</v>
      </c>
      <c r="W633">
        <f t="shared" si="46"/>
        <v>2.8327037741601186E-2</v>
      </c>
      <c r="X633" t="e">
        <f t="shared" si="47"/>
        <v>#N/A</v>
      </c>
      <c r="Y633" t="e">
        <f t="shared" si="48"/>
        <v>#N/A</v>
      </c>
      <c r="Z633" t="e">
        <f t="shared" si="49"/>
        <v>#N/A</v>
      </c>
    </row>
    <row r="634" spans="21:26" x14ac:dyDescent="0.3">
      <c r="U634" t="e">
        <f t="shared" si="45"/>
        <v>#N/A</v>
      </c>
      <c r="V634">
        <v>2.31</v>
      </c>
      <c r="W634">
        <f t="shared" si="46"/>
        <v>2.7681567148336573E-2</v>
      </c>
      <c r="X634" t="e">
        <f t="shared" si="47"/>
        <v>#N/A</v>
      </c>
      <c r="Y634" t="e">
        <f t="shared" si="48"/>
        <v>#N/A</v>
      </c>
      <c r="Z634" t="e">
        <f t="shared" si="49"/>
        <v>#N/A</v>
      </c>
    </row>
    <row r="635" spans="21:26" x14ac:dyDescent="0.3">
      <c r="U635" t="e">
        <f t="shared" si="45"/>
        <v>#N/A</v>
      </c>
      <c r="V635">
        <v>2.3199999999999998</v>
      </c>
      <c r="W635">
        <f t="shared" si="46"/>
        <v>2.7048099546881785E-2</v>
      </c>
      <c r="X635" t="e">
        <f t="shared" si="47"/>
        <v>#N/A</v>
      </c>
      <c r="Y635" t="e">
        <f t="shared" si="48"/>
        <v>#N/A</v>
      </c>
      <c r="Z635" t="e">
        <f t="shared" si="49"/>
        <v>#N/A</v>
      </c>
    </row>
    <row r="636" spans="21:26" x14ac:dyDescent="0.3">
      <c r="U636" t="e">
        <f t="shared" si="45"/>
        <v>#N/A</v>
      </c>
      <c r="V636">
        <v>2.33</v>
      </c>
      <c r="W636">
        <f t="shared" si="46"/>
        <v>2.6426485497261721E-2</v>
      </c>
      <c r="X636" t="e">
        <f t="shared" si="47"/>
        <v>#N/A</v>
      </c>
      <c r="Y636" t="e">
        <f t="shared" si="48"/>
        <v>#N/A</v>
      </c>
      <c r="Z636" t="e">
        <f t="shared" si="49"/>
        <v>#N/A</v>
      </c>
    </row>
    <row r="637" spans="21:26" x14ac:dyDescent="0.3">
      <c r="U637" t="e">
        <f t="shared" si="45"/>
        <v>#N/A</v>
      </c>
      <c r="V637">
        <v>2.34</v>
      </c>
      <c r="W637">
        <f t="shared" si="46"/>
        <v>2.581657547158769E-2</v>
      </c>
      <c r="X637" t="e">
        <f t="shared" si="47"/>
        <v>#N/A</v>
      </c>
      <c r="Y637" t="e">
        <f t="shared" si="48"/>
        <v>#N/A</v>
      </c>
      <c r="Z637" t="e">
        <f t="shared" si="49"/>
        <v>#N/A</v>
      </c>
    </row>
    <row r="638" spans="21:26" x14ac:dyDescent="0.3">
      <c r="U638" t="e">
        <f t="shared" si="45"/>
        <v>#N/A</v>
      </c>
      <c r="V638">
        <v>2.35</v>
      </c>
      <c r="W638">
        <f t="shared" si="46"/>
        <v>2.5218219915194382E-2</v>
      </c>
      <c r="X638" t="e">
        <f t="shared" si="47"/>
        <v>#N/A</v>
      </c>
      <c r="Y638" t="e">
        <f t="shared" si="48"/>
        <v>#N/A</v>
      </c>
      <c r="Z638" t="e">
        <f t="shared" si="49"/>
        <v>#N/A</v>
      </c>
    </row>
    <row r="639" spans="21:26" x14ac:dyDescent="0.3">
      <c r="U639" t="e">
        <f t="shared" si="45"/>
        <v>#N/A</v>
      </c>
      <c r="V639">
        <v>2.36</v>
      </c>
      <c r="W639">
        <f t="shared" si="46"/>
        <v>2.4631269306382507E-2</v>
      </c>
      <c r="X639" t="e">
        <f t="shared" si="47"/>
        <v>#N/A</v>
      </c>
      <c r="Y639" t="e">
        <f t="shared" si="48"/>
        <v>#N/A</v>
      </c>
      <c r="Z639" t="e">
        <f t="shared" si="49"/>
        <v>#N/A</v>
      </c>
    </row>
    <row r="640" spans="21:26" x14ac:dyDescent="0.3">
      <c r="U640" t="e">
        <f t="shared" si="45"/>
        <v>#N/A</v>
      </c>
      <c r="V640">
        <v>2.37</v>
      </c>
      <c r="W640">
        <f t="shared" si="46"/>
        <v>2.4055574214762971E-2</v>
      </c>
      <c r="X640" t="e">
        <f t="shared" si="47"/>
        <v>#N/A</v>
      </c>
      <c r="Y640" t="e">
        <f t="shared" si="48"/>
        <v>#N/A</v>
      </c>
      <c r="Z640" t="e">
        <f t="shared" si="49"/>
        <v>#N/A</v>
      </c>
    </row>
    <row r="641" spans="21:26" x14ac:dyDescent="0.3">
      <c r="U641" t="e">
        <f t="shared" si="45"/>
        <v>#N/A</v>
      </c>
      <c r="V641">
        <v>2.38</v>
      </c>
      <c r="W641">
        <f t="shared" si="46"/>
        <v>2.3490985358201363E-2</v>
      </c>
      <c r="X641" t="e">
        <f t="shared" si="47"/>
        <v>#N/A</v>
      </c>
      <c r="Y641" t="e">
        <f t="shared" si="48"/>
        <v>#N/A</v>
      </c>
      <c r="Z641" t="e">
        <f t="shared" si="49"/>
        <v>#N/A</v>
      </c>
    </row>
    <row r="642" spans="21:26" x14ac:dyDescent="0.3">
      <c r="U642" t="e">
        <f t="shared" si="45"/>
        <v>#N/A</v>
      </c>
      <c r="V642">
        <v>2.39</v>
      </c>
      <c r="W642">
        <f t="shared" si="46"/>
        <v>2.2937353658360693E-2</v>
      </c>
      <c r="X642" t="e">
        <f t="shared" si="47"/>
        <v>#N/A</v>
      </c>
      <c r="Y642" t="e">
        <f t="shared" si="48"/>
        <v>#N/A</v>
      </c>
      <c r="Z642" t="e">
        <f t="shared" si="49"/>
        <v>#N/A</v>
      </c>
    </row>
    <row r="643" spans="21:26" x14ac:dyDescent="0.3">
      <c r="U643" t="e">
        <f t="shared" si="45"/>
        <v>#N/A</v>
      </c>
      <c r="V643">
        <v>2.4</v>
      </c>
      <c r="W643">
        <f t="shared" si="46"/>
        <v>2.2394530294842899E-2</v>
      </c>
      <c r="X643" t="e">
        <f t="shared" si="47"/>
        <v>#N/A</v>
      </c>
      <c r="Y643" t="e">
        <f t="shared" si="48"/>
        <v>#N/A</v>
      </c>
      <c r="Z643" t="e">
        <f t="shared" si="49"/>
        <v>#N/A</v>
      </c>
    </row>
    <row r="644" spans="21:26" x14ac:dyDescent="0.3">
      <c r="U644" t="e">
        <f t="shared" ref="U644:U707" si="50">IF($A$2=ABS(V644),0,NA())</f>
        <v>#N/A</v>
      </c>
      <c r="V644">
        <v>2.41</v>
      </c>
      <c r="W644">
        <f t="shared" ref="W644:W707" si="51">_xlfn.NORM.S.DIST(V644,0)</f>
        <v>2.1862366757929387E-2</v>
      </c>
      <c r="X644" t="e">
        <f t="shared" ref="X644:X707" si="52">IF(ABS(V644)=$A$2,W644,NA())</f>
        <v>#N/A</v>
      </c>
      <c r="Y644" t="e">
        <f t="shared" ref="Y644:Y707" si="53">IF(V644&lt;=$A$2,W644,NA())</f>
        <v>#N/A</v>
      </c>
      <c r="Z644" t="e">
        <f t="shared" ref="Z644:Z707" si="54">IF(ABS(V644)&lt;=$A$2,W644,NA())</f>
        <v>#N/A</v>
      </c>
    </row>
    <row r="645" spans="21:26" x14ac:dyDescent="0.3">
      <c r="U645" t="e">
        <f t="shared" si="50"/>
        <v>#N/A</v>
      </c>
      <c r="V645">
        <v>2.42</v>
      </c>
      <c r="W645">
        <f t="shared" si="51"/>
        <v>2.1340714899922782E-2</v>
      </c>
      <c r="X645" t="e">
        <f t="shared" si="52"/>
        <v>#N/A</v>
      </c>
      <c r="Y645" t="e">
        <f t="shared" si="53"/>
        <v>#N/A</v>
      </c>
      <c r="Z645" t="e">
        <f t="shared" si="54"/>
        <v>#N/A</v>
      </c>
    </row>
    <row r="646" spans="21:26" x14ac:dyDescent="0.3">
      <c r="U646" t="e">
        <f t="shared" si="50"/>
        <v>#N/A</v>
      </c>
      <c r="V646">
        <v>2.4300000000000002</v>
      </c>
      <c r="W646">
        <f t="shared" si="51"/>
        <v>2.0829426985092186E-2</v>
      </c>
      <c r="X646" t="e">
        <f t="shared" si="52"/>
        <v>#N/A</v>
      </c>
      <c r="Y646" t="e">
        <f t="shared" si="53"/>
        <v>#N/A</v>
      </c>
      <c r="Z646" t="e">
        <f t="shared" si="54"/>
        <v>#N/A</v>
      </c>
    </row>
    <row r="647" spans="21:26" x14ac:dyDescent="0.3">
      <c r="U647" t="e">
        <f t="shared" si="50"/>
        <v>#N/A</v>
      </c>
      <c r="V647">
        <v>2.44</v>
      </c>
      <c r="W647">
        <f t="shared" si="51"/>
        <v>2.0328355738225837E-2</v>
      </c>
      <c r="X647" t="e">
        <f t="shared" si="52"/>
        <v>#N/A</v>
      </c>
      <c r="Y647" t="e">
        <f t="shared" si="53"/>
        <v>#N/A</v>
      </c>
      <c r="Z647" t="e">
        <f t="shared" si="54"/>
        <v>#N/A</v>
      </c>
    </row>
    <row r="648" spans="21:26" x14ac:dyDescent="0.3">
      <c r="U648" t="e">
        <f t="shared" si="50"/>
        <v>#N/A</v>
      </c>
      <c r="V648">
        <v>2.4500000000000002</v>
      </c>
      <c r="W648">
        <f t="shared" si="51"/>
        <v>1.9837354391795313E-2</v>
      </c>
      <c r="X648" t="e">
        <f t="shared" si="52"/>
        <v>#N/A</v>
      </c>
      <c r="Y648" t="e">
        <f t="shared" si="53"/>
        <v>#N/A</v>
      </c>
      <c r="Z648" t="e">
        <f t="shared" si="54"/>
        <v>#N/A</v>
      </c>
    </row>
    <row r="649" spans="21:26" x14ac:dyDescent="0.3">
      <c r="U649" t="e">
        <f t="shared" si="50"/>
        <v>#N/A</v>
      </c>
      <c r="V649">
        <v>2.46</v>
      </c>
      <c r="W649">
        <f t="shared" si="51"/>
        <v>1.9356276731736961E-2</v>
      </c>
      <c r="X649" t="e">
        <f t="shared" si="52"/>
        <v>#N/A</v>
      </c>
      <c r="Y649" t="e">
        <f t="shared" si="53"/>
        <v>#N/A</v>
      </c>
      <c r="Z649" t="e">
        <f t="shared" si="54"/>
        <v>#N/A</v>
      </c>
    </row>
    <row r="650" spans="21:26" x14ac:dyDescent="0.3">
      <c r="U650" t="e">
        <f t="shared" si="50"/>
        <v>#N/A</v>
      </c>
      <c r="V650">
        <v>2.4700000000000002</v>
      </c>
      <c r="W650">
        <f t="shared" si="51"/>
        <v>1.8884977141856163E-2</v>
      </c>
      <c r="X650" t="e">
        <f t="shared" si="52"/>
        <v>#N/A</v>
      </c>
      <c r="Y650" t="e">
        <f t="shared" si="53"/>
        <v>#N/A</v>
      </c>
      <c r="Z650" t="e">
        <f t="shared" si="54"/>
        <v>#N/A</v>
      </c>
    </row>
    <row r="651" spans="21:26" x14ac:dyDescent="0.3">
      <c r="U651" t="e">
        <f t="shared" si="50"/>
        <v>#N/A</v>
      </c>
      <c r="V651">
        <v>2.48</v>
      </c>
      <c r="W651">
        <f t="shared" si="51"/>
        <v>1.8423310646862048E-2</v>
      </c>
      <c r="X651" t="e">
        <f t="shared" si="52"/>
        <v>#N/A</v>
      </c>
      <c r="Y651" t="e">
        <f t="shared" si="53"/>
        <v>#N/A</v>
      </c>
      <c r="Z651" t="e">
        <f t="shared" si="54"/>
        <v>#N/A</v>
      </c>
    </row>
    <row r="652" spans="21:26" x14ac:dyDescent="0.3">
      <c r="U652" t="e">
        <f t="shared" si="50"/>
        <v>#N/A</v>
      </c>
      <c r="V652">
        <v>2.4900000000000002</v>
      </c>
      <c r="W652">
        <f t="shared" si="51"/>
        <v>1.7971132954039633E-2</v>
      </c>
      <c r="X652" t="e">
        <f t="shared" si="52"/>
        <v>#N/A</v>
      </c>
      <c r="Y652" t="e">
        <f t="shared" si="53"/>
        <v>#N/A</v>
      </c>
      <c r="Z652" t="e">
        <f t="shared" si="54"/>
        <v>#N/A</v>
      </c>
    </row>
    <row r="653" spans="21:26" x14ac:dyDescent="0.3">
      <c r="U653" t="e">
        <f t="shared" si="50"/>
        <v>#N/A</v>
      </c>
      <c r="V653">
        <v>2.5</v>
      </c>
      <c r="W653">
        <f t="shared" si="51"/>
        <v>1.752830049356854E-2</v>
      </c>
      <c r="X653" t="e">
        <f t="shared" si="52"/>
        <v>#N/A</v>
      </c>
      <c r="Y653" t="e">
        <f t="shared" si="53"/>
        <v>#N/A</v>
      </c>
      <c r="Z653" t="e">
        <f t="shared" si="54"/>
        <v>#N/A</v>
      </c>
    </row>
    <row r="654" spans="21:26" x14ac:dyDescent="0.3">
      <c r="U654" t="e">
        <f t="shared" si="50"/>
        <v>#N/A</v>
      </c>
      <c r="V654">
        <v>2.5099999999999998</v>
      </c>
      <c r="W654">
        <f t="shared" si="51"/>
        <v>1.7094670457496956E-2</v>
      </c>
      <c r="X654" t="e">
        <f t="shared" si="52"/>
        <v>#N/A</v>
      </c>
      <c r="Y654" t="e">
        <f t="shared" si="53"/>
        <v>#N/A</v>
      </c>
      <c r="Z654" t="e">
        <f t="shared" si="54"/>
        <v>#N/A</v>
      </c>
    </row>
    <row r="655" spans="21:26" x14ac:dyDescent="0.3">
      <c r="U655" t="e">
        <f t="shared" si="50"/>
        <v>#N/A</v>
      </c>
      <c r="V655">
        <v>2.52</v>
      </c>
      <c r="W655">
        <f t="shared" si="51"/>
        <v>1.6670100837381057E-2</v>
      </c>
      <c r="X655" t="e">
        <f t="shared" si="52"/>
        <v>#N/A</v>
      </c>
      <c r="Y655" t="e">
        <f t="shared" si="53"/>
        <v>#N/A</v>
      </c>
      <c r="Z655" t="e">
        <f t="shared" si="54"/>
        <v>#N/A</v>
      </c>
    </row>
    <row r="656" spans="21:26" x14ac:dyDescent="0.3">
      <c r="U656" t="e">
        <f t="shared" si="50"/>
        <v>#N/A</v>
      </c>
      <c r="V656">
        <v>2.5299999999999998</v>
      </c>
      <c r="W656">
        <f t="shared" si="51"/>
        <v>1.6254450460600506E-2</v>
      </c>
      <c r="X656" t="e">
        <f t="shared" si="52"/>
        <v>#N/A</v>
      </c>
      <c r="Y656" t="e">
        <f t="shared" si="53"/>
        <v>#N/A</v>
      </c>
      <c r="Z656" t="e">
        <f t="shared" si="54"/>
        <v>#N/A</v>
      </c>
    </row>
    <row r="657" spans="21:26" x14ac:dyDescent="0.3">
      <c r="U657" t="e">
        <f t="shared" si="50"/>
        <v>#N/A</v>
      </c>
      <c r="V657">
        <v>2.54</v>
      </c>
      <c r="W657">
        <f t="shared" si="51"/>
        <v>1.5847579025360818E-2</v>
      </c>
      <c r="X657" t="e">
        <f t="shared" si="52"/>
        <v>#N/A</v>
      </c>
      <c r="Y657" t="e">
        <f t="shared" si="53"/>
        <v>#N/A</v>
      </c>
      <c r="Z657" t="e">
        <f t="shared" si="54"/>
        <v>#N/A</v>
      </c>
    </row>
    <row r="658" spans="21:26" x14ac:dyDescent="0.3">
      <c r="U658" t="e">
        <f t="shared" si="50"/>
        <v>#N/A</v>
      </c>
      <c r="V658">
        <v>2.5499999999999998</v>
      </c>
      <c r="W658">
        <f t="shared" si="51"/>
        <v>1.5449347134395174E-2</v>
      </c>
      <c r="X658" t="e">
        <f t="shared" si="52"/>
        <v>#N/A</v>
      </c>
      <c r="Y658" t="e">
        <f t="shared" si="53"/>
        <v>#N/A</v>
      </c>
      <c r="Z658" t="e">
        <f t="shared" si="54"/>
        <v>#N/A</v>
      </c>
    </row>
    <row r="659" spans="21:26" x14ac:dyDescent="0.3">
      <c r="U659" t="e">
        <f t="shared" si="50"/>
        <v>#N/A</v>
      </c>
      <c r="V659">
        <v>2.56</v>
      </c>
      <c r="W659">
        <f t="shared" si="51"/>
        <v>1.5059616327377449E-2</v>
      </c>
      <c r="X659" t="e">
        <f t="shared" si="52"/>
        <v>#N/A</v>
      </c>
      <c r="Y659" t="e">
        <f t="shared" si="53"/>
        <v>#N/A</v>
      </c>
      <c r="Z659" t="e">
        <f t="shared" si="54"/>
        <v>#N/A</v>
      </c>
    </row>
    <row r="660" spans="21:26" x14ac:dyDescent="0.3">
      <c r="U660" t="e">
        <f t="shared" si="50"/>
        <v>#N/A</v>
      </c>
      <c r="V660">
        <v>2.57</v>
      </c>
      <c r="W660">
        <f t="shared" si="51"/>
        <v>1.4678249112060044E-2</v>
      </c>
      <c r="X660" t="e">
        <f t="shared" si="52"/>
        <v>#N/A</v>
      </c>
      <c r="Y660" t="e">
        <f t="shared" si="53"/>
        <v>#N/A</v>
      </c>
      <c r="Z660" t="e">
        <f t="shared" si="54"/>
        <v>#N/A</v>
      </c>
    </row>
    <row r="661" spans="21:26" x14ac:dyDescent="0.3">
      <c r="U661" t="e">
        <f t="shared" si="50"/>
        <v>#N/A</v>
      </c>
      <c r="V661">
        <v>2.58</v>
      </c>
      <c r="W661">
        <f t="shared" si="51"/>
        <v>1.430510899414969E-2</v>
      </c>
      <c r="X661" t="e">
        <f t="shared" si="52"/>
        <v>#N/A</v>
      </c>
      <c r="Y661" t="e">
        <f t="shared" si="53"/>
        <v>#N/A</v>
      </c>
      <c r="Z661" t="e">
        <f t="shared" si="54"/>
        <v>#N/A</v>
      </c>
    </row>
    <row r="662" spans="21:26" x14ac:dyDescent="0.3">
      <c r="U662" t="e">
        <f t="shared" si="50"/>
        <v>#N/A</v>
      </c>
      <c r="V662">
        <v>2.59</v>
      </c>
      <c r="W662">
        <f t="shared" si="51"/>
        <v>1.3940060505935825E-2</v>
      </c>
      <c r="X662" t="e">
        <f t="shared" si="52"/>
        <v>#N/A</v>
      </c>
      <c r="Y662" t="e">
        <f t="shared" si="53"/>
        <v>#N/A</v>
      </c>
      <c r="Z662" t="e">
        <f t="shared" si="54"/>
        <v>#N/A</v>
      </c>
    </row>
    <row r="663" spans="21:26" x14ac:dyDescent="0.3">
      <c r="U663" t="e">
        <f t="shared" si="50"/>
        <v>#N/A</v>
      </c>
      <c r="V663">
        <v>2.6</v>
      </c>
      <c r="W663">
        <f t="shared" si="51"/>
        <v>1.3582969233685613E-2</v>
      </c>
      <c r="X663" t="e">
        <f t="shared" si="52"/>
        <v>#N/A</v>
      </c>
      <c r="Y663" t="e">
        <f t="shared" si="53"/>
        <v>#N/A</v>
      </c>
      <c r="Z663" t="e">
        <f t="shared" si="54"/>
        <v>#N/A</v>
      </c>
    </row>
    <row r="664" spans="21:26" x14ac:dyDescent="0.3">
      <c r="U664" t="e">
        <f t="shared" si="50"/>
        <v>#N/A</v>
      </c>
      <c r="V664">
        <v>2.61</v>
      </c>
      <c r="W664">
        <f t="shared" si="51"/>
        <v>1.3233701843821374E-2</v>
      </c>
      <c r="X664" t="e">
        <f t="shared" si="52"/>
        <v>#N/A</v>
      </c>
      <c r="Y664" t="e">
        <f t="shared" si="53"/>
        <v>#N/A</v>
      </c>
      <c r="Z664" t="e">
        <f t="shared" si="54"/>
        <v>#N/A</v>
      </c>
    </row>
    <row r="665" spans="21:26" x14ac:dyDescent="0.3">
      <c r="U665" t="e">
        <f t="shared" si="50"/>
        <v>#N/A</v>
      </c>
      <c r="V665">
        <v>2.62</v>
      </c>
      <c r="W665">
        <f t="shared" si="51"/>
        <v>1.2892126107895304E-2</v>
      </c>
      <c r="X665" t="e">
        <f t="shared" si="52"/>
        <v>#N/A</v>
      </c>
      <c r="Y665" t="e">
        <f t="shared" si="53"/>
        <v>#N/A</v>
      </c>
      <c r="Z665" t="e">
        <f t="shared" si="54"/>
        <v>#N/A</v>
      </c>
    </row>
    <row r="666" spans="21:26" x14ac:dyDescent="0.3">
      <c r="U666" t="e">
        <f t="shared" si="50"/>
        <v>#N/A</v>
      </c>
      <c r="V666">
        <v>2.63</v>
      </c>
      <c r="W666">
        <f t="shared" si="51"/>
        <v>1.2558110926378211E-2</v>
      </c>
      <c r="X666" t="e">
        <f t="shared" si="52"/>
        <v>#N/A</v>
      </c>
      <c r="Y666" t="e">
        <f t="shared" si="53"/>
        <v>#N/A</v>
      </c>
      <c r="Z666" t="e">
        <f t="shared" si="54"/>
        <v>#N/A</v>
      </c>
    </row>
    <row r="667" spans="21:26" x14ac:dyDescent="0.3">
      <c r="U667" t="e">
        <f t="shared" si="50"/>
        <v>#N/A</v>
      </c>
      <c r="V667">
        <v>2.64</v>
      </c>
      <c r="W667">
        <f t="shared" si="51"/>
        <v>1.2231526351277971E-2</v>
      </c>
      <c r="X667" t="e">
        <f t="shared" si="52"/>
        <v>#N/A</v>
      </c>
      <c r="Y667" t="e">
        <f t="shared" si="53"/>
        <v>#N/A</v>
      </c>
      <c r="Z667" t="e">
        <f t="shared" si="54"/>
        <v>#N/A</v>
      </c>
    </row>
    <row r="668" spans="21:26" x14ac:dyDescent="0.3">
      <c r="U668" t="e">
        <f t="shared" si="50"/>
        <v>#N/A</v>
      </c>
      <c r="V668">
        <v>2.65</v>
      </c>
      <c r="W668">
        <f t="shared" si="51"/>
        <v>1.1912243607605179E-2</v>
      </c>
      <c r="X668" t="e">
        <f t="shared" si="52"/>
        <v>#N/A</v>
      </c>
      <c r="Y668" t="e">
        <f t="shared" si="53"/>
        <v>#N/A</v>
      </c>
      <c r="Z668" t="e">
        <f t="shared" si="54"/>
        <v>#N/A</v>
      </c>
    </row>
    <row r="669" spans="21:26" x14ac:dyDescent="0.3">
      <c r="U669" t="e">
        <f t="shared" si="50"/>
        <v>#N/A</v>
      </c>
      <c r="V669">
        <v>2.66</v>
      </c>
      <c r="W669">
        <f t="shared" si="51"/>
        <v>1.1600135113702561E-2</v>
      </c>
      <c r="X669" t="e">
        <f t="shared" si="52"/>
        <v>#N/A</v>
      </c>
      <c r="Y669" t="e">
        <f t="shared" si="53"/>
        <v>#N/A</v>
      </c>
      <c r="Z669" t="e">
        <f t="shared" si="54"/>
        <v>#N/A</v>
      </c>
    </row>
    <row r="670" spans="21:26" x14ac:dyDescent="0.3">
      <c r="U670" t="e">
        <f t="shared" si="50"/>
        <v>#N/A</v>
      </c>
      <c r="V670">
        <v>2.67</v>
      </c>
      <c r="W670">
        <f t="shared" si="51"/>
        <v>1.1295074500456135E-2</v>
      </c>
      <c r="X670" t="e">
        <f t="shared" si="52"/>
        <v>#N/A</v>
      </c>
      <c r="Y670" t="e">
        <f t="shared" si="53"/>
        <v>#N/A</v>
      </c>
      <c r="Z670" t="e">
        <f t="shared" si="54"/>
        <v>#N/A</v>
      </c>
    </row>
    <row r="671" spans="21:26" x14ac:dyDescent="0.3">
      <c r="U671" t="e">
        <f t="shared" si="50"/>
        <v>#N/A</v>
      </c>
      <c r="V671">
        <v>2.68</v>
      </c>
      <c r="W671">
        <f t="shared" si="51"/>
        <v>1.0996936629405572E-2</v>
      </c>
      <c r="X671" t="e">
        <f t="shared" si="52"/>
        <v>#N/A</v>
      </c>
      <c r="Y671" t="e">
        <f t="shared" si="53"/>
        <v>#N/A</v>
      </c>
      <c r="Z671" t="e">
        <f t="shared" si="54"/>
        <v>#N/A</v>
      </c>
    </row>
    <row r="672" spans="21:26" x14ac:dyDescent="0.3">
      <c r="U672" t="e">
        <f t="shared" si="50"/>
        <v>#N/A</v>
      </c>
      <c r="V672">
        <v>2.69</v>
      </c>
      <c r="W672">
        <f t="shared" si="51"/>
        <v>1.0705597609772187E-2</v>
      </c>
      <c r="X672" t="e">
        <f t="shared" si="52"/>
        <v>#N/A</v>
      </c>
      <c r="Y672" t="e">
        <f t="shared" si="53"/>
        <v>#N/A</v>
      </c>
      <c r="Z672" t="e">
        <f t="shared" si="54"/>
        <v>#N/A</v>
      </c>
    </row>
    <row r="673" spans="21:26" x14ac:dyDescent="0.3">
      <c r="U673" t="e">
        <f t="shared" si="50"/>
        <v>#N/A</v>
      </c>
      <c r="V673">
        <v>2.7</v>
      </c>
      <c r="W673">
        <f t="shared" si="51"/>
        <v>1.0420934814422592E-2</v>
      </c>
      <c r="X673" t="e">
        <f t="shared" si="52"/>
        <v>#N/A</v>
      </c>
      <c r="Y673" t="e">
        <f t="shared" si="53"/>
        <v>#N/A</v>
      </c>
      <c r="Z673" t="e">
        <f t="shared" si="54"/>
        <v>#N/A</v>
      </c>
    </row>
    <row r="674" spans="21:26" x14ac:dyDescent="0.3">
      <c r="U674" t="e">
        <f t="shared" si="50"/>
        <v>#N/A</v>
      </c>
      <c r="V674">
        <v>2.71</v>
      </c>
      <c r="W674">
        <f t="shared" si="51"/>
        <v>1.0142826894787077E-2</v>
      </c>
      <c r="X674" t="e">
        <f t="shared" si="52"/>
        <v>#N/A</v>
      </c>
      <c r="Y674" t="e">
        <f t="shared" si="53"/>
        <v>#N/A</v>
      </c>
      <c r="Z674" t="e">
        <f t="shared" si="54"/>
        <v>#N/A</v>
      </c>
    </row>
    <row r="675" spans="21:26" x14ac:dyDescent="0.3">
      <c r="U675" t="e">
        <f t="shared" si="50"/>
        <v>#N/A</v>
      </c>
      <c r="V675">
        <v>2.72</v>
      </c>
      <c r="W675">
        <f t="shared" si="51"/>
        <v>9.8711537947511301E-3</v>
      </c>
      <c r="X675" t="e">
        <f t="shared" si="52"/>
        <v>#N/A</v>
      </c>
      <c r="Y675" t="e">
        <f t="shared" si="53"/>
        <v>#N/A</v>
      </c>
      <c r="Z675" t="e">
        <f t="shared" si="54"/>
        <v>#N/A</v>
      </c>
    </row>
    <row r="676" spans="21:26" x14ac:dyDescent="0.3">
      <c r="U676" t="e">
        <f t="shared" si="50"/>
        <v>#N/A</v>
      </c>
      <c r="V676">
        <v>2.73</v>
      </c>
      <c r="W676">
        <f t="shared" si="51"/>
        <v>9.6057967635395872E-3</v>
      </c>
      <c r="X676" t="e">
        <f t="shared" si="52"/>
        <v>#N/A</v>
      </c>
      <c r="Y676" t="e">
        <f t="shared" si="53"/>
        <v>#N/A</v>
      </c>
      <c r="Z676" t="e">
        <f t="shared" si="54"/>
        <v>#N/A</v>
      </c>
    </row>
    <row r="677" spans="21:26" x14ac:dyDescent="0.3">
      <c r="U677" t="e">
        <f t="shared" si="50"/>
        <v>#N/A</v>
      </c>
      <c r="V677">
        <v>2.74</v>
      </c>
      <c r="W677">
        <f t="shared" si="51"/>
        <v>9.3466383676122835E-3</v>
      </c>
      <c r="X677" t="e">
        <f t="shared" si="52"/>
        <v>#N/A</v>
      </c>
      <c r="Y677" t="e">
        <f t="shared" si="53"/>
        <v>#N/A</v>
      </c>
      <c r="Z677" t="e">
        <f t="shared" si="54"/>
        <v>#N/A</v>
      </c>
    </row>
    <row r="678" spans="21:26" x14ac:dyDescent="0.3">
      <c r="U678" t="e">
        <f t="shared" si="50"/>
        <v>#N/A</v>
      </c>
      <c r="V678">
        <v>2.75</v>
      </c>
      <c r="W678">
        <f t="shared" si="51"/>
        <v>9.0935625015910529E-3</v>
      </c>
      <c r="X678" t="e">
        <f t="shared" si="52"/>
        <v>#N/A</v>
      </c>
      <c r="Y678" t="e">
        <f t="shared" si="53"/>
        <v>#N/A</v>
      </c>
      <c r="Z678" t="e">
        <f t="shared" si="54"/>
        <v>#N/A</v>
      </c>
    </row>
    <row r="679" spans="21:26" x14ac:dyDescent="0.3">
      <c r="U679" t="e">
        <f t="shared" si="50"/>
        <v>#N/A</v>
      </c>
      <c r="V679">
        <v>2.76</v>
      </c>
      <c r="W679">
        <f t="shared" si="51"/>
        <v>8.8464543982372315E-3</v>
      </c>
      <c r="X679" t="e">
        <f t="shared" si="52"/>
        <v>#N/A</v>
      </c>
      <c r="Y679" t="e">
        <f t="shared" si="53"/>
        <v>#N/A</v>
      </c>
      <c r="Z679" t="e">
        <f t="shared" si="54"/>
        <v>#N/A</v>
      </c>
    </row>
    <row r="680" spans="21:26" x14ac:dyDescent="0.3">
      <c r="U680" t="e">
        <f t="shared" si="50"/>
        <v>#N/A</v>
      </c>
      <c r="V680">
        <v>2.77</v>
      </c>
      <c r="W680">
        <f t="shared" si="51"/>
        <v>8.6052006374996715E-3</v>
      </c>
      <c r="X680" t="e">
        <f t="shared" si="52"/>
        <v>#N/A</v>
      </c>
      <c r="Y680" t="e">
        <f t="shared" si="53"/>
        <v>#N/A</v>
      </c>
      <c r="Z680" t="e">
        <f t="shared" si="54"/>
        <v>#N/A</v>
      </c>
    </row>
    <row r="681" spans="21:26" x14ac:dyDescent="0.3">
      <c r="U681" t="e">
        <f t="shared" si="50"/>
        <v>#N/A</v>
      </c>
      <c r="V681">
        <v>2.78</v>
      </c>
      <c r="W681">
        <f t="shared" si="51"/>
        <v>8.369689154653033E-3</v>
      </c>
      <c r="X681" t="e">
        <f t="shared" si="52"/>
        <v>#N/A</v>
      </c>
      <c r="Y681" t="e">
        <f t="shared" si="53"/>
        <v>#N/A</v>
      </c>
      <c r="Z681" t="e">
        <f t="shared" si="54"/>
        <v>#N/A</v>
      </c>
    </row>
    <row r="682" spans="21:26" x14ac:dyDescent="0.3">
      <c r="U682" t="e">
        <f t="shared" si="50"/>
        <v>#N/A</v>
      </c>
      <c r="V682">
        <v>2.79</v>
      </c>
      <c r="W682">
        <f t="shared" si="51"/>
        <v>8.1398092475460215E-3</v>
      </c>
      <c r="X682" t="e">
        <f t="shared" si="52"/>
        <v>#N/A</v>
      </c>
      <c r="Y682" t="e">
        <f t="shared" si="53"/>
        <v>#N/A</v>
      </c>
      <c r="Z682" t="e">
        <f t="shared" si="54"/>
        <v>#N/A</v>
      </c>
    </row>
    <row r="683" spans="21:26" x14ac:dyDescent="0.3">
      <c r="U683" t="e">
        <f t="shared" si="50"/>
        <v>#N/A</v>
      </c>
      <c r="V683">
        <v>2.8</v>
      </c>
      <c r="W683">
        <f t="shared" si="51"/>
        <v>7.9154515829799686E-3</v>
      </c>
      <c r="X683" t="e">
        <f t="shared" si="52"/>
        <v>#N/A</v>
      </c>
      <c r="Y683" t="e">
        <f t="shared" si="53"/>
        <v>#N/A</v>
      </c>
      <c r="Z683" t="e">
        <f t="shared" si="54"/>
        <v>#N/A</v>
      </c>
    </row>
    <row r="684" spans="21:26" x14ac:dyDescent="0.3">
      <c r="U684" t="e">
        <f t="shared" si="50"/>
        <v>#N/A</v>
      </c>
      <c r="V684">
        <v>2.81</v>
      </c>
      <c r="W684">
        <f t="shared" si="51"/>
        <v>7.6965082022373218E-3</v>
      </c>
      <c r="X684" t="e">
        <f t="shared" si="52"/>
        <v>#N/A</v>
      </c>
      <c r="Y684" t="e">
        <f t="shared" si="53"/>
        <v>#N/A</v>
      </c>
      <c r="Z684" t="e">
        <f t="shared" si="54"/>
        <v>#N/A</v>
      </c>
    </row>
    <row r="685" spans="21:26" x14ac:dyDescent="0.3">
      <c r="U685" t="e">
        <f t="shared" si="50"/>
        <v>#N/A</v>
      </c>
      <c r="V685">
        <v>2.82</v>
      </c>
      <c r="W685">
        <f t="shared" si="51"/>
        <v>7.4828725257805638E-3</v>
      </c>
      <c r="X685" t="e">
        <f t="shared" si="52"/>
        <v>#N/A</v>
      </c>
      <c r="Y685" t="e">
        <f t="shared" si="53"/>
        <v>#N/A</v>
      </c>
      <c r="Z685" t="e">
        <f t="shared" si="54"/>
        <v>#N/A</v>
      </c>
    </row>
    <row r="686" spans="21:26" x14ac:dyDescent="0.3">
      <c r="U686" t="e">
        <f t="shared" si="50"/>
        <v>#N/A</v>
      </c>
      <c r="V686">
        <v>2.83</v>
      </c>
      <c r="W686">
        <f t="shared" si="51"/>
        <v>7.2744393571412182E-3</v>
      </c>
      <c r="X686" t="e">
        <f t="shared" si="52"/>
        <v>#N/A</v>
      </c>
      <c r="Y686" t="e">
        <f t="shared" si="53"/>
        <v>#N/A</v>
      </c>
      <c r="Z686" t="e">
        <f t="shared" si="54"/>
        <v>#N/A</v>
      </c>
    </row>
    <row r="687" spans="21:26" x14ac:dyDescent="0.3">
      <c r="U687" t="e">
        <f t="shared" si="50"/>
        <v>#N/A</v>
      </c>
      <c r="V687">
        <v>2.84</v>
      </c>
      <c r="W687">
        <f t="shared" si="51"/>
        <v>7.0711048860194487E-3</v>
      </c>
      <c r="X687" t="e">
        <f t="shared" si="52"/>
        <v>#N/A</v>
      </c>
      <c r="Y687" t="e">
        <f t="shared" si="53"/>
        <v>#N/A</v>
      </c>
      <c r="Z687" t="e">
        <f t="shared" si="54"/>
        <v>#N/A</v>
      </c>
    </row>
    <row r="688" spans="21:26" x14ac:dyDescent="0.3">
      <c r="U688" t="e">
        <f t="shared" si="50"/>
        <v>#N/A</v>
      </c>
      <c r="V688">
        <v>2.85</v>
      </c>
      <c r="W688">
        <f t="shared" si="51"/>
        <v>6.8727666906139712E-3</v>
      </c>
      <c r="X688" t="e">
        <f t="shared" si="52"/>
        <v>#N/A</v>
      </c>
      <c r="Y688" t="e">
        <f t="shared" si="53"/>
        <v>#N/A</v>
      </c>
      <c r="Z688" t="e">
        <f t="shared" si="54"/>
        <v>#N/A</v>
      </c>
    </row>
    <row r="689" spans="21:26" x14ac:dyDescent="0.3">
      <c r="U689" t="e">
        <f t="shared" si="50"/>
        <v>#N/A</v>
      </c>
      <c r="V689">
        <v>2.86</v>
      </c>
      <c r="W689">
        <f t="shared" si="51"/>
        <v>6.6793237392026202E-3</v>
      </c>
      <c r="X689" t="e">
        <f t="shared" si="52"/>
        <v>#N/A</v>
      </c>
      <c r="Y689" t="e">
        <f t="shared" si="53"/>
        <v>#N/A</v>
      </c>
      <c r="Z689" t="e">
        <f t="shared" si="54"/>
        <v>#N/A</v>
      </c>
    </row>
    <row r="690" spans="21:26" x14ac:dyDescent="0.3">
      <c r="U690" t="e">
        <f t="shared" si="50"/>
        <v>#N/A</v>
      </c>
      <c r="V690">
        <v>2.87</v>
      </c>
      <c r="W690">
        <f t="shared" si="51"/>
        <v>6.4906763909933643E-3</v>
      </c>
      <c r="X690" t="e">
        <f t="shared" si="52"/>
        <v>#N/A</v>
      </c>
      <c r="Y690" t="e">
        <f t="shared" si="53"/>
        <v>#N/A</v>
      </c>
      <c r="Z690" t="e">
        <f t="shared" si="54"/>
        <v>#N/A</v>
      </c>
    </row>
    <row r="691" spans="21:26" x14ac:dyDescent="0.3">
      <c r="U691" t="e">
        <f t="shared" si="50"/>
        <v>#N/A</v>
      </c>
      <c r="V691">
        <v>2.88</v>
      </c>
      <c r="W691">
        <f t="shared" si="51"/>
        <v>6.3067263962659275E-3</v>
      </c>
      <c r="X691" t="e">
        <f t="shared" si="52"/>
        <v>#N/A</v>
      </c>
      <c r="Y691" t="e">
        <f t="shared" si="53"/>
        <v>#N/A</v>
      </c>
      <c r="Z691" t="e">
        <f t="shared" si="54"/>
        <v>#N/A</v>
      </c>
    </row>
    <row r="692" spans="21:26" x14ac:dyDescent="0.3">
      <c r="U692" t="e">
        <f t="shared" si="50"/>
        <v>#N/A</v>
      </c>
      <c r="V692">
        <v>2.89</v>
      </c>
      <c r="W692">
        <f t="shared" si="51"/>
        <v>6.1273768958236873E-3</v>
      </c>
      <c r="X692" t="e">
        <f t="shared" si="52"/>
        <v>#N/A</v>
      </c>
      <c r="Y692" t="e">
        <f t="shared" si="53"/>
        <v>#N/A</v>
      </c>
      <c r="Z692" t="e">
        <f t="shared" si="54"/>
        <v>#N/A</v>
      </c>
    </row>
    <row r="693" spans="21:26" x14ac:dyDescent="0.3">
      <c r="U693" t="e">
        <f t="shared" si="50"/>
        <v>#N/A</v>
      </c>
      <c r="V693">
        <v>2.9</v>
      </c>
      <c r="W693">
        <f t="shared" si="51"/>
        <v>5.9525324197758538E-3</v>
      </c>
      <c r="X693" t="e">
        <f t="shared" si="52"/>
        <v>#N/A</v>
      </c>
      <c r="Y693" t="e">
        <f t="shared" si="53"/>
        <v>#N/A</v>
      </c>
      <c r="Z693" t="e">
        <f t="shared" si="54"/>
        <v>#N/A</v>
      </c>
    </row>
    <row r="694" spans="21:26" x14ac:dyDescent="0.3">
      <c r="U694" t="e">
        <f t="shared" si="50"/>
        <v>#N/A</v>
      </c>
      <c r="V694">
        <v>2.91</v>
      </c>
      <c r="W694">
        <f t="shared" si="51"/>
        <v>5.7820988856694729E-3</v>
      </c>
      <c r="X694" t="e">
        <f t="shared" si="52"/>
        <v>#N/A</v>
      </c>
      <c r="Y694" t="e">
        <f t="shared" si="53"/>
        <v>#N/A</v>
      </c>
      <c r="Z694" t="e">
        <f t="shared" si="54"/>
        <v>#N/A</v>
      </c>
    </row>
    <row r="695" spans="21:26" x14ac:dyDescent="0.3">
      <c r="U695" t="e">
        <f t="shared" si="50"/>
        <v>#N/A</v>
      </c>
      <c r="V695">
        <v>2.92</v>
      </c>
      <c r="W695">
        <f t="shared" si="51"/>
        <v>5.615983595990969E-3</v>
      </c>
      <c r="X695" t="e">
        <f t="shared" si="52"/>
        <v>#N/A</v>
      </c>
      <c r="Y695" t="e">
        <f t="shared" si="53"/>
        <v>#N/A</v>
      </c>
      <c r="Z695" t="e">
        <f t="shared" si="54"/>
        <v>#N/A</v>
      </c>
    </row>
    <row r="696" spans="21:26" x14ac:dyDescent="0.3">
      <c r="U696" t="e">
        <f t="shared" si="50"/>
        <v>#N/A</v>
      </c>
      <c r="V696">
        <v>2.93</v>
      </c>
      <c r="W696">
        <f t="shared" si="51"/>
        <v>5.4540952350565454E-3</v>
      </c>
      <c r="X696" t="e">
        <f t="shared" si="52"/>
        <v>#N/A</v>
      </c>
      <c r="Y696" t="e">
        <f t="shared" si="53"/>
        <v>#N/A</v>
      </c>
      <c r="Z696" t="e">
        <f t="shared" si="54"/>
        <v>#N/A</v>
      </c>
    </row>
    <row r="697" spans="21:26" x14ac:dyDescent="0.3">
      <c r="U697" t="e">
        <f t="shared" si="50"/>
        <v>#N/A</v>
      </c>
      <c r="V697">
        <v>2.94</v>
      </c>
      <c r="W697">
        <f t="shared" si="51"/>
        <v>5.2963438653110201E-3</v>
      </c>
      <c r="X697" t="e">
        <f t="shared" si="52"/>
        <v>#N/A</v>
      </c>
      <c r="Y697" t="e">
        <f t="shared" si="53"/>
        <v>#N/A</v>
      </c>
      <c r="Z697" t="e">
        <f t="shared" si="54"/>
        <v>#N/A</v>
      </c>
    </row>
    <row r="698" spans="21:26" x14ac:dyDescent="0.3">
      <c r="U698" t="e">
        <f t="shared" si="50"/>
        <v>#N/A</v>
      </c>
      <c r="V698">
        <v>2.95</v>
      </c>
      <c r="W698">
        <f t="shared" si="51"/>
        <v>5.1426409230539392E-3</v>
      </c>
      <c r="X698" t="e">
        <f t="shared" si="52"/>
        <v>#N/A</v>
      </c>
      <c r="Y698" t="e">
        <f t="shared" si="53"/>
        <v>#N/A</v>
      </c>
      <c r="Z698" t="e">
        <f t="shared" si="54"/>
        <v>#N/A</v>
      </c>
    </row>
    <row r="699" spans="21:26" x14ac:dyDescent="0.3">
      <c r="U699" t="e">
        <f t="shared" si="50"/>
        <v>#N/A</v>
      </c>
      <c r="V699">
        <v>2.96</v>
      </c>
      <c r="W699">
        <f t="shared" si="51"/>
        <v>4.9928992136123763E-3</v>
      </c>
      <c r="X699" t="e">
        <f t="shared" si="52"/>
        <v>#N/A</v>
      </c>
      <c r="Y699" t="e">
        <f t="shared" si="53"/>
        <v>#N/A</v>
      </c>
      <c r="Z699" t="e">
        <f t="shared" si="54"/>
        <v>#N/A</v>
      </c>
    </row>
    <row r="700" spans="21:26" x14ac:dyDescent="0.3">
      <c r="U700" t="e">
        <f t="shared" si="50"/>
        <v>#N/A</v>
      </c>
      <c r="V700">
        <v>2.97</v>
      </c>
      <c r="W700">
        <f t="shared" si="51"/>
        <v>4.847032905978944E-3</v>
      </c>
      <c r="X700" t="e">
        <f t="shared" si="52"/>
        <v>#N/A</v>
      </c>
      <c r="Y700" t="e">
        <f t="shared" si="53"/>
        <v>#N/A</v>
      </c>
      <c r="Z700" t="e">
        <f t="shared" si="54"/>
        <v>#N/A</v>
      </c>
    </row>
    <row r="701" spans="21:26" x14ac:dyDescent="0.3">
      <c r="U701" t="e">
        <f t="shared" si="50"/>
        <v>#N/A</v>
      </c>
      <c r="V701">
        <v>2.98</v>
      </c>
      <c r="W701">
        <f t="shared" si="51"/>
        <v>4.7049575269339792E-3</v>
      </c>
      <c r="X701" t="e">
        <f t="shared" si="52"/>
        <v>#N/A</v>
      </c>
      <c r="Y701" t="e">
        <f t="shared" si="53"/>
        <v>#N/A</v>
      </c>
      <c r="Z701" t="e">
        <f t="shared" si="54"/>
        <v>#N/A</v>
      </c>
    </row>
    <row r="702" spans="21:26" x14ac:dyDescent="0.3">
      <c r="U702" t="e">
        <f t="shared" si="50"/>
        <v>#N/A</v>
      </c>
      <c r="V702">
        <v>2.99</v>
      </c>
      <c r="W702">
        <f t="shared" si="51"/>
        <v>4.5665899546701444E-3</v>
      </c>
      <c r="X702" t="e">
        <f t="shared" si="52"/>
        <v>#N/A</v>
      </c>
      <c r="Y702" t="e">
        <f t="shared" si="53"/>
        <v>#N/A</v>
      </c>
      <c r="Z702" t="e">
        <f t="shared" si="54"/>
        <v>#N/A</v>
      </c>
    </row>
    <row r="703" spans="21:26" x14ac:dyDescent="0.3">
      <c r="U703" t="e">
        <f t="shared" si="50"/>
        <v>#N/A</v>
      </c>
      <c r="V703">
        <v>3</v>
      </c>
      <c r="W703">
        <f t="shared" si="51"/>
        <v>4.4318484119380075E-3</v>
      </c>
      <c r="X703" t="e">
        <f t="shared" si="52"/>
        <v>#N/A</v>
      </c>
      <c r="Y703" t="e">
        <f t="shared" si="53"/>
        <v>#N/A</v>
      </c>
      <c r="Z703" t="e">
        <f t="shared" si="54"/>
        <v>#N/A</v>
      </c>
    </row>
    <row r="704" spans="21:26" x14ac:dyDescent="0.3">
      <c r="U704" t="e">
        <f t="shared" si="50"/>
        <v>#N/A</v>
      </c>
      <c r="V704">
        <v>3.01</v>
      </c>
      <c r="W704">
        <f t="shared" si="51"/>
        <v>4.3006524587304498E-3</v>
      </c>
      <c r="X704" t="e">
        <f t="shared" si="52"/>
        <v>#N/A</v>
      </c>
      <c r="Y704" t="e">
        <f t="shared" si="53"/>
        <v>#N/A</v>
      </c>
      <c r="Z704" t="e">
        <f t="shared" si="54"/>
        <v>#N/A</v>
      </c>
    </row>
    <row r="705" spans="21:26" x14ac:dyDescent="0.3">
      <c r="U705" t="e">
        <f t="shared" si="50"/>
        <v>#N/A</v>
      </c>
      <c r="V705">
        <v>3.02</v>
      </c>
      <c r="W705">
        <f t="shared" si="51"/>
        <v>4.1729229845239623E-3</v>
      </c>
      <c r="X705" t="e">
        <f t="shared" si="52"/>
        <v>#N/A</v>
      </c>
      <c r="Y705" t="e">
        <f t="shared" si="53"/>
        <v>#N/A</v>
      </c>
      <c r="Z705" t="e">
        <f t="shared" si="54"/>
        <v>#N/A</v>
      </c>
    </row>
    <row r="706" spans="21:26" x14ac:dyDescent="0.3">
      <c r="U706" t="e">
        <f t="shared" si="50"/>
        <v>#N/A</v>
      </c>
      <c r="V706">
        <v>3.03</v>
      </c>
      <c r="W706">
        <f t="shared" si="51"/>
        <v>4.04858220009443E-3</v>
      </c>
      <c r="X706" t="e">
        <f t="shared" si="52"/>
        <v>#N/A</v>
      </c>
      <c r="Y706" t="e">
        <f t="shared" si="53"/>
        <v>#N/A</v>
      </c>
      <c r="Z706" t="e">
        <f t="shared" si="54"/>
        <v>#N/A</v>
      </c>
    </row>
    <row r="707" spans="21:26" x14ac:dyDescent="0.3">
      <c r="U707" t="e">
        <f t="shared" si="50"/>
        <v>#N/A</v>
      </c>
      <c r="V707">
        <v>3.04</v>
      </c>
      <c r="W707">
        <f t="shared" si="51"/>
        <v>3.9275536289247789E-3</v>
      </c>
      <c r="X707" t="e">
        <f t="shared" si="52"/>
        <v>#N/A</v>
      </c>
      <c r="Y707" t="e">
        <f t="shared" si="53"/>
        <v>#N/A</v>
      </c>
      <c r="Z707" t="e">
        <f t="shared" si="54"/>
        <v>#N/A</v>
      </c>
    </row>
    <row r="708" spans="21:26" x14ac:dyDescent="0.3">
      <c r="U708" t="e">
        <f t="shared" ref="U708:U771" si="55">IF($A$2=ABS(V708),0,NA())</f>
        <v>#N/A</v>
      </c>
      <c r="V708">
        <v>3.05</v>
      </c>
      <c r="W708">
        <f t="shared" ref="W708:W771" si="56">_xlfn.NORM.S.DIST(V708,0)</f>
        <v>3.8097620982218104E-3</v>
      </c>
      <c r="X708" t="e">
        <f t="shared" ref="X708:X771" si="57">IF(ABS(V708)=$A$2,W708,NA())</f>
        <v>#N/A</v>
      </c>
      <c r="Y708" t="e">
        <f t="shared" ref="Y708:Y771" si="58">IF(V708&lt;=$A$2,W708,NA())</f>
        <v>#N/A</v>
      </c>
      <c r="Z708" t="e">
        <f t="shared" ref="Z708:Z771" si="59">IF(ABS(V708)&lt;=$A$2,W708,NA())</f>
        <v>#N/A</v>
      </c>
    </row>
    <row r="709" spans="21:26" x14ac:dyDescent="0.3">
      <c r="U709" t="e">
        <f t="shared" si="55"/>
        <v>#N/A</v>
      </c>
      <c r="V709">
        <v>3.06</v>
      </c>
      <c r="W709">
        <f t="shared" si="56"/>
        <v>3.6951337295590349E-3</v>
      </c>
      <c r="X709" t="e">
        <f t="shared" si="57"/>
        <v>#N/A</v>
      </c>
      <c r="Y709" t="e">
        <f t="shared" si="58"/>
        <v>#N/A</v>
      </c>
      <c r="Z709" t="e">
        <f t="shared" si="59"/>
        <v>#N/A</v>
      </c>
    </row>
    <row r="710" spans="21:26" x14ac:dyDescent="0.3">
      <c r="U710" t="e">
        <f t="shared" si="55"/>
        <v>#N/A</v>
      </c>
      <c r="V710">
        <v>3.07</v>
      </c>
      <c r="W710">
        <f t="shared" si="56"/>
        <v>3.5835959291623614E-3</v>
      </c>
      <c r="X710" t="e">
        <f t="shared" si="57"/>
        <v>#N/A</v>
      </c>
      <c r="Y710" t="e">
        <f t="shared" si="58"/>
        <v>#N/A</v>
      </c>
      <c r="Z710" t="e">
        <f t="shared" si="59"/>
        <v>#N/A</v>
      </c>
    </row>
    <row r="711" spans="21:26" x14ac:dyDescent="0.3">
      <c r="U711" t="e">
        <f t="shared" si="55"/>
        <v>#N/A</v>
      </c>
      <c r="V711">
        <v>3.08</v>
      </c>
      <c r="W711">
        <f t="shared" si="56"/>
        <v>3.4750773778549375E-3</v>
      </c>
      <c r="X711" t="e">
        <f t="shared" si="57"/>
        <v>#N/A</v>
      </c>
      <c r="Y711" t="e">
        <f t="shared" si="58"/>
        <v>#N/A</v>
      </c>
      <c r="Z711" t="e">
        <f t="shared" si="59"/>
        <v>#N/A</v>
      </c>
    </row>
    <row r="712" spans="21:26" x14ac:dyDescent="0.3">
      <c r="U712" t="e">
        <f t="shared" si="55"/>
        <v>#N/A</v>
      </c>
      <c r="V712">
        <v>3.09</v>
      </c>
      <c r="W712">
        <f t="shared" si="56"/>
        <v>3.3695080206774812E-3</v>
      </c>
      <c r="X712" t="e">
        <f t="shared" si="57"/>
        <v>#N/A</v>
      </c>
      <c r="Y712" t="e">
        <f t="shared" si="58"/>
        <v>#N/A</v>
      </c>
      <c r="Z712" t="e">
        <f t="shared" si="59"/>
        <v>#N/A</v>
      </c>
    </row>
    <row r="713" spans="21:26" x14ac:dyDescent="0.3">
      <c r="U713" t="e">
        <f t="shared" si="55"/>
        <v>#N/A</v>
      </c>
      <c r="V713">
        <v>3.1</v>
      </c>
      <c r="W713">
        <f t="shared" si="56"/>
        <v>3.2668190561999182E-3</v>
      </c>
      <c r="X713" t="e">
        <f t="shared" si="57"/>
        <v>#N/A</v>
      </c>
      <c r="Y713" t="e">
        <f t="shared" si="58"/>
        <v>#N/A</v>
      </c>
      <c r="Z713" t="e">
        <f t="shared" si="59"/>
        <v>#N/A</v>
      </c>
    </row>
    <row r="714" spans="21:26" x14ac:dyDescent="0.3">
      <c r="U714" t="e">
        <f t="shared" si="55"/>
        <v>#N/A</v>
      </c>
      <c r="V714">
        <v>3.11</v>
      </c>
      <c r="W714">
        <f t="shared" si="56"/>
        <v>3.1669429255400811E-3</v>
      </c>
      <c r="X714" t="e">
        <f t="shared" si="57"/>
        <v>#N/A</v>
      </c>
      <c r="Y714" t="e">
        <f t="shared" si="58"/>
        <v>#N/A</v>
      </c>
      <c r="Z714" t="e">
        <f t="shared" si="59"/>
        <v>#N/A</v>
      </c>
    </row>
    <row r="715" spans="21:26" x14ac:dyDescent="0.3">
      <c r="U715" t="e">
        <f t="shared" si="55"/>
        <v>#N/A</v>
      </c>
      <c r="V715">
        <v>3.12</v>
      </c>
      <c r="W715">
        <f t="shared" si="56"/>
        <v>3.0698133011047403E-3</v>
      </c>
      <c r="X715" t="e">
        <f t="shared" si="57"/>
        <v>#N/A</v>
      </c>
      <c r="Y715" t="e">
        <f t="shared" si="58"/>
        <v>#N/A</v>
      </c>
      <c r="Z715" t="e">
        <f t="shared" si="59"/>
        <v>#N/A</v>
      </c>
    </row>
    <row r="716" spans="21:26" x14ac:dyDescent="0.3">
      <c r="U716" t="e">
        <f t="shared" si="55"/>
        <v>#N/A</v>
      </c>
      <c r="V716">
        <v>3.13</v>
      </c>
      <c r="W716">
        <f t="shared" si="56"/>
        <v>2.9753650750682535E-3</v>
      </c>
      <c r="X716" t="e">
        <f t="shared" si="57"/>
        <v>#N/A</v>
      </c>
      <c r="Y716" t="e">
        <f t="shared" si="58"/>
        <v>#N/A</v>
      </c>
      <c r="Z716" t="e">
        <f t="shared" si="59"/>
        <v>#N/A</v>
      </c>
    </row>
    <row r="717" spans="21:26" x14ac:dyDescent="0.3">
      <c r="U717" t="e">
        <f t="shared" si="55"/>
        <v>#N/A</v>
      </c>
      <c r="V717">
        <v>3.14</v>
      </c>
      <c r="W717">
        <f t="shared" si="56"/>
        <v>2.8835343476034392E-3</v>
      </c>
      <c r="X717" t="e">
        <f t="shared" si="57"/>
        <v>#N/A</v>
      </c>
      <c r="Y717" t="e">
        <f t="shared" si="58"/>
        <v>#N/A</v>
      </c>
      <c r="Z717" t="e">
        <f t="shared" si="59"/>
        <v>#N/A</v>
      </c>
    </row>
    <row r="718" spans="21:26" x14ac:dyDescent="0.3">
      <c r="U718" t="e">
        <f t="shared" si="55"/>
        <v>#N/A</v>
      </c>
      <c r="V718">
        <v>3.15</v>
      </c>
      <c r="W718">
        <f t="shared" si="56"/>
        <v>2.7942584148794472E-3</v>
      </c>
      <c r="X718" t="e">
        <f t="shared" si="57"/>
        <v>#N/A</v>
      </c>
      <c r="Y718" t="e">
        <f t="shared" si="58"/>
        <v>#N/A</v>
      </c>
      <c r="Z718" t="e">
        <f t="shared" si="59"/>
        <v>#N/A</v>
      </c>
    </row>
    <row r="719" spans="21:26" x14ac:dyDescent="0.3">
      <c r="U719" t="e">
        <f t="shared" si="55"/>
        <v>#N/A</v>
      </c>
      <c r="V719">
        <v>3.16</v>
      </c>
      <c r="W719">
        <f t="shared" si="56"/>
        <v>2.7074757568406999E-3</v>
      </c>
      <c r="X719" t="e">
        <f t="shared" si="57"/>
        <v>#N/A</v>
      </c>
      <c r="Y719" t="e">
        <f t="shared" si="58"/>
        <v>#N/A</v>
      </c>
      <c r="Z719" t="e">
        <f t="shared" si="59"/>
        <v>#N/A</v>
      </c>
    </row>
    <row r="720" spans="21:26" x14ac:dyDescent="0.3">
      <c r="U720" t="e">
        <f t="shared" si="55"/>
        <v>#N/A</v>
      </c>
      <c r="V720">
        <v>3.17</v>
      </c>
      <c r="W720">
        <f t="shared" si="56"/>
        <v>2.6231260247810244E-3</v>
      </c>
      <c r="X720" t="e">
        <f t="shared" si="57"/>
        <v>#N/A</v>
      </c>
      <c r="Y720" t="e">
        <f t="shared" si="58"/>
        <v>#N/A</v>
      </c>
      <c r="Z720" t="e">
        <f t="shared" si="59"/>
        <v>#N/A</v>
      </c>
    </row>
    <row r="721" spans="21:26" x14ac:dyDescent="0.3">
      <c r="U721" t="e">
        <f t="shared" si="55"/>
        <v>#N/A</v>
      </c>
      <c r="V721">
        <v>3.18</v>
      </c>
      <c r="W721">
        <f t="shared" si="56"/>
        <v>2.5411500287265214E-3</v>
      </c>
      <c r="X721" t="e">
        <f t="shared" si="57"/>
        <v>#N/A</v>
      </c>
      <c r="Y721" t="e">
        <f t="shared" si="58"/>
        <v>#N/A</v>
      </c>
      <c r="Z721" t="e">
        <f t="shared" si="59"/>
        <v>#N/A</v>
      </c>
    </row>
    <row r="722" spans="21:26" x14ac:dyDescent="0.3">
      <c r="U722" t="e">
        <f t="shared" si="55"/>
        <v>#N/A</v>
      </c>
      <c r="V722">
        <v>3.19</v>
      </c>
      <c r="W722">
        <f t="shared" si="56"/>
        <v>2.4614897246407006E-3</v>
      </c>
      <c r="X722" t="e">
        <f t="shared" si="57"/>
        <v>#N/A</v>
      </c>
      <c r="Y722" t="e">
        <f t="shared" si="58"/>
        <v>#N/A</v>
      </c>
      <c r="Z722" t="e">
        <f t="shared" si="59"/>
        <v>#N/A</v>
      </c>
    </row>
    <row r="723" spans="21:26" x14ac:dyDescent="0.3">
      <c r="U723" t="e">
        <f t="shared" si="55"/>
        <v>#N/A</v>
      </c>
      <c r="V723">
        <v>3.2</v>
      </c>
      <c r="W723">
        <f t="shared" si="56"/>
        <v>2.3840882014648404E-3</v>
      </c>
      <c r="X723" t="e">
        <f t="shared" si="57"/>
        <v>#N/A</v>
      </c>
      <c r="Y723" t="e">
        <f t="shared" si="58"/>
        <v>#N/A</v>
      </c>
      <c r="Z723" t="e">
        <f t="shared" si="59"/>
        <v>#N/A</v>
      </c>
    </row>
    <row r="724" spans="21:26" x14ac:dyDescent="0.3">
      <c r="U724" t="e">
        <f t="shared" si="55"/>
        <v>#N/A</v>
      </c>
      <c r="V724">
        <v>3.21</v>
      </c>
      <c r="W724">
        <f t="shared" si="56"/>
        <v>2.3088896680064958E-3</v>
      </c>
      <c r="X724" t="e">
        <f t="shared" si="57"/>
        <v>#N/A</v>
      </c>
      <c r="Y724" t="e">
        <f t="shared" si="58"/>
        <v>#N/A</v>
      </c>
      <c r="Z724" t="e">
        <f t="shared" si="59"/>
        <v>#N/A</v>
      </c>
    </row>
    <row r="725" spans="21:26" x14ac:dyDescent="0.3">
      <c r="U725" t="e">
        <f t="shared" si="55"/>
        <v>#N/A</v>
      </c>
      <c r="V725">
        <v>3.22</v>
      </c>
      <c r="W725">
        <f t="shared" si="56"/>
        <v>2.2358394396885385E-3</v>
      </c>
      <c r="X725" t="e">
        <f t="shared" si="57"/>
        <v>#N/A</v>
      </c>
      <c r="Y725" t="e">
        <f t="shared" si="58"/>
        <v>#N/A</v>
      </c>
      <c r="Z725" t="e">
        <f t="shared" si="59"/>
        <v>#N/A</v>
      </c>
    </row>
    <row r="726" spans="21:26" x14ac:dyDescent="0.3">
      <c r="U726" t="e">
        <f t="shared" si="55"/>
        <v>#N/A</v>
      </c>
      <c r="V726">
        <v>3.23</v>
      </c>
      <c r="W726">
        <f t="shared" si="56"/>
        <v>2.164883925171062E-3</v>
      </c>
      <c r="X726" t="e">
        <f t="shared" si="57"/>
        <v>#N/A</v>
      </c>
      <c r="Y726" t="e">
        <f t="shared" si="58"/>
        <v>#N/A</v>
      </c>
      <c r="Z726" t="e">
        <f t="shared" si="59"/>
        <v>#N/A</v>
      </c>
    </row>
    <row r="727" spans="21:26" x14ac:dyDescent="0.3">
      <c r="U727" t="e">
        <f t="shared" si="55"/>
        <v>#N/A</v>
      </c>
      <c r="V727">
        <v>3.24</v>
      </c>
      <c r="W727">
        <f t="shared" si="56"/>
        <v>2.0959706128579419E-3</v>
      </c>
      <c r="X727" t="e">
        <f t="shared" si="57"/>
        <v>#N/A</v>
      </c>
      <c r="Y727" t="e">
        <f t="shared" si="58"/>
        <v>#N/A</v>
      </c>
      <c r="Z727" t="e">
        <f t="shared" si="59"/>
        <v>#N/A</v>
      </c>
    </row>
    <row r="728" spans="21:26" x14ac:dyDescent="0.3">
      <c r="U728" t="e">
        <f t="shared" si="55"/>
        <v>#N/A</v>
      </c>
      <c r="V728">
        <v>3.25</v>
      </c>
      <c r="W728">
        <f t="shared" si="56"/>
        <v>2.0290480572997681E-3</v>
      </c>
      <c r="X728" t="e">
        <f t="shared" si="57"/>
        <v>#N/A</v>
      </c>
      <c r="Y728" t="e">
        <f t="shared" si="58"/>
        <v>#N/A</v>
      </c>
      <c r="Z728" t="e">
        <f t="shared" si="59"/>
        <v>#N/A</v>
      </c>
    </row>
    <row r="729" spans="21:26" x14ac:dyDescent="0.3">
      <c r="U729" t="e">
        <f t="shared" si="55"/>
        <v>#N/A</v>
      </c>
      <c r="V729">
        <v>3.26</v>
      </c>
      <c r="W729">
        <f t="shared" si="56"/>
        <v>1.9640658655043761E-3</v>
      </c>
      <c r="X729" t="e">
        <f t="shared" si="57"/>
        <v>#N/A</v>
      </c>
      <c r="Y729" t="e">
        <f t="shared" si="58"/>
        <v>#N/A</v>
      </c>
      <c r="Z729" t="e">
        <f t="shared" si="59"/>
        <v>#N/A</v>
      </c>
    </row>
    <row r="730" spans="21:26" x14ac:dyDescent="0.3">
      <c r="U730" t="e">
        <f t="shared" si="55"/>
        <v>#N/A</v>
      </c>
      <c r="V730">
        <v>3.27</v>
      </c>
      <c r="W730">
        <f t="shared" si="56"/>
        <v>1.9009746831660803E-3</v>
      </c>
      <c r="X730" t="e">
        <f t="shared" si="57"/>
        <v>#N/A</v>
      </c>
      <c r="Y730" t="e">
        <f t="shared" si="58"/>
        <v>#N/A</v>
      </c>
      <c r="Z730" t="e">
        <f t="shared" si="59"/>
        <v>#N/A</v>
      </c>
    </row>
    <row r="731" spans="21:26" x14ac:dyDescent="0.3">
      <c r="U731" t="e">
        <f t="shared" si="55"/>
        <v>#N/A</v>
      </c>
      <c r="V731">
        <v>3.28</v>
      </c>
      <c r="W731">
        <f t="shared" si="56"/>
        <v>1.839726180824281E-3</v>
      </c>
      <c r="X731" t="e">
        <f t="shared" si="57"/>
        <v>#N/A</v>
      </c>
      <c r="Y731" t="e">
        <f t="shared" si="58"/>
        <v>#N/A</v>
      </c>
      <c r="Z731" t="e">
        <f t="shared" si="59"/>
        <v>#N/A</v>
      </c>
    </row>
    <row r="732" spans="21:26" x14ac:dyDescent="0.3">
      <c r="U732" t="e">
        <f t="shared" si="55"/>
        <v>#N/A</v>
      </c>
      <c r="V732">
        <v>3.29</v>
      </c>
      <c r="W732">
        <f t="shared" si="56"/>
        <v>1.7802730399618786E-3</v>
      </c>
      <c r="X732" t="e">
        <f t="shared" si="57"/>
        <v>#N/A</v>
      </c>
      <c r="Y732" t="e">
        <f t="shared" si="58"/>
        <v>#N/A</v>
      </c>
      <c r="Z732" t="e">
        <f t="shared" si="59"/>
        <v>#N/A</v>
      </c>
    </row>
    <row r="733" spans="21:26" x14ac:dyDescent="0.3">
      <c r="U733" t="e">
        <f t="shared" si="55"/>
        <v>#N/A</v>
      </c>
      <c r="V733">
        <v>3.3</v>
      </c>
      <c r="W733">
        <f t="shared" si="56"/>
        <v>1.7225689390536812E-3</v>
      </c>
      <c r="X733" t="e">
        <f t="shared" si="57"/>
        <v>#N/A</v>
      </c>
      <c r="Y733" t="e">
        <f t="shared" si="58"/>
        <v>#N/A</v>
      </c>
      <c r="Z733" t="e">
        <f t="shared" si="59"/>
        <v>#N/A</v>
      </c>
    </row>
    <row r="734" spans="21:26" x14ac:dyDescent="0.3">
      <c r="U734" t="e">
        <f t="shared" si="55"/>
        <v>#N/A</v>
      </c>
      <c r="V734">
        <v>3.31</v>
      </c>
      <c r="W734">
        <f t="shared" si="56"/>
        <v>1.6665685395745797E-3</v>
      </c>
      <c r="X734" t="e">
        <f t="shared" si="57"/>
        <v>#N/A</v>
      </c>
      <c r="Y734" t="e">
        <f t="shared" si="58"/>
        <v>#N/A</v>
      </c>
      <c r="Z734" t="e">
        <f t="shared" si="59"/>
        <v>#N/A</v>
      </c>
    </row>
    <row r="735" spans="21:26" x14ac:dyDescent="0.3">
      <c r="U735" t="e">
        <f t="shared" si="55"/>
        <v>#N/A</v>
      </c>
      <c r="V735">
        <v>3.32</v>
      </c>
      <c r="W735">
        <f t="shared" si="56"/>
        <v>1.6122274719771244E-3</v>
      </c>
      <c r="X735" t="e">
        <f t="shared" si="57"/>
        <v>#N/A</v>
      </c>
      <c r="Y735" t="e">
        <f t="shared" si="58"/>
        <v>#N/A</v>
      </c>
      <c r="Z735" t="e">
        <f t="shared" si="59"/>
        <v>#N/A</v>
      </c>
    </row>
    <row r="736" spans="21:26" x14ac:dyDescent="0.3">
      <c r="U736" t="e">
        <f t="shared" si="55"/>
        <v>#N/A</v>
      </c>
      <c r="V736">
        <v>3.33</v>
      </c>
      <c r="W736">
        <f t="shared" si="56"/>
        <v>1.5595023216476915E-3</v>
      </c>
      <c r="X736" t="e">
        <f t="shared" si="57"/>
        <v>#N/A</v>
      </c>
      <c r="Y736" t="e">
        <f t="shared" si="58"/>
        <v>#N/A</v>
      </c>
      <c r="Z736" t="e">
        <f t="shared" si="59"/>
        <v>#N/A</v>
      </c>
    </row>
    <row r="737" spans="21:26" x14ac:dyDescent="0.3">
      <c r="U737" t="e">
        <f t="shared" si="55"/>
        <v>#N/A</v>
      </c>
      <c r="V737">
        <v>3.34</v>
      </c>
      <c r="W737">
        <f t="shared" si="56"/>
        <v>1.5083506148503073E-3</v>
      </c>
      <c r="X737" t="e">
        <f t="shared" si="57"/>
        <v>#N/A</v>
      </c>
      <c r="Y737" t="e">
        <f t="shared" si="58"/>
        <v>#N/A</v>
      </c>
      <c r="Z737" t="e">
        <f t="shared" si="59"/>
        <v>#N/A</v>
      </c>
    </row>
    <row r="738" spans="21:26" x14ac:dyDescent="0.3">
      <c r="U738" t="e">
        <f t="shared" si="55"/>
        <v>#N/A</v>
      </c>
      <c r="V738">
        <v>3.35</v>
      </c>
      <c r="W738">
        <f t="shared" si="56"/>
        <v>1.4587308046667459E-3</v>
      </c>
      <c r="X738" t="e">
        <f t="shared" si="57"/>
        <v>#N/A</v>
      </c>
      <c r="Y738" t="e">
        <f t="shared" si="58"/>
        <v>#N/A</v>
      </c>
      <c r="Z738" t="e">
        <f t="shared" si="59"/>
        <v>#N/A</v>
      </c>
    </row>
    <row r="739" spans="21:26" x14ac:dyDescent="0.3">
      <c r="U739" t="e">
        <f t="shared" si="55"/>
        <v>#N/A</v>
      </c>
      <c r="V739">
        <v>3.36</v>
      </c>
      <c r="W739">
        <f t="shared" si="56"/>
        <v>1.4106022569413848E-3</v>
      </c>
      <c r="X739" t="e">
        <f t="shared" si="57"/>
        <v>#N/A</v>
      </c>
      <c r="Y739" t="e">
        <f t="shared" si="58"/>
        <v>#N/A</v>
      </c>
      <c r="Z739" t="e">
        <f t="shared" si="59"/>
        <v>#N/A</v>
      </c>
    </row>
    <row r="740" spans="21:26" x14ac:dyDescent="0.3">
      <c r="U740" t="e">
        <f t="shared" si="55"/>
        <v>#N/A</v>
      </c>
      <c r="V740">
        <v>3.37</v>
      </c>
      <c r="W740">
        <f t="shared" si="56"/>
        <v>1.3639252362389036E-3</v>
      </c>
      <c r="X740" t="e">
        <f t="shared" si="57"/>
        <v>#N/A</v>
      </c>
      <c r="Y740" t="e">
        <f t="shared" si="58"/>
        <v>#N/A</v>
      </c>
      <c r="Z740" t="e">
        <f t="shared" si="59"/>
        <v>#N/A</v>
      </c>
    </row>
    <row r="741" spans="21:26" x14ac:dyDescent="0.3">
      <c r="U741" t="e">
        <f t="shared" si="55"/>
        <v>#N/A</v>
      </c>
      <c r="V741">
        <v>3.38</v>
      </c>
      <c r="W741">
        <f t="shared" si="56"/>
        <v>1.3186608918227423E-3</v>
      </c>
      <c r="X741" t="e">
        <f t="shared" si="57"/>
        <v>#N/A</v>
      </c>
      <c r="Y741" t="e">
        <f t="shared" si="58"/>
        <v>#N/A</v>
      </c>
      <c r="Z741" t="e">
        <f t="shared" si="59"/>
        <v>#N/A</v>
      </c>
    </row>
    <row r="742" spans="21:26" x14ac:dyDescent="0.3">
      <c r="U742" t="e">
        <f t="shared" si="55"/>
        <v>#N/A</v>
      </c>
      <c r="V742">
        <v>3.39</v>
      </c>
      <c r="W742">
        <f t="shared" si="56"/>
        <v>1.2747712436618327E-3</v>
      </c>
      <c r="X742" t="e">
        <f t="shared" si="57"/>
        <v>#N/A</v>
      </c>
      <c r="Y742" t="e">
        <f t="shared" si="58"/>
        <v>#N/A</v>
      </c>
      <c r="Z742" t="e">
        <f t="shared" si="59"/>
        <v>#N/A</v>
      </c>
    </row>
    <row r="743" spans="21:26" x14ac:dyDescent="0.3">
      <c r="U743" t="e">
        <f t="shared" si="55"/>
        <v>#N/A</v>
      </c>
      <c r="V743">
        <v>3.4</v>
      </c>
      <c r="W743">
        <f t="shared" si="56"/>
        <v>1.2322191684730199E-3</v>
      </c>
      <c r="X743" t="e">
        <f t="shared" si="57"/>
        <v>#N/A</v>
      </c>
      <c r="Y743" t="e">
        <f t="shared" si="58"/>
        <v>#N/A</v>
      </c>
      <c r="Z743" t="e">
        <f t="shared" si="59"/>
        <v>#N/A</v>
      </c>
    </row>
    <row r="744" spans="21:26" x14ac:dyDescent="0.3">
      <c r="U744" t="e">
        <f t="shared" si="55"/>
        <v>#N/A</v>
      </c>
      <c r="V744">
        <v>3.41</v>
      </c>
      <c r="W744">
        <f t="shared" si="56"/>
        <v>1.1909683858061166E-3</v>
      </c>
      <c r="X744" t="e">
        <f t="shared" si="57"/>
        <v>#N/A</v>
      </c>
      <c r="Y744" t="e">
        <f t="shared" si="58"/>
        <v>#N/A</v>
      </c>
      <c r="Z744" t="e">
        <f t="shared" si="59"/>
        <v>#N/A</v>
      </c>
    </row>
    <row r="745" spans="21:26" x14ac:dyDescent="0.3">
      <c r="U745" t="e">
        <f t="shared" si="55"/>
        <v>#N/A</v>
      </c>
      <c r="V745">
        <v>3.42</v>
      </c>
      <c r="W745">
        <f t="shared" si="56"/>
        <v>1.1509834441784845E-3</v>
      </c>
      <c r="X745" t="e">
        <f t="shared" si="57"/>
        <v>#N/A</v>
      </c>
      <c r="Y745" t="e">
        <f t="shared" si="58"/>
        <v>#N/A</v>
      </c>
      <c r="Z745" t="e">
        <f t="shared" si="59"/>
        <v>#N/A</v>
      </c>
    </row>
    <row r="746" spans="21:26" x14ac:dyDescent="0.3">
      <c r="U746" t="e">
        <f t="shared" si="55"/>
        <v>#N/A</v>
      </c>
      <c r="V746">
        <v>3.43</v>
      </c>
      <c r="W746">
        <f t="shared" si="56"/>
        <v>1.1122297072655649E-3</v>
      </c>
      <c r="X746" t="e">
        <f t="shared" si="57"/>
        <v>#N/A</v>
      </c>
      <c r="Y746" t="e">
        <f t="shared" si="58"/>
        <v>#N/A</v>
      </c>
      <c r="Z746" t="e">
        <f t="shared" si="59"/>
        <v>#N/A</v>
      </c>
    </row>
    <row r="747" spans="21:26" x14ac:dyDescent="0.3">
      <c r="U747" t="e">
        <f t="shared" si="55"/>
        <v>#N/A</v>
      </c>
      <c r="V747">
        <v>3.44</v>
      </c>
      <c r="W747">
        <f t="shared" si="56"/>
        <v>1.0746733401537356E-3</v>
      </c>
      <c r="X747" t="e">
        <f t="shared" si="57"/>
        <v>#N/A</v>
      </c>
      <c r="Y747" t="e">
        <f t="shared" si="58"/>
        <v>#N/A</v>
      </c>
      <c r="Z747" t="e">
        <f t="shared" si="59"/>
        <v>#N/A</v>
      </c>
    </row>
    <row r="748" spans="21:26" x14ac:dyDescent="0.3">
      <c r="U748" t="e">
        <f t="shared" si="55"/>
        <v>#N/A</v>
      </c>
      <c r="V748">
        <v>3.45</v>
      </c>
      <c r="W748">
        <f t="shared" si="56"/>
        <v>1.0382812956614103E-3</v>
      </c>
      <c r="X748" t="e">
        <f t="shared" si="57"/>
        <v>#N/A</v>
      </c>
      <c r="Y748" t="e">
        <f t="shared" si="58"/>
        <v>#N/A</v>
      </c>
      <c r="Z748" t="e">
        <f t="shared" si="59"/>
        <v>#N/A</v>
      </c>
    </row>
    <row r="749" spans="21:26" x14ac:dyDescent="0.3">
      <c r="U749" t="e">
        <f t="shared" si="55"/>
        <v>#N/A</v>
      </c>
      <c r="V749">
        <v>3.46</v>
      </c>
      <c r="W749">
        <f t="shared" si="56"/>
        <v>1.0030213007342376E-3</v>
      </c>
      <c r="X749" t="e">
        <f t="shared" si="57"/>
        <v>#N/A</v>
      </c>
      <c r="Y749" t="e">
        <f t="shared" si="58"/>
        <v>#N/A</v>
      </c>
      <c r="Z749" t="e">
        <f t="shared" si="59"/>
        <v>#N/A</v>
      </c>
    </row>
    <row r="750" spans="21:26" x14ac:dyDescent="0.3">
      <c r="U750" t="e">
        <f t="shared" si="55"/>
        <v>#N/A</v>
      </c>
      <c r="V750">
        <v>3.47</v>
      </c>
      <c r="W750">
        <f t="shared" si="56"/>
        <v>9.6886184291984591E-4</v>
      </c>
      <c r="X750" t="e">
        <f t="shared" si="57"/>
        <v>#N/A</v>
      </c>
      <c r="Y750" t="e">
        <f t="shared" si="58"/>
        <v>#N/A</v>
      </c>
      <c r="Z750" t="e">
        <f t="shared" si="59"/>
        <v>#N/A</v>
      </c>
    </row>
    <row r="751" spans="21:26" x14ac:dyDescent="0.3">
      <c r="U751" t="e">
        <f t="shared" si="55"/>
        <v>#N/A</v>
      </c>
      <c r="V751">
        <v>3.48</v>
      </c>
      <c r="W751">
        <f t="shared" si="56"/>
        <v>9.3577215692747977E-4</v>
      </c>
      <c r="X751" t="e">
        <f t="shared" si="57"/>
        <v>#N/A</v>
      </c>
      <c r="Y751" t="e">
        <f t="shared" si="58"/>
        <v>#N/A</v>
      </c>
      <c r="Z751" t="e">
        <f t="shared" si="59"/>
        <v>#N/A</v>
      </c>
    </row>
    <row r="752" spans="21:26" x14ac:dyDescent="0.3">
      <c r="U752" t="e">
        <f t="shared" si="55"/>
        <v>#N/A</v>
      </c>
      <c r="V752">
        <v>3.49</v>
      </c>
      <c r="W752">
        <f t="shared" si="56"/>
        <v>9.0372221127752448E-4</v>
      </c>
      <c r="X752" t="e">
        <f t="shared" si="57"/>
        <v>#N/A</v>
      </c>
      <c r="Y752" t="e">
        <f t="shared" si="58"/>
        <v>#N/A</v>
      </c>
      <c r="Z752" t="e">
        <f t="shared" si="59"/>
        <v>#N/A</v>
      </c>
    </row>
    <row r="753" spans="21:26" x14ac:dyDescent="0.3">
      <c r="U753" t="e">
        <f t="shared" si="55"/>
        <v>#N/A</v>
      </c>
      <c r="V753">
        <v>3.5</v>
      </c>
      <c r="W753">
        <f t="shared" si="56"/>
        <v>8.7268269504576015E-4</v>
      </c>
      <c r="X753" t="e">
        <f t="shared" si="57"/>
        <v>#N/A</v>
      </c>
      <c r="Y753" t="e">
        <f t="shared" si="58"/>
        <v>#N/A</v>
      </c>
      <c r="Z753" t="e">
        <f t="shared" si="59"/>
        <v>#N/A</v>
      </c>
    </row>
    <row r="754" spans="21:26" x14ac:dyDescent="0.3">
      <c r="U754" t="e">
        <f t="shared" si="55"/>
        <v>#N/A</v>
      </c>
      <c r="V754">
        <v>3.51</v>
      </c>
      <c r="W754">
        <f t="shared" si="56"/>
        <v>8.4262500470690268E-4</v>
      </c>
      <c r="X754" t="e">
        <f t="shared" si="57"/>
        <v>#N/A</v>
      </c>
      <c r="Y754" t="e">
        <f t="shared" si="58"/>
        <v>#N/A</v>
      </c>
      <c r="Z754" t="e">
        <f t="shared" si="59"/>
        <v>#N/A</v>
      </c>
    </row>
    <row r="755" spans="21:26" x14ac:dyDescent="0.3">
      <c r="U755" t="e">
        <f t="shared" si="55"/>
        <v>#N/A</v>
      </c>
      <c r="V755">
        <v>3.52</v>
      </c>
      <c r="W755">
        <f t="shared" si="56"/>
        <v>8.1352123108180841E-4</v>
      </c>
      <c r="X755" t="e">
        <f t="shared" si="57"/>
        <v>#N/A</v>
      </c>
      <c r="Y755" t="e">
        <f t="shared" si="58"/>
        <v>#N/A</v>
      </c>
      <c r="Z755" t="e">
        <f t="shared" si="59"/>
        <v>#N/A</v>
      </c>
    </row>
    <row r="756" spans="21:26" x14ac:dyDescent="0.3">
      <c r="U756" t="e">
        <f t="shared" si="55"/>
        <v>#N/A</v>
      </c>
      <c r="V756">
        <v>3.53</v>
      </c>
      <c r="W756">
        <f t="shared" si="56"/>
        <v>7.8534414639246997E-4</v>
      </c>
      <c r="X756" t="e">
        <f t="shared" si="57"/>
        <v>#N/A</v>
      </c>
      <c r="Y756" t="e">
        <f t="shared" si="58"/>
        <v>#N/A</v>
      </c>
      <c r="Z756" t="e">
        <f t="shared" si="59"/>
        <v>#N/A</v>
      </c>
    </row>
    <row r="757" spans="21:26" x14ac:dyDescent="0.3">
      <c r="U757" t="e">
        <f t="shared" si="55"/>
        <v>#N/A</v>
      </c>
      <c r="V757">
        <v>3.54</v>
      </c>
      <c r="W757">
        <f t="shared" si="56"/>
        <v>7.580671914287103E-4</v>
      </c>
      <c r="X757" t="e">
        <f t="shared" si="57"/>
        <v>#N/A</v>
      </c>
      <c r="Y757" t="e">
        <f t="shared" si="58"/>
        <v>#N/A</v>
      </c>
      <c r="Z757" t="e">
        <f t="shared" si="59"/>
        <v>#N/A</v>
      </c>
    </row>
    <row r="758" spans="21:26" x14ac:dyDescent="0.3">
      <c r="U758" t="e">
        <f t="shared" si="55"/>
        <v>#N/A</v>
      </c>
      <c r="V758">
        <v>3.55</v>
      </c>
      <c r="W758">
        <f t="shared" si="56"/>
        <v>7.3166446283031089E-4</v>
      </c>
      <c r="X758" t="e">
        <f t="shared" si="57"/>
        <v>#N/A</v>
      </c>
      <c r="Y758" t="e">
        <f t="shared" si="58"/>
        <v>#N/A</v>
      </c>
      <c r="Z758" t="e">
        <f t="shared" si="59"/>
        <v>#N/A</v>
      </c>
    </row>
    <row r="759" spans="21:26" x14ac:dyDescent="0.3">
      <c r="U759" t="e">
        <f t="shared" si="55"/>
        <v>#N/A</v>
      </c>
      <c r="V759">
        <v>3.56</v>
      </c>
      <c r="W759">
        <f t="shared" si="56"/>
        <v>7.061107004880362E-4</v>
      </c>
      <c r="X759" t="e">
        <f t="shared" si="57"/>
        <v>#N/A</v>
      </c>
      <c r="Y759" t="e">
        <f t="shared" si="58"/>
        <v>#N/A</v>
      </c>
      <c r="Z759" t="e">
        <f t="shared" si="59"/>
        <v>#N/A</v>
      </c>
    </row>
    <row r="760" spans="21:26" x14ac:dyDescent="0.3">
      <c r="U760" t="e">
        <f t="shared" si="55"/>
        <v>#N/A</v>
      </c>
      <c r="V760">
        <v>3.57</v>
      </c>
      <c r="W760">
        <f t="shared" si="56"/>
        <v>6.8138127506689212E-4</v>
      </c>
      <c r="X760" t="e">
        <f t="shared" si="57"/>
        <v>#N/A</v>
      </c>
      <c r="Y760" t="e">
        <f t="shared" si="58"/>
        <v>#N/A</v>
      </c>
      <c r="Z760" t="e">
        <f t="shared" si="59"/>
        <v>#N/A</v>
      </c>
    </row>
    <row r="761" spans="21:26" x14ac:dyDescent="0.3">
      <c r="U761" t="e">
        <f t="shared" si="55"/>
        <v>#N/A</v>
      </c>
      <c r="V761">
        <v>3.58</v>
      </c>
      <c r="W761">
        <f t="shared" si="56"/>
        <v>6.5745217565467645E-4</v>
      </c>
      <c r="X761" t="e">
        <f t="shared" si="57"/>
        <v>#N/A</v>
      </c>
      <c r="Y761" t="e">
        <f t="shared" si="58"/>
        <v>#N/A</v>
      </c>
      <c r="Z761" t="e">
        <f t="shared" si="59"/>
        <v>#N/A</v>
      </c>
    </row>
    <row r="762" spans="21:26" x14ac:dyDescent="0.3">
      <c r="U762" t="e">
        <f t="shared" si="55"/>
        <v>#N/A</v>
      </c>
      <c r="V762">
        <v>3.59</v>
      </c>
      <c r="W762">
        <f t="shared" si="56"/>
        <v>6.342999975387576E-4</v>
      </c>
      <c r="X762" t="e">
        <f t="shared" si="57"/>
        <v>#N/A</v>
      </c>
      <c r="Y762" t="e">
        <f t="shared" si="58"/>
        <v>#N/A</v>
      </c>
      <c r="Z762" t="e">
        <f t="shared" si="59"/>
        <v>#N/A</v>
      </c>
    </row>
    <row r="763" spans="21:26" x14ac:dyDescent="0.3">
      <c r="U763" t="e">
        <f t="shared" si="55"/>
        <v>#N/A</v>
      </c>
      <c r="V763">
        <v>3.6</v>
      </c>
      <c r="W763">
        <f t="shared" si="56"/>
        <v>6.119019301137719E-4</v>
      </c>
      <c r="X763" t="e">
        <f t="shared" si="57"/>
        <v>#N/A</v>
      </c>
      <c r="Y763" t="e">
        <f t="shared" si="58"/>
        <v>#N/A</v>
      </c>
      <c r="Z763" t="e">
        <f t="shared" si="59"/>
        <v>#N/A</v>
      </c>
    </row>
    <row r="764" spans="21:26" x14ac:dyDescent="0.3">
      <c r="U764" t="e">
        <f t="shared" si="55"/>
        <v>#N/A</v>
      </c>
      <c r="V764">
        <v>3.61</v>
      </c>
      <c r="W764">
        <f t="shared" si="56"/>
        <v>5.9023574492278561E-4</v>
      </c>
      <c r="X764" t="e">
        <f t="shared" si="57"/>
        <v>#N/A</v>
      </c>
      <c r="Y764" t="e">
        <f t="shared" si="58"/>
        <v>#N/A</v>
      </c>
      <c r="Z764" t="e">
        <f t="shared" si="59"/>
        <v>#N/A</v>
      </c>
    </row>
    <row r="765" spans="21:26" x14ac:dyDescent="0.3">
      <c r="U765" t="e">
        <f t="shared" si="55"/>
        <v>#N/A</v>
      </c>
      <c r="V765">
        <v>3.62</v>
      </c>
      <c r="W765">
        <f t="shared" si="56"/>
        <v>5.6927978383425261E-4</v>
      </c>
      <c r="X765" t="e">
        <f t="shared" si="57"/>
        <v>#N/A</v>
      </c>
      <c r="Y765" t="e">
        <f t="shared" si="58"/>
        <v>#N/A</v>
      </c>
      <c r="Z765" t="e">
        <f t="shared" si="59"/>
        <v>#N/A</v>
      </c>
    </row>
    <row r="766" spans="21:26" x14ac:dyDescent="0.3">
      <c r="U766" t="e">
        <f t="shared" si="55"/>
        <v>#N/A</v>
      </c>
      <c r="V766">
        <v>3.63</v>
      </c>
      <c r="W766">
        <f t="shared" si="56"/>
        <v>5.490129473569587E-4</v>
      </c>
      <c r="X766" t="e">
        <f t="shared" si="57"/>
        <v>#N/A</v>
      </c>
      <c r="Y766" t="e">
        <f t="shared" si="58"/>
        <v>#N/A</v>
      </c>
      <c r="Z766" t="e">
        <f t="shared" si="59"/>
        <v>#N/A</v>
      </c>
    </row>
    <row r="767" spans="21:26" x14ac:dyDescent="0.3">
      <c r="U767" t="e">
        <f t="shared" si="55"/>
        <v>#N/A</v>
      </c>
      <c r="V767">
        <v>3.64</v>
      </c>
      <c r="W767">
        <f t="shared" si="56"/>
        <v>5.2941468309493475E-4</v>
      </c>
      <c r="X767" t="e">
        <f t="shared" si="57"/>
        <v>#N/A</v>
      </c>
      <c r="Y767" t="e">
        <f t="shared" si="58"/>
        <v>#N/A</v>
      </c>
      <c r="Z767" t="e">
        <f t="shared" si="59"/>
        <v>#N/A</v>
      </c>
    </row>
    <row r="768" spans="21:26" x14ac:dyDescent="0.3">
      <c r="U768" t="e">
        <f t="shared" si="55"/>
        <v>#N/A</v>
      </c>
      <c r="V768">
        <v>3.65</v>
      </c>
      <c r="W768">
        <f t="shared" si="56"/>
        <v>5.104649743441856E-4</v>
      </c>
      <c r="X768" t="e">
        <f t="shared" si="57"/>
        <v>#N/A</v>
      </c>
      <c r="Y768" t="e">
        <f t="shared" si="58"/>
        <v>#N/A</v>
      </c>
      <c r="Z768" t="e">
        <f t="shared" si="59"/>
        <v>#N/A</v>
      </c>
    </row>
    <row r="769" spans="21:26" x14ac:dyDescent="0.3">
      <c r="U769" t="e">
        <f t="shared" si="55"/>
        <v>#N/A</v>
      </c>
      <c r="V769">
        <v>3.66</v>
      </c>
      <c r="W769">
        <f t="shared" si="56"/>
        <v>4.9214432883289312E-4</v>
      </c>
      <c r="X769" t="e">
        <f t="shared" si="57"/>
        <v>#N/A</v>
      </c>
      <c r="Y769" t="e">
        <f t="shared" si="58"/>
        <v>#N/A</v>
      </c>
      <c r="Z769" t="e">
        <f t="shared" si="59"/>
        <v>#N/A</v>
      </c>
    </row>
    <row r="770" spans="21:26" x14ac:dyDescent="0.3">
      <c r="U770" t="e">
        <f t="shared" si="55"/>
        <v>#N/A</v>
      </c>
      <c r="V770">
        <v>3.67</v>
      </c>
      <c r="W770">
        <f t="shared" si="56"/>
        <v>4.7443376760662064E-4</v>
      </c>
      <c r="X770" t="e">
        <f t="shared" si="57"/>
        <v>#N/A</v>
      </c>
      <c r="Y770" t="e">
        <f t="shared" si="58"/>
        <v>#N/A</v>
      </c>
      <c r="Z770" t="e">
        <f t="shared" si="59"/>
        <v>#N/A</v>
      </c>
    </row>
    <row r="771" spans="21:26" x14ac:dyDescent="0.3">
      <c r="U771" t="e">
        <f t="shared" si="55"/>
        <v>#N/A</v>
      </c>
      <c r="V771">
        <v>3.68</v>
      </c>
      <c r="W771">
        <f t="shared" si="56"/>
        <v>4.5731481405985675E-4</v>
      </c>
      <c r="X771" t="e">
        <f t="shared" si="57"/>
        <v>#N/A</v>
      </c>
      <c r="Y771" t="e">
        <f t="shared" si="58"/>
        <v>#N/A</v>
      </c>
      <c r="Z771" t="e">
        <f t="shared" si="59"/>
        <v>#N/A</v>
      </c>
    </row>
    <row r="772" spans="21:26" x14ac:dyDescent="0.3">
      <c r="U772" t="e">
        <f t="shared" ref="U772:U803" si="60">IF($A$2=ABS(V772),0,NA())</f>
        <v>#N/A</v>
      </c>
      <c r="V772">
        <v>3.69</v>
      </c>
      <c r="W772">
        <f t="shared" ref="W772:W803" si="61">_xlfn.NORM.S.DIST(V772,0)</f>
        <v>4.4076948311513252E-4</v>
      </c>
      <c r="X772" t="e">
        <f t="shared" ref="X772:X803" si="62">IF(ABS(V772)=$A$2,W772,NA())</f>
        <v>#N/A</v>
      </c>
      <c r="Y772" t="e">
        <f t="shared" ref="Y772:Y803" si="63">IF(V772&lt;=$A$2,W772,NA())</f>
        <v>#N/A</v>
      </c>
      <c r="Z772" t="e">
        <f t="shared" ref="Z772:Z803" si="64">IF(ABS(V772)&lt;=$A$2,W772,NA())</f>
        <v>#N/A</v>
      </c>
    </row>
    <row r="773" spans="21:26" x14ac:dyDescent="0.3">
      <c r="U773" t="e">
        <f t="shared" si="60"/>
        <v>#N/A</v>
      </c>
      <c r="V773">
        <v>3.7</v>
      </c>
      <c r="W773">
        <f t="shared" si="61"/>
        <v>4.2478027055075143E-4</v>
      </c>
      <c r="X773" t="e">
        <f t="shared" si="62"/>
        <v>#N/A</v>
      </c>
      <c r="Y773" t="e">
        <f t="shared" si="63"/>
        <v>#N/A</v>
      </c>
      <c r="Z773" t="e">
        <f t="shared" si="64"/>
        <v>#N/A</v>
      </c>
    </row>
    <row r="774" spans="21:26" x14ac:dyDescent="0.3">
      <c r="U774" t="e">
        <f t="shared" si="60"/>
        <v>#N/A</v>
      </c>
      <c r="V774">
        <v>3.71</v>
      </c>
      <c r="W774">
        <f t="shared" si="61"/>
        <v>4.0933014247807883E-4</v>
      </c>
      <c r="X774" t="e">
        <f t="shared" si="62"/>
        <v>#N/A</v>
      </c>
      <c r="Y774" t="e">
        <f t="shared" si="63"/>
        <v>#N/A</v>
      </c>
      <c r="Z774" t="e">
        <f t="shared" si="64"/>
        <v>#N/A</v>
      </c>
    </row>
    <row r="775" spans="21:26" x14ac:dyDescent="0.3">
      <c r="U775" t="e">
        <f t="shared" si="60"/>
        <v>#N/A</v>
      </c>
      <c r="V775">
        <v>3.72</v>
      </c>
      <c r="W775">
        <f t="shared" si="61"/>
        <v>3.9440252496915622E-4</v>
      </c>
      <c r="X775" t="e">
        <f t="shared" si="62"/>
        <v>#N/A</v>
      </c>
      <c r="Y775" t="e">
        <f t="shared" si="63"/>
        <v>#N/A</v>
      </c>
      <c r="Z775" t="e">
        <f t="shared" si="64"/>
        <v>#N/A</v>
      </c>
    </row>
    <row r="776" spans="21:26" x14ac:dyDescent="0.3">
      <c r="U776" t="e">
        <f t="shared" si="60"/>
        <v>#N/A</v>
      </c>
      <c r="V776">
        <v>3.73</v>
      </c>
      <c r="W776">
        <f t="shared" si="61"/>
        <v>3.7998129383532141E-4</v>
      </c>
      <c r="X776" t="e">
        <f t="shared" si="62"/>
        <v>#N/A</v>
      </c>
      <c r="Y776" t="e">
        <f t="shared" si="63"/>
        <v>#N/A</v>
      </c>
      <c r="Z776" t="e">
        <f t="shared" si="64"/>
        <v>#N/A</v>
      </c>
    </row>
    <row r="777" spans="21:26" x14ac:dyDescent="0.3">
      <c r="U777" t="e">
        <f t="shared" si="60"/>
        <v>#N/A</v>
      </c>
      <c r="V777">
        <v>3.74</v>
      </c>
      <c r="W777">
        <f t="shared" si="61"/>
        <v>3.6605076455733496E-4</v>
      </c>
      <c r="X777" t="e">
        <f t="shared" si="62"/>
        <v>#N/A</v>
      </c>
      <c r="Y777" t="e">
        <f t="shared" si="63"/>
        <v>#N/A</v>
      </c>
      <c r="Z777" t="e">
        <f t="shared" si="64"/>
        <v>#N/A</v>
      </c>
    </row>
    <row r="778" spans="21:26" x14ac:dyDescent="0.3">
      <c r="U778" t="e">
        <f t="shared" si="60"/>
        <v>#N/A</v>
      </c>
      <c r="V778">
        <v>3.75</v>
      </c>
      <c r="W778">
        <f t="shared" si="61"/>
        <v>3.5259568236744541E-4</v>
      </c>
      <c r="X778" t="e">
        <f t="shared" si="62"/>
        <v>#N/A</v>
      </c>
      <c r="Y778" t="e">
        <f t="shared" si="63"/>
        <v>#N/A</v>
      </c>
      <c r="Z778" t="e">
        <f t="shared" si="64"/>
        <v>#N/A</v>
      </c>
    </row>
    <row r="779" spans="21:26" x14ac:dyDescent="0.3">
      <c r="U779" t="e">
        <f t="shared" si="60"/>
        <v>#N/A</v>
      </c>
      <c r="V779">
        <v>3.76</v>
      </c>
      <c r="W779">
        <f t="shared" si="61"/>
        <v>3.3960121248365478E-4</v>
      </c>
      <c r="X779" t="e">
        <f t="shared" si="62"/>
        <v>#N/A</v>
      </c>
      <c r="Y779" t="e">
        <f t="shared" si="63"/>
        <v>#N/A</v>
      </c>
      <c r="Z779" t="e">
        <f t="shared" si="64"/>
        <v>#N/A</v>
      </c>
    </row>
    <row r="780" spans="21:26" x14ac:dyDescent="0.3">
      <c r="U780" t="e">
        <f t="shared" si="60"/>
        <v>#N/A</v>
      </c>
      <c r="V780">
        <v>3.77</v>
      </c>
      <c r="W780">
        <f t="shared" si="61"/>
        <v>3.2705293049637498E-4</v>
      </c>
      <c r="X780" t="e">
        <f t="shared" si="62"/>
        <v>#N/A</v>
      </c>
      <c r="Y780" t="e">
        <f t="shared" si="63"/>
        <v>#N/A</v>
      </c>
      <c r="Z780" t="e">
        <f t="shared" si="64"/>
        <v>#N/A</v>
      </c>
    </row>
    <row r="781" spans="21:26" x14ac:dyDescent="0.3">
      <c r="U781" t="e">
        <f t="shared" si="60"/>
        <v>#N/A</v>
      </c>
      <c r="V781">
        <v>3.78</v>
      </c>
      <c r="W781">
        <f t="shared" si="61"/>
        <v>3.1493681290752188E-4</v>
      </c>
      <c r="X781" t="e">
        <f t="shared" si="62"/>
        <v>#N/A</v>
      </c>
      <c r="Y781" t="e">
        <f t="shared" si="63"/>
        <v>#N/A</v>
      </c>
      <c r="Z781" t="e">
        <f t="shared" si="64"/>
        <v>#N/A</v>
      </c>
    </row>
    <row r="782" spans="21:26" x14ac:dyDescent="0.3">
      <c r="U782" t="e">
        <f t="shared" si="60"/>
        <v>#N/A</v>
      </c>
      <c r="V782">
        <v>3.79</v>
      </c>
      <c r="W782">
        <f t="shared" si="61"/>
        <v>3.0323922782200417E-4</v>
      </c>
      <c r="X782" t="e">
        <f t="shared" si="62"/>
        <v>#N/A</v>
      </c>
      <c r="Y782" t="e">
        <f t="shared" si="63"/>
        <v>#N/A</v>
      </c>
      <c r="Z782" t="e">
        <f t="shared" si="64"/>
        <v>#N/A</v>
      </c>
    </row>
    <row r="783" spans="21:26" x14ac:dyDescent="0.3">
      <c r="U783" t="e">
        <f t="shared" si="60"/>
        <v>#N/A</v>
      </c>
      <c r="V783">
        <v>3.8</v>
      </c>
      <c r="W783">
        <f t="shared" si="61"/>
        <v>2.9194692579146027E-4</v>
      </c>
      <c r="X783" t="e">
        <f t="shared" si="62"/>
        <v>#N/A</v>
      </c>
      <c r="Y783" t="e">
        <f t="shared" si="63"/>
        <v>#N/A</v>
      </c>
      <c r="Z783" t="e">
        <f t="shared" si="64"/>
        <v>#N/A</v>
      </c>
    </row>
    <row r="784" spans="21:26" x14ac:dyDescent="0.3">
      <c r="U784" t="e">
        <f t="shared" si="60"/>
        <v>#N/A</v>
      </c>
      <c r="V784">
        <v>3.81</v>
      </c>
      <c r="W784">
        <f t="shared" si="61"/>
        <v>2.8104703080998632E-4</v>
      </c>
      <c r="X784" t="e">
        <f t="shared" si="62"/>
        <v>#N/A</v>
      </c>
      <c r="Y784" t="e">
        <f t="shared" si="63"/>
        <v>#N/A</v>
      </c>
      <c r="Z784" t="e">
        <f t="shared" si="64"/>
        <v>#N/A</v>
      </c>
    </row>
    <row r="785" spans="21:26" x14ac:dyDescent="0.3">
      <c r="U785" t="e">
        <f t="shared" si="60"/>
        <v>#N/A</v>
      </c>
      <c r="V785">
        <v>3.82</v>
      </c>
      <c r="W785">
        <f t="shared" si="61"/>
        <v>2.70527031461521E-4</v>
      </c>
      <c r="X785" t="e">
        <f t="shared" si="62"/>
        <v>#N/A</v>
      </c>
      <c r="Y785" t="e">
        <f t="shared" si="63"/>
        <v>#N/A</v>
      </c>
      <c r="Z785" t="e">
        <f t="shared" si="64"/>
        <v>#N/A</v>
      </c>
    </row>
    <row r="786" spans="21:26" x14ac:dyDescent="0.3">
      <c r="U786" t="e">
        <f t="shared" si="60"/>
        <v>#N/A</v>
      </c>
      <c r="V786">
        <v>3.83</v>
      </c>
      <c r="W786">
        <f t="shared" si="61"/>
        <v>2.6037477221844247E-4</v>
      </c>
      <c r="X786" t="e">
        <f t="shared" si="62"/>
        <v>#N/A</v>
      </c>
      <c r="Y786" t="e">
        <f t="shared" si="63"/>
        <v>#N/A</v>
      </c>
      <c r="Z786" t="e">
        <f t="shared" si="64"/>
        <v>#N/A</v>
      </c>
    </row>
    <row r="787" spans="21:26" x14ac:dyDescent="0.3">
      <c r="U787" t="e">
        <f t="shared" si="60"/>
        <v>#N/A</v>
      </c>
      <c r="V787">
        <v>3.84</v>
      </c>
      <c r="W787">
        <f t="shared" si="61"/>
        <v>2.5057844489086075E-4</v>
      </c>
      <c r="X787" t="e">
        <f t="shared" si="62"/>
        <v>#N/A</v>
      </c>
      <c r="Y787" t="e">
        <f t="shared" si="63"/>
        <v>#N/A</v>
      </c>
      <c r="Z787" t="e">
        <f t="shared" si="64"/>
        <v>#N/A</v>
      </c>
    </row>
    <row r="788" spans="21:26" x14ac:dyDescent="0.3">
      <c r="U788" t="e">
        <f t="shared" si="60"/>
        <v>#N/A</v>
      </c>
      <c r="V788">
        <v>3.85</v>
      </c>
      <c r="W788">
        <f t="shared" si="61"/>
        <v>2.4112658022599324E-4</v>
      </c>
      <c r="X788" t="e">
        <f t="shared" si="62"/>
        <v>#N/A</v>
      </c>
      <c r="Y788" t="e">
        <f t="shared" si="63"/>
        <v>#N/A</v>
      </c>
      <c r="Z788" t="e">
        <f t="shared" si="64"/>
        <v>#N/A</v>
      </c>
    </row>
    <row r="789" spans="21:26" x14ac:dyDescent="0.3">
      <c r="U789" t="e">
        <f t="shared" si="60"/>
        <v>#N/A</v>
      </c>
      <c r="V789">
        <v>3.86</v>
      </c>
      <c r="W789">
        <f t="shared" si="61"/>
        <v>2.3200803965694238E-4</v>
      </c>
      <c r="X789" t="e">
        <f t="shared" si="62"/>
        <v>#N/A</v>
      </c>
      <c r="Y789" t="e">
        <f t="shared" si="63"/>
        <v>#N/A</v>
      </c>
      <c r="Z789" t="e">
        <f t="shared" si="64"/>
        <v>#N/A</v>
      </c>
    </row>
    <row r="790" spans="21:26" x14ac:dyDescent="0.3">
      <c r="U790" t="e">
        <f t="shared" si="60"/>
        <v>#N/A</v>
      </c>
      <c r="V790">
        <v>3.87</v>
      </c>
      <c r="W790">
        <f t="shared" si="61"/>
        <v>2.2321200720010206E-4</v>
      </c>
      <c r="X790" t="e">
        <f t="shared" si="62"/>
        <v>#N/A</v>
      </c>
      <c r="Y790" t="e">
        <f t="shared" si="63"/>
        <v>#N/A</v>
      </c>
      <c r="Z790" t="e">
        <f t="shared" si="64"/>
        <v>#N/A</v>
      </c>
    </row>
    <row r="791" spans="21:26" x14ac:dyDescent="0.3">
      <c r="U791" t="e">
        <f t="shared" si="60"/>
        <v>#N/A</v>
      </c>
      <c r="V791">
        <v>3.88</v>
      </c>
      <c r="W791">
        <f t="shared" si="61"/>
        <v>2.1472798150036704E-4</v>
      </c>
      <c r="X791" t="e">
        <f t="shared" si="62"/>
        <v>#N/A</v>
      </c>
      <c r="Y791" t="e">
        <f t="shared" si="63"/>
        <v>#N/A</v>
      </c>
      <c r="Z791" t="e">
        <f t="shared" si="64"/>
        <v>#N/A</v>
      </c>
    </row>
    <row r="792" spans="21:26" x14ac:dyDescent="0.3">
      <c r="U792" t="e">
        <f t="shared" si="60"/>
        <v>#N/A</v>
      </c>
      <c r="V792">
        <v>3.89</v>
      </c>
      <c r="W792">
        <f t="shared" si="61"/>
        <v>2.0654576802322548E-4</v>
      </c>
      <c r="X792" t="e">
        <f t="shared" si="62"/>
        <v>#N/A</v>
      </c>
      <c r="Y792" t="e">
        <f t="shared" si="63"/>
        <v>#N/A</v>
      </c>
      <c r="Z792" t="e">
        <f t="shared" si="64"/>
        <v>#N/A</v>
      </c>
    </row>
    <row r="793" spans="21:26" x14ac:dyDescent="0.3">
      <c r="U793" t="e">
        <f t="shared" si="60"/>
        <v>#N/A</v>
      </c>
      <c r="V793">
        <v>3.9</v>
      </c>
      <c r="W793">
        <f t="shared" si="61"/>
        <v>1.9865547139277272E-4</v>
      </c>
      <c r="X793" t="e">
        <f t="shared" si="62"/>
        <v>#N/A</v>
      </c>
      <c r="Y793" t="e">
        <f t="shared" si="63"/>
        <v>#N/A</v>
      </c>
      <c r="Z793" t="e">
        <f t="shared" si="64"/>
        <v>#N/A</v>
      </c>
    </row>
    <row r="794" spans="21:26" x14ac:dyDescent="0.3">
      <c r="U794" t="e">
        <f t="shared" si="60"/>
        <v>#N/A</v>
      </c>
      <c r="V794">
        <v>3.91</v>
      </c>
      <c r="W794">
        <f t="shared" si="61"/>
        <v>1.9104748787459762E-4</v>
      </c>
      <c r="X794" t="e">
        <f t="shared" si="62"/>
        <v>#N/A</v>
      </c>
      <c r="Y794" t="e">
        <f t="shared" si="63"/>
        <v>#N/A</v>
      </c>
      <c r="Z794" t="e">
        <f t="shared" si="64"/>
        <v>#N/A</v>
      </c>
    </row>
    <row r="795" spans="21:26" x14ac:dyDescent="0.3">
      <c r="U795" t="e">
        <f t="shared" si="60"/>
        <v>#N/A</v>
      </c>
      <c r="V795">
        <v>3.92</v>
      </c>
      <c r="W795">
        <f t="shared" si="61"/>
        <v>1.8371249800245711E-4</v>
      </c>
      <c r="X795" t="e">
        <f t="shared" si="62"/>
        <v>#N/A</v>
      </c>
      <c r="Y795" t="e">
        <f t="shared" si="63"/>
        <v>#N/A</v>
      </c>
      <c r="Z795" t="e">
        <f t="shared" si="64"/>
        <v>#N/A</v>
      </c>
    </row>
    <row r="796" spans="21:26" x14ac:dyDescent="0.3">
      <c r="U796" t="e">
        <f t="shared" si="60"/>
        <v>#N/A</v>
      </c>
      <c r="V796">
        <v>3.93</v>
      </c>
      <c r="W796">
        <f t="shared" si="61"/>
        <v>1.7664145934757092E-4</v>
      </c>
      <c r="X796" t="e">
        <f t="shared" si="62"/>
        <v>#N/A</v>
      </c>
      <c r="Y796" t="e">
        <f t="shared" si="63"/>
        <v>#N/A</v>
      </c>
      <c r="Z796" t="e">
        <f t="shared" si="64"/>
        <v>#N/A</v>
      </c>
    </row>
    <row r="797" spans="21:26" x14ac:dyDescent="0.3">
      <c r="U797" t="e">
        <f t="shared" si="60"/>
        <v>#N/A</v>
      </c>
      <c r="V797">
        <v>3.94</v>
      </c>
      <c r="W797">
        <f t="shared" si="61"/>
        <v>1.6982559942934359E-4</v>
      </c>
      <c r="X797" t="e">
        <f t="shared" si="62"/>
        <v>#N/A</v>
      </c>
      <c r="Y797" t="e">
        <f t="shared" si="63"/>
        <v>#N/A</v>
      </c>
      <c r="Z797" t="e">
        <f t="shared" si="64"/>
        <v>#N/A</v>
      </c>
    </row>
    <row r="798" spans="21:26" x14ac:dyDescent="0.3">
      <c r="U798" t="e">
        <f t="shared" si="60"/>
        <v>#N/A</v>
      </c>
      <c r="V798">
        <v>3.95</v>
      </c>
      <c r="W798">
        <f t="shared" si="61"/>
        <v>1.6325640876624199E-4</v>
      </c>
      <c r="X798" t="e">
        <f t="shared" si="62"/>
        <v>#N/A</v>
      </c>
      <c r="Y798" t="e">
        <f t="shared" si="63"/>
        <v>#N/A</v>
      </c>
      <c r="Z798" t="e">
        <f t="shared" si="64"/>
        <v>#N/A</v>
      </c>
    </row>
    <row r="799" spans="21:26" x14ac:dyDescent="0.3">
      <c r="U799" t="e">
        <f t="shared" si="60"/>
        <v>#N/A</v>
      </c>
      <c r="V799">
        <v>3.96</v>
      </c>
      <c r="W799">
        <f t="shared" si="61"/>
        <v>1.5692563406553226E-4</v>
      </c>
      <c r="X799" t="e">
        <f t="shared" si="62"/>
        <v>#N/A</v>
      </c>
      <c r="Y799" t="e">
        <f t="shared" si="63"/>
        <v>#N/A</v>
      </c>
      <c r="Z799" t="e">
        <f t="shared" si="64"/>
        <v>#N/A</v>
      </c>
    </row>
    <row r="800" spans="21:26" x14ac:dyDescent="0.3">
      <c r="U800" t="e">
        <f t="shared" si="60"/>
        <v>#N/A</v>
      </c>
      <c r="V800">
        <v>3.97</v>
      </c>
      <c r="W800">
        <f t="shared" si="61"/>
        <v>1.508252715505178E-4</v>
      </c>
      <c r="X800" t="e">
        <f t="shared" si="62"/>
        <v>#N/A</v>
      </c>
      <c r="Y800" t="e">
        <f t="shared" si="63"/>
        <v>#N/A</v>
      </c>
      <c r="Z800" t="e">
        <f t="shared" si="64"/>
        <v>#N/A</v>
      </c>
    </row>
    <row r="801" spans="21:26" x14ac:dyDescent="0.3">
      <c r="U801" t="e">
        <f t="shared" si="60"/>
        <v>#N/A</v>
      </c>
      <c r="V801">
        <v>3.98</v>
      </c>
      <c r="W801">
        <f t="shared" si="61"/>
        <v>1.4494756042389106E-4</v>
      </c>
      <c r="X801" t="e">
        <f t="shared" si="62"/>
        <v>#N/A</v>
      </c>
      <c r="Y801" t="e">
        <f t="shared" si="63"/>
        <v>#N/A</v>
      </c>
      <c r="Z801" t="e">
        <f t="shared" si="64"/>
        <v>#N/A</v>
      </c>
    </row>
    <row r="802" spans="21:26" x14ac:dyDescent="0.3">
      <c r="U802" t="e">
        <f t="shared" si="60"/>
        <v>#N/A</v>
      </c>
      <c r="V802">
        <v>3.99</v>
      </c>
      <c r="W802">
        <f t="shared" si="61"/>
        <v>1.3928497646575994E-4</v>
      </c>
      <c r="X802" t="e">
        <f t="shared" si="62"/>
        <v>#N/A</v>
      </c>
      <c r="Y802" t="e">
        <f t="shared" si="63"/>
        <v>#N/A</v>
      </c>
      <c r="Z802" t="e">
        <f t="shared" si="64"/>
        <v>#N/A</v>
      </c>
    </row>
    <row r="803" spans="21:26" x14ac:dyDescent="0.3">
      <c r="U803" t="e">
        <f t="shared" si="60"/>
        <v>#N/A</v>
      </c>
      <c r="V803">
        <v>4</v>
      </c>
      <c r="W803">
        <f t="shared" si="61"/>
        <v>1.3383022576488537E-4</v>
      </c>
      <c r="X803" t="e">
        <f t="shared" si="62"/>
        <v>#N/A</v>
      </c>
      <c r="Y803" t="e">
        <f t="shared" si="63"/>
        <v>#N/A</v>
      </c>
      <c r="Z803" t="e">
        <f t="shared" si="64"/>
        <v>#N/A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03"/>
  <sheetViews>
    <sheetView workbookViewId="0">
      <selection activeCell="C2" sqref="C2"/>
    </sheetView>
  </sheetViews>
  <sheetFormatPr defaultRowHeight="14.4" x14ac:dyDescent="0.3"/>
  <cols>
    <col min="2" max="2" width="12.6640625" customWidth="1"/>
    <col min="22" max="22" width="12" bestFit="1" customWidth="1"/>
  </cols>
  <sheetData>
    <row r="1" spans="1:25" ht="16.2" x14ac:dyDescent="0.3">
      <c r="A1" s="4" t="s">
        <v>17</v>
      </c>
      <c r="B1" s="5" t="s">
        <v>16</v>
      </c>
    </row>
    <row r="2" spans="1:25" x14ac:dyDescent="0.3">
      <c r="A2" s="7">
        <v>0.95</v>
      </c>
      <c r="B2" s="1">
        <f>_xlfn.NORM.S.INV(A2)</f>
        <v>1.6448536269514715</v>
      </c>
      <c r="T2" t="s">
        <v>10</v>
      </c>
      <c r="U2" t="s">
        <v>0</v>
      </c>
      <c r="V2" t="s">
        <v>4</v>
      </c>
      <c r="W2" t="s">
        <v>11</v>
      </c>
      <c r="X2" t="s">
        <v>12</v>
      </c>
      <c r="Y2">
        <v>0</v>
      </c>
    </row>
    <row r="3" spans="1:25" x14ac:dyDescent="0.3">
      <c r="U3">
        <v>-4</v>
      </c>
      <c r="V3">
        <f>_xlfn.NORM.S.DIST(U3,0)</f>
        <v>1.3383022576488537E-4</v>
      </c>
      <c r="W3">
        <f>IF(U3&lt;=$B$2,V3,NA())</f>
        <v>1.3383022576488537E-4</v>
      </c>
    </row>
    <row r="4" spans="1:25" x14ac:dyDescent="0.3">
      <c r="U4">
        <v>-3.99</v>
      </c>
      <c r="V4">
        <f t="shared" ref="V4:V67" si="0">_xlfn.NORM.S.DIST(U4,0)</f>
        <v>1.3928497646575994E-4</v>
      </c>
      <c r="W4">
        <f t="shared" ref="W4:W67" si="1">IF(U4&lt;=$B$2,V4,NA())</f>
        <v>1.3928497646575994E-4</v>
      </c>
    </row>
    <row r="5" spans="1:25" x14ac:dyDescent="0.3">
      <c r="U5">
        <v>-3.98</v>
      </c>
      <c r="V5">
        <f t="shared" si="0"/>
        <v>1.4494756042389106E-4</v>
      </c>
      <c r="W5">
        <f t="shared" si="1"/>
        <v>1.4494756042389106E-4</v>
      </c>
    </row>
    <row r="6" spans="1:25" x14ac:dyDescent="0.3">
      <c r="U6">
        <v>-3.97</v>
      </c>
      <c r="V6">
        <f t="shared" si="0"/>
        <v>1.508252715505178E-4</v>
      </c>
      <c r="W6">
        <f t="shared" si="1"/>
        <v>1.508252715505178E-4</v>
      </c>
    </row>
    <row r="7" spans="1:25" x14ac:dyDescent="0.3">
      <c r="U7">
        <v>-3.96</v>
      </c>
      <c r="V7">
        <f t="shared" si="0"/>
        <v>1.5692563406553226E-4</v>
      </c>
      <c r="W7">
        <f t="shared" si="1"/>
        <v>1.5692563406553226E-4</v>
      </c>
    </row>
    <row r="8" spans="1:25" x14ac:dyDescent="0.3">
      <c r="U8">
        <v>-3.95</v>
      </c>
      <c r="V8">
        <f t="shared" si="0"/>
        <v>1.6325640876624199E-4</v>
      </c>
      <c r="W8">
        <f t="shared" si="1"/>
        <v>1.6325640876624199E-4</v>
      </c>
    </row>
    <row r="9" spans="1:25" x14ac:dyDescent="0.3">
      <c r="U9">
        <v>-3.94</v>
      </c>
      <c r="V9">
        <f t="shared" si="0"/>
        <v>1.6982559942934359E-4</v>
      </c>
      <c r="W9">
        <f t="shared" si="1"/>
        <v>1.6982559942934359E-4</v>
      </c>
    </row>
    <row r="10" spans="1:25" x14ac:dyDescent="0.3">
      <c r="U10">
        <v>-3.93</v>
      </c>
      <c r="V10">
        <f t="shared" si="0"/>
        <v>1.7664145934757092E-4</v>
      </c>
      <c r="W10">
        <f t="shared" si="1"/>
        <v>1.7664145934757092E-4</v>
      </c>
    </row>
    <row r="11" spans="1:25" x14ac:dyDescent="0.3">
      <c r="U11">
        <v>-3.92</v>
      </c>
      <c r="V11">
        <f t="shared" si="0"/>
        <v>1.8371249800245711E-4</v>
      </c>
      <c r="W11">
        <f t="shared" si="1"/>
        <v>1.8371249800245711E-4</v>
      </c>
    </row>
    <row r="12" spans="1:25" x14ac:dyDescent="0.3">
      <c r="U12">
        <v>-3.91</v>
      </c>
      <c r="V12">
        <f t="shared" si="0"/>
        <v>1.9104748787459762E-4</v>
      </c>
      <c r="W12">
        <f t="shared" si="1"/>
        <v>1.9104748787459762E-4</v>
      </c>
    </row>
    <row r="13" spans="1:25" x14ac:dyDescent="0.3">
      <c r="U13">
        <v>-3.9</v>
      </c>
      <c r="V13">
        <f t="shared" si="0"/>
        <v>1.9865547139277272E-4</v>
      </c>
      <c r="W13">
        <f t="shared" si="1"/>
        <v>1.9865547139277272E-4</v>
      </c>
    </row>
    <row r="14" spans="1:25" x14ac:dyDescent="0.3">
      <c r="U14">
        <v>-3.89</v>
      </c>
      <c r="V14">
        <f t="shared" si="0"/>
        <v>2.0654576802322548E-4</v>
      </c>
      <c r="W14">
        <f t="shared" si="1"/>
        <v>2.0654576802322548E-4</v>
      </c>
    </row>
    <row r="15" spans="1:25" x14ac:dyDescent="0.3">
      <c r="U15">
        <v>-3.88</v>
      </c>
      <c r="V15">
        <f t="shared" si="0"/>
        <v>2.1472798150036704E-4</v>
      </c>
      <c r="W15">
        <f t="shared" si="1"/>
        <v>2.1472798150036704E-4</v>
      </c>
    </row>
    <row r="16" spans="1:25" x14ac:dyDescent="0.3">
      <c r="U16">
        <v>-3.87</v>
      </c>
      <c r="V16">
        <f t="shared" si="0"/>
        <v>2.2321200720010206E-4</v>
      </c>
      <c r="W16">
        <f t="shared" si="1"/>
        <v>2.2321200720010206E-4</v>
      </c>
    </row>
    <row r="17" spans="21:23" x14ac:dyDescent="0.3">
      <c r="U17">
        <v>-3.86</v>
      </c>
      <c r="V17">
        <f t="shared" si="0"/>
        <v>2.3200803965694238E-4</v>
      </c>
      <c r="W17">
        <f t="shared" si="1"/>
        <v>2.3200803965694238E-4</v>
      </c>
    </row>
    <row r="18" spans="21:23" x14ac:dyDescent="0.3">
      <c r="U18">
        <v>-3.85</v>
      </c>
      <c r="V18">
        <f t="shared" si="0"/>
        <v>2.4112658022599324E-4</v>
      </c>
      <c r="W18">
        <f t="shared" si="1"/>
        <v>2.4112658022599324E-4</v>
      </c>
    </row>
    <row r="19" spans="21:23" x14ac:dyDescent="0.3">
      <c r="U19">
        <v>-3.84</v>
      </c>
      <c r="V19">
        <f t="shared" si="0"/>
        <v>2.5057844489086075E-4</v>
      </c>
      <c r="W19">
        <f t="shared" si="1"/>
        <v>2.5057844489086075E-4</v>
      </c>
    </row>
    <row r="20" spans="21:23" x14ac:dyDescent="0.3">
      <c r="U20">
        <v>-3.83</v>
      </c>
      <c r="V20">
        <f t="shared" si="0"/>
        <v>2.6037477221844247E-4</v>
      </c>
      <c r="W20">
        <f t="shared" si="1"/>
        <v>2.6037477221844247E-4</v>
      </c>
    </row>
    <row r="21" spans="21:23" x14ac:dyDescent="0.3">
      <c r="U21">
        <v>-3.82</v>
      </c>
      <c r="V21">
        <f t="shared" si="0"/>
        <v>2.70527031461521E-4</v>
      </c>
      <c r="W21">
        <f t="shared" si="1"/>
        <v>2.70527031461521E-4</v>
      </c>
    </row>
    <row r="22" spans="21:23" x14ac:dyDescent="0.3">
      <c r="U22">
        <v>-3.81</v>
      </c>
      <c r="V22">
        <f t="shared" si="0"/>
        <v>2.8104703080998632E-4</v>
      </c>
      <c r="W22">
        <f t="shared" si="1"/>
        <v>2.8104703080998632E-4</v>
      </c>
    </row>
    <row r="23" spans="21:23" x14ac:dyDescent="0.3">
      <c r="U23">
        <v>-3.8</v>
      </c>
      <c r="V23">
        <f t="shared" si="0"/>
        <v>2.9194692579146027E-4</v>
      </c>
      <c r="W23">
        <f t="shared" si="1"/>
        <v>2.9194692579146027E-4</v>
      </c>
    </row>
    <row r="24" spans="21:23" x14ac:dyDescent="0.3">
      <c r="U24">
        <v>-3.79</v>
      </c>
      <c r="V24">
        <f t="shared" si="0"/>
        <v>3.0323922782200417E-4</v>
      </c>
      <c r="W24">
        <f t="shared" si="1"/>
        <v>3.0323922782200417E-4</v>
      </c>
    </row>
    <row r="25" spans="21:23" x14ac:dyDescent="0.3">
      <c r="U25">
        <v>-3.78</v>
      </c>
      <c r="V25">
        <f t="shared" si="0"/>
        <v>3.1493681290752188E-4</v>
      </c>
      <c r="W25">
        <f t="shared" si="1"/>
        <v>3.1493681290752188E-4</v>
      </c>
    </row>
    <row r="26" spans="21:23" x14ac:dyDescent="0.3">
      <c r="U26">
        <v>-3.77</v>
      </c>
      <c r="V26">
        <f t="shared" si="0"/>
        <v>3.2705293049637498E-4</v>
      </c>
      <c r="W26">
        <f t="shared" si="1"/>
        <v>3.2705293049637498E-4</v>
      </c>
    </row>
    <row r="27" spans="21:23" x14ac:dyDescent="0.3">
      <c r="U27">
        <v>-3.76</v>
      </c>
      <c r="V27">
        <f t="shared" si="0"/>
        <v>3.3960121248365478E-4</v>
      </c>
      <c r="W27">
        <f t="shared" si="1"/>
        <v>3.3960121248365478E-4</v>
      </c>
    </row>
    <row r="28" spans="21:23" x14ac:dyDescent="0.3">
      <c r="U28">
        <v>-3.75</v>
      </c>
      <c r="V28">
        <f t="shared" si="0"/>
        <v>3.5259568236744541E-4</v>
      </c>
      <c r="W28">
        <f t="shared" si="1"/>
        <v>3.5259568236744541E-4</v>
      </c>
    </row>
    <row r="29" spans="21:23" x14ac:dyDescent="0.3">
      <c r="U29">
        <v>-3.74</v>
      </c>
      <c r="V29">
        <f t="shared" si="0"/>
        <v>3.6605076455733496E-4</v>
      </c>
      <c r="W29">
        <f t="shared" si="1"/>
        <v>3.6605076455733496E-4</v>
      </c>
    </row>
    <row r="30" spans="21:23" x14ac:dyDescent="0.3">
      <c r="U30">
        <v>-3.73</v>
      </c>
      <c r="V30">
        <f t="shared" si="0"/>
        <v>3.7998129383532141E-4</v>
      </c>
      <c r="W30">
        <f t="shared" si="1"/>
        <v>3.7998129383532141E-4</v>
      </c>
    </row>
    <row r="31" spans="21:23" x14ac:dyDescent="0.3">
      <c r="U31">
        <v>-3.72</v>
      </c>
      <c r="V31">
        <f t="shared" si="0"/>
        <v>3.9440252496915622E-4</v>
      </c>
      <c r="W31">
        <f t="shared" si="1"/>
        <v>3.9440252496915622E-4</v>
      </c>
    </row>
    <row r="32" spans="21:23" x14ac:dyDescent="0.3">
      <c r="U32">
        <v>-3.71</v>
      </c>
      <c r="V32">
        <f t="shared" si="0"/>
        <v>4.0933014247807883E-4</v>
      </c>
      <c r="W32">
        <f t="shared" si="1"/>
        <v>4.0933014247807883E-4</v>
      </c>
    </row>
    <row r="33" spans="21:23" x14ac:dyDescent="0.3">
      <c r="U33">
        <v>-3.7</v>
      </c>
      <c r="V33">
        <f t="shared" si="0"/>
        <v>4.2478027055075143E-4</v>
      </c>
      <c r="W33">
        <f t="shared" si="1"/>
        <v>4.2478027055075143E-4</v>
      </c>
    </row>
    <row r="34" spans="21:23" x14ac:dyDescent="0.3">
      <c r="U34">
        <v>-3.69</v>
      </c>
      <c r="V34">
        <f t="shared" si="0"/>
        <v>4.4076948311513252E-4</v>
      </c>
      <c r="W34">
        <f t="shared" si="1"/>
        <v>4.4076948311513252E-4</v>
      </c>
    </row>
    <row r="35" spans="21:23" x14ac:dyDescent="0.3">
      <c r="U35">
        <v>-3.68</v>
      </c>
      <c r="V35">
        <f t="shared" si="0"/>
        <v>4.5731481405985675E-4</v>
      </c>
      <c r="W35">
        <f t="shared" si="1"/>
        <v>4.5731481405985675E-4</v>
      </c>
    </row>
    <row r="36" spans="21:23" x14ac:dyDescent="0.3">
      <c r="U36">
        <v>-3.67</v>
      </c>
      <c r="V36">
        <f t="shared" si="0"/>
        <v>4.7443376760662064E-4</v>
      </c>
      <c r="W36">
        <f t="shared" si="1"/>
        <v>4.7443376760662064E-4</v>
      </c>
    </row>
    <row r="37" spans="21:23" x14ac:dyDescent="0.3">
      <c r="U37">
        <v>-3.66</v>
      </c>
      <c r="V37">
        <f t="shared" si="0"/>
        <v>4.9214432883289312E-4</v>
      </c>
      <c r="W37">
        <f t="shared" si="1"/>
        <v>4.9214432883289312E-4</v>
      </c>
    </row>
    <row r="38" spans="21:23" x14ac:dyDescent="0.3">
      <c r="U38">
        <v>-3.65</v>
      </c>
      <c r="V38">
        <f t="shared" si="0"/>
        <v>5.104649743441856E-4</v>
      </c>
      <c r="W38">
        <f t="shared" si="1"/>
        <v>5.104649743441856E-4</v>
      </c>
    </row>
    <row r="39" spans="21:23" x14ac:dyDescent="0.3">
      <c r="U39">
        <v>-3.64</v>
      </c>
      <c r="V39">
        <f t="shared" si="0"/>
        <v>5.2941468309493475E-4</v>
      </c>
      <c r="W39">
        <f t="shared" si="1"/>
        <v>5.2941468309493475E-4</v>
      </c>
    </row>
    <row r="40" spans="21:23" x14ac:dyDescent="0.3">
      <c r="U40">
        <v>-3.63</v>
      </c>
      <c r="V40">
        <f t="shared" si="0"/>
        <v>5.490129473569587E-4</v>
      </c>
      <c r="W40">
        <f t="shared" si="1"/>
        <v>5.490129473569587E-4</v>
      </c>
    </row>
    <row r="41" spans="21:23" x14ac:dyDescent="0.3">
      <c r="U41">
        <v>-3.62</v>
      </c>
      <c r="V41">
        <f t="shared" si="0"/>
        <v>5.6927978383425261E-4</v>
      </c>
      <c r="W41">
        <f t="shared" si="1"/>
        <v>5.6927978383425261E-4</v>
      </c>
    </row>
    <row r="42" spans="21:23" x14ac:dyDescent="0.3">
      <c r="U42">
        <v>-3.61</v>
      </c>
      <c r="V42">
        <f t="shared" si="0"/>
        <v>5.9023574492278561E-4</v>
      </c>
      <c r="W42">
        <f t="shared" si="1"/>
        <v>5.9023574492278561E-4</v>
      </c>
    </row>
    <row r="43" spans="21:23" x14ac:dyDescent="0.3">
      <c r="U43">
        <v>-3.6</v>
      </c>
      <c r="V43">
        <f t="shared" si="0"/>
        <v>6.119019301137719E-4</v>
      </c>
      <c r="W43">
        <f t="shared" si="1"/>
        <v>6.119019301137719E-4</v>
      </c>
    </row>
    <row r="44" spans="21:23" x14ac:dyDescent="0.3">
      <c r="U44">
        <v>-3.59</v>
      </c>
      <c r="V44">
        <f t="shared" si="0"/>
        <v>6.342999975387576E-4</v>
      </c>
      <c r="W44">
        <f t="shared" si="1"/>
        <v>6.342999975387576E-4</v>
      </c>
    </row>
    <row r="45" spans="21:23" x14ac:dyDescent="0.3">
      <c r="U45">
        <v>-3.58</v>
      </c>
      <c r="V45">
        <f t="shared" si="0"/>
        <v>6.5745217565467645E-4</v>
      </c>
      <c r="W45">
        <f t="shared" si="1"/>
        <v>6.5745217565467645E-4</v>
      </c>
    </row>
    <row r="46" spans="21:23" x14ac:dyDescent="0.3">
      <c r="U46">
        <v>-3.57</v>
      </c>
      <c r="V46">
        <f t="shared" si="0"/>
        <v>6.8138127506689212E-4</v>
      </c>
      <c r="W46">
        <f t="shared" si="1"/>
        <v>6.8138127506689212E-4</v>
      </c>
    </row>
    <row r="47" spans="21:23" x14ac:dyDescent="0.3">
      <c r="U47">
        <v>-3.56</v>
      </c>
      <c r="V47">
        <f t="shared" si="0"/>
        <v>7.061107004880362E-4</v>
      </c>
      <c r="W47">
        <f t="shared" si="1"/>
        <v>7.061107004880362E-4</v>
      </c>
    </row>
    <row r="48" spans="21:23" x14ac:dyDescent="0.3">
      <c r="U48">
        <v>-3.55</v>
      </c>
      <c r="V48">
        <f t="shared" si="0"/>
        <v>7.3166446283031089E-4</v>
      </c>
      <c r="W48">
        <f t="shared" si="1"/>
        <v>7.3166446283031089E-4</v>
      </c>
    </row>
    <row r="49" spans="21:23" x14ac:dyDescent="0.3">
      <c r="U49">
        <v>-3.54</v>
      </c>
      <c r="V49">
        <f t="shared" si="0"/>
        <v>7.580671914287103E-4</v>
      </c>
      <c r="W49">
        <f t="shared" si="1"/>
        <v>7.580671914287103E-4</v>
      </c>
    </row>
    <row r="50" spans="21:23" x14ac:dyDescent="0.3">
      <c r="U50">
        <v>-3.53</v>
      </c>
      <c r="V50">
        <f t="shared" si="0"/>
        <v>7.8534414639246997E-4</v>
      </c>
      <c r="W50">
        <f t="shared" si="1"/>
        <v>7.8534414639246997E-4</v>
      </c>
    </row>
    <row r="51" spans="21:23" x14ac:dyDescent="0.3">
      <c r="U51">
        <v>-3.52</v>
      </c>
      <c r="V51">
        <f t="shared" si="0"/>
        <v>8.1352123108180841E-4</v>
      </c>
      <c r="W51">
        <f t="shared" si="1"/>
        <v>8.1352123108180841E-4</v>
      </c>
    </row>
    <row r="52" spans="21:23" x14ac:dyDescent="0.3">
      <c r="U52">
        <v>-3.51</v>
      </c>
      <c r="V52">
        <f t="shared" si="0"/>
        <v>8.4262500470690268E-4</v>
      </c>
      <c r="W52">
        <f t="shared" si="1"/>
        <v>8.4262500470690268E-4</v>
      </c>
    </row>
    <row r="53" spans="21:23" x14ac:dyDescent="0.3">
      <c r="U53">
        <v>-3.5</v>
      </c>
      <c r="V53">
        <f t="shared" si="0"/>
        <v>8.7268269504576015E-4</v>
      </c>
      <c r="W53">
        <f t="shared" si="1"/>
        <v>8.7268269504576015E-4</v>
      </c>
    </row>
    <row r="54" spans="21:23" x14ac:dyDescent="0.3">
      <c r="U54">
        <v>-3.49</v>
      </c>
      <c r="V54">
        <f t="shared" si="0"/>
        <v>9.0372221127752448E-4</v>
      </c>
      <c r="W54">
        <f t="shared" si="1"/>
        <v>9.0372221127752448E-4</v>
      </c>
    </row>
    <row r="55" spans="21:23" x14ac:dyDescent="0.3">
      <c r="U55">
        <v>-3.48</v>
      </c>
      <c r="V55">
        <f t="shared" si="0"/>
        <v>9.3577215692747977E-4</v>
      </c>
      <c r="W55">
        <f t="shared" si="1"/>
        <v>9.3577215692747977E-4</v>
      </c>
    </row>
    <row r="56" spans="21:23" x14ac:dyDescent="0.3">
      <c r="U56">
        <v>-3.47</v>
      </c>
      <c r="V56">
        <f t="shared" si="0"/>
        <v>9.6886184291984591E-4</v>
      </c>
      <c r="W56">
        <f t="shared" si="1"/>
        <v>9.6886184291984591E-4</v>
      </c>
    </row>
    <row r="57" spans="21:23" x14ac:dyDescent="0.3">
      <c r="U57">
        <v>-3.46</v>
      </c>
      <c r="V57">
        <f t="shared" si="0"/>
        <v>1.0030213007342376E-3</v>
      </c>
      <c r="W57">
        <f t="shared" si="1"/>
        <v>1.0030213007342376E-3</v>
      </c>
    </row>
    <row r="58" spans="21:23" x14ac:dyDescent="0.3">
      <c r="U58">
        <v>-3.45</v>
      </c>
      <c r="V58">
        <f t="shared" si="0"/>
        <v>1.0382812956614103E-3</v>
      </c>
      <c r="W58">
        <f t="shared" si="1"/>
        <v>1.0382812956614103E-3</v>
      </c>
    </row>
    <row r="59" spans="21:23" x14ac:dyDescent="0.3">
      <c r="U59">
        <v>-3.44</v>
      </c>
      <c r="V59">
        <f t="shared" si="0"/>
        <v>1.0746733401537356E-3</v>
      </c>
      <c r="W59">
        <f t="shared" si="1"/>
        <v>1.0746733401537356E-3</v>
      </c>
    </row>
    <row r="60" spans="21:23" x14ac:dyDescent="0.3">
      <c r="U60">
        <v>-3.43</v>
      </c>
      <c r="V60">
        <f t="shared" si="0"/>
        <v>1.1122297072655649E-3</v>
      </c>
      <c r="W60">
        <f t="shared" si="1"/>
        <v>1.1122297072655649E-3</v>
      </c>
    </row>
    <row r="61" spans="21:23" x14ac:dyDescent="0.3">
      <c r="U61">
        <v>-3.42</v>
      </c>
      <c r="V61">
        <f t="shared" si="0"/>
        <v>1.1509834441784845E-3</v>
      </c>
      <c r="W61">
        <f t="shared" si="1"/>
        <v>1.1509834441784845E-3</v>
      </c>
    </row>
    <row r="62" spans="21:23" x14ac:dyDescent="0.3">
      <c r="U62">
        <v>-3.41</v>
      </c>
      <c r="V62">
        <f t="shared" si="0"/>
        <v>1.1909683858061166E-3</v>
      </c>
      <c r="W62">
        <f t="shared" si="1"/>
        <v>1.1909683858061166E-3</v>
      </c>
    </row>
    <row r="63" spans="21:23" x14ac:dyDescent="0.3">
      <c r="U63">
        <v>-3.4</v>
      </c>
      <c r="V63">
        <f t="shared" si="0"/>
        <v>1.2322191684730199E-3</v>
      </c>
      <c r="W63">
        <f t="shared" si="1"/>
        <v>1.2322191684730199E-3</v>
      </c>
    </row>
    <row r="64" spans="21:23" x14ac:dyDescent="0.3">
      <c r="U64">
        <v>-3.39</v>
      </c>
      <c r="V64">
        <f t="shared" si="0"/>
        <v>1.2747712436618327E-3</v>
      </c>
      <c r="W64">
        <f t="shared" si="1"/>
        <v>1.2747712436618327E-3</v>
      </c>
    </row>
    <row r="65" spans="21:23" x14ac:dyDescent="0.3">
      <c r="U65">
        <v>-3.38</v>
      </c>
      <c r="V65">
        <f t="shared" si="0"/>
        <v>1.3186608918227423E-3</v>
      </c>
      <c r="W65">
        <f t="shared" si="1"/>
        <v>1.3186608918227423E-3</v>
      </c>
    </row>
    <row r="66" spans="21:23" x14ac:dyDescent="0.3">
      <c r="U66">
        <v>-3.37</v>
      </c>
      <c r="V66">
        <f t="shared" si="0"/>
        <v>1.3639252362389036E-3</v>
      </c>
      <c r="W66">
        <f t="shared" si="1"/>
        <v>1.3639252362389036E-3</v>
      </c>
    </row>
    <row r="67" spans="21:23" x14ac:dyDescent="0.3">
      <c r="U67">
        <v>-3.36</v>
      </c>
      <c r="V67">
        <f t="shared" si="0"/>
        <v>1.4106022569413848E-3</v>
      </c>
      <c r="W67">
        <f t="shared" si="1"/>
        <v>1.4106022569413848E-3</v>
      </c>
    </row>
    <row r="68" spans="21:23" x14ac:dyDescent="0.3">
      <c r="U68">
        <v>-3.35</v>
      </c>
      <c r="V68">
        <f t="shared" ref="V68:V131" si="2">_xlfn.NORM.S.DIST(U68,0)</f>
        <v>1.4587308046667459E-3</v>
      </c>
      <c r="W68">
        <f t="shared" ref="W68:W131" si="3">IF(U68&lt;=$B$2,V68,NA())</f>
        <v>1.4587308046667459E-3</v>
      </c>
    </row>
    <row r="69" spans="21:23" x14ac:dyDescent="0.3">
      <c r="U69">
        <v>-3.34</v>
      </c>
      <c r="V69">
        <f t="shared" si="2"/>
        <v>1.5083506148503073E-3</v>
      </c>
      <c r="W69">
        <f t="shared" si="3"/>
        <v>1.5083506148503073E-3</v>
      </c>
    </row>
    <row r="70" spans="21:23" x14ac:dyDescent="0.3">
      <c r="U70">
        <v>-3.33</v>
      </c>
      <c r="V70">
        <f t="shared" si="2"/>
        <v>1.5595023216476915E-3</v>
      </c>
      <c r="W70">
        <f t="shared" si="3"/>
        <v>1.5595023216476915E-3</v>
      </c>
    </row>
    <row r="71" spans="21:23" x14ac:dyDescent="0.3">
      <c r="U71">
        <v>-3.32</v>
      </c>
      <c r="V71">
        <f t="shared" si="2"/>
        <v>1.6122274719771244E-3</v>
      </c>
      <c r="W71">
        <f t="shared" si="3"/>
        <v>1.6122274719771244E-3</v>
      </c>
    </row>
    <row r="72" spans="21:23" x14ac:dyDescent="0.3">
      <c r="U72">
        <v>-3.31</v>
      </c>
      <c r="V72">
        <f t="shared" si="2"/>
        <v>1.6665685395745797E-3</v>
      </c>
      <c r="W72">
        <f t="shared" si="3"/>
        <v>1.6665685395745797E-3</v>
      </c>
    </row>
    <row r="73" spans="21:23" x14ac:dyDescent="0.3">
      <c r="U73">
        <v>-3.3</v>
      </c>
      <c r="V73">
        <f t="shared" si="2"/>
        <v>1.7225689390536812E-3</v>
      </c>
      <c r="W73">
        <f t="shared" si="3"/>
        <v>1.7225689390536812E-3</v>
      </c>
    </row>
    <row r="74" spans="21:23" x14ac:dyDescent="0.3">
      <c r="U74">
        <v>-3.29</v>
      </c>
      <c r="V74">
        <f t="shared" si="2"/>
        <v>1.7802730399618786E-3</v>
      </c>
      <c r="W74">
        <f t="shared" si="3"/>
        <v>1.7802730399618786E-3</v>
      </c>
    </row>
    <row r="75" spans="21:23" x14ac:dyDescent="0.3">
      <c r="U75">
        <v>-3.28</v>
      </c>
      <c r="V75">
        <f t="shared" si="2"/>
        <v>1.839726180824281E-3</v>
      </c>
      <c r="W75">
        <f t="shared" si="3"/>
        <v>1.839726180824281E-3</v>
      </c>
    </row>
    <row r="76" spans="21:23" x14ac:dyDescent="0.3">
      <c r="U76">
        <v>-3.27</v>
      </c>
      <c r="V76">
        <f t="shared" si="2"/>
        <v>1.9009746831660803E-3</v>
      </c>
      <c r="W76">
        <f t="shared" si="3"/>
        <v>1.9009746831660803E-3</v>
      </c>
    </row>
    <row r="77" spans="21:23" x14ac:dyDescent="0.3">
      <c r="U77">
        <v>-3.26</v>
      </c>
      <c r="V77">
        <f t="shared" si="2"/>
        <v>1.9640658655043761E-3</v>
      </c>
      <c r="W77">
        <f t="shared" si="3"/>
        <v>1.9640658655043761E-3</v>
      </c>
    </row>
    <row r="78" spans="21:23" x14ac:dyDescent="0.3">
      <c r="U78">
        <v>-3.25</v>
      </c>
      <c r="V78">
        <f t="shared" si="2"/>
        <v>2.0290480572997681E-3</v>
      </c>
      <c r="W78">
        <f t="shared" si="3"/>
        <v>2.0290480572997681E-3</v>
      </c>
    </row>
    <row r="79" spans="21:23" x14ac:dyDescent="0.3">
      <c r="U79">
        <v>-3.24</v>
      </c>
      <c r="V79">
        <f t="shared" si="2"/>
        <v>2.0959706128579419E-3</v>
      </c>
      <c r="W79">
        <f t="shared" si="3"/>
        <v>2.0959706128579419E-3</v>
      </c>
    </row>
    <row r="80" spans="21:23" x14ac:dyDescent="0.3">
      <c r="U80">
        <v>-3.23</v>
      </c>
      <c r="V80">
        <f t="shared" si="2"/>
        <v>2.164883925171062E-3</v>
      </c>
      <c r="W80">
        <f t="shared" si="3"/>
        <v>2.164883925171062E-3</v>
      </c>
    </row>
    <row r="81" spans="21:23" x14ac:dyDescent="0.3">
      <c r="U81">
        <v>-3.22</v>
      </c>
      <c r="V81">
        <f t="shared" si="2"/>
        <v>2.2358394396885385E-3</v>
      </c>
      <c r="W81">
        <f t="shared" si="3"/>
        <v>2.2358394396885385E-3</v>
      </c>
    </row>
    <row r="82" spans="21:23" x14ac:dyDescent="0.3">
      <c r="U82">
        <v>-3.21</v>
      </c>
      <c r="V82">
        <f t="shared" si="2"/>
        <v>2.3088896680064958E-3</v>
      </c>
      <c r="W82">
        <f t="shared" si="3"/>
        <v>2.3088896680064958E-3</v>
      </c>
    </row>
    <row r="83" spans="21:23" x14ac:dyDescent="0.3">
      <c r="U83">
        <v>-3.2</v>
      </c>
      <c r="V83">
        <f t="shared" si="2"/>
        <v>2.3840882014648404E-3</v>
      </c>
      <c r="W83">
        <f t="shared" si="3"/>
        <v>2.3840882014648404E-3</v>
      </c>
    </row>
    <row r="84" spans="21:23" x14ac:dyDescent="0.3">
      <c r="U84">
        <v>-3.19</v>
      </c>
      <c r="V84">
        <f t="shared" si="2"/>
        <v>2.4614897246407006E-3</v>
      </c>
      <c r="W84">
        <f t="shared" si="3"/>
        <v>2.4614897246407006E-3</v>
      </c>
    </row>
    <row r="85" spans="21:23" x14ac:dyDescent="0.3">
      <c r="U85">
        <v>-3.18</v>
      </c>
      <c r="V85">
        <f t="shared" si="2"/>
        <v>2.5411500287265214E-3</v>
      </c>
      <c r="W85">
        <f t="shared" si="3"/>
        <v>2.5411500287265214E-3</v>
      </c>
    </row>
    <row r="86" spans="21:23" x14ac:dyDescent="0.3">
      <c r="U86">
        <v>-3.17</v>
      </c>
      <c r="V86">
        <f t="shared" si="2"/>
        <v>2.6231260247810244E-3</v>
      </c>
      <c r="W86">
        <f t="shared" si="3"/>
        <v>2.6231260247810244E-3</v>
      </c>
    </row>
    <row r="87" spans="21:23" x14ac:dyDescent="0.3">
      <c r="U87">
        <v>-3.16</v>
      </c>
      <c r="V87">
        <f t="shared" si="2"/>
        <v>2.7074757568406999E-3</v>
      </c>
      <c r="W87">
        <f t="shared" si="3"/>
        <v>2.7074757568406999E-3</v>
      </c>
    </row>
    <row r="88" spans="21:23" x14ac:dyDescent="0.3">
      <c r="U88">
        <v>-3.15</v>
      </c>
      <c r="V88">
        <f t="shared" si="2"/>
        <v>2.7942584148794472E-3</v>
      </c>
      <c r="W88">
        <f t="shared" si="3"/>
        <v>2.7942584148794472E-3</v>
      </c>
    </row>
    <row r="89" spans="21:23" x14ac:dyDescent="0.3">
      <c r="U89">
        <v>-3.14</v>
      </c>
      <c r="V89">
        <f t="shared" si="2"/>
        <v>2.8835343476034392E-3</v>
      </c>
      <c r="W89">
        <f t="shared" si="3"/>
        <v>2.8835343476034392E-3</v>
      </c>
    </row>
    <row r="90" spans="21:23" x14ac:dyDescent="0.3">
      <c r="U90">
        <v>-3.13</v>
      </c>
      <c r="V90">
        <f t="shared" si="2"/>
        <v>2.9753650750682535E-3</v>
      </c>
      <c r="W90">
        <f t="shared" si="3"/>
        <v>2.9753650750682535E-3</v>
      </c>
    </row>
    <row r="91" spans="21:23" x14ac:dyDescent="0.3">
      <c r="U91">
        <v>-3.12</v>
      </c>
      <c r="V91">
        <f t="shared" si="2"/>
        <v>3.0698133011047403E-3</v>
      </c>
      <c r="W91">
        <f t="shared" si="3"/>
        <v>3.0698133011047403E-3</v>
      </c>
    </row>
    <row r="92" spans="21:23" x14ac:dyDescent="0.3">
      <c r="U92">
        <v>-3.11</v>
      </c>
      <c r="V92">
        <f t="shared" si="2"/>
        <v>3.1669429255400811E-3</v>
      </c>
      <c r="W92">
        <f t="shared" si="3"/>
        <v>3.1669429255400811E-3</v>
      </c>
    </row>
    <row r="93" spans="21:23" x14ac:dyDescent="0.3">
      <c r="U93">
        <v>-3.1</v>
      </c>
      <c r="V93">
        <f t="shared" si="2"/>
        <v>3.2668190561999182E-3</v>
      </c>
      <c r="W93">
        <f t="shared" si="3"/>
        <v>3.2668190561999182E-3</v>
      </c>
    </row>
    <row r="94" spans="21:23" x14ac:dyDescent="0.3">
      <c r="U94">
        <v>-3.09</v>
      </c>
      <c r="V94">
        <f t="shared" si="2"/>
        <v>3.3695080206774812E-3</v>
      </c>
      <c r="W94">
        <f t="shared" si="3"/>
        <v>3.3695080206774812E-3</v>
      </c>
    </row>
    <row r="95" spans="21:23" x14ac:dyDescent="0.3">
      <c r="U95">
        <v>-3.08</v>
      </c>
      <c r="V95">
        <f t="shared" si="2"/>
        <v>3.4750773778549375E-3</v>
      </c>
      <c r="W95">
        <f t="shared" si="3"/>
        <v>3.4750773778549375E-3</v>
      </c>
    </row>
    <row r="96" spans="21:23" x14ac:dyDescent="0.3">
      <c r="U96">
        <v>-3.07</v>
      </c>
      <c r="V96">
        <f t="shared" si="2"/>
        <v>3.5835959291623614E-3</v>
      </c>
      <c r="W96">
        <f t="shared" si="3"/>
        <v>3.5835959291623614E-3</v>
      </c>
    </row>
    <row r="97" spans="21:23" x14ac:dyDescent="0.3">
      <c r="U97">
        <v>-3.06</v>
      </c>
      <c r="V97">
        <f t="shared" si="2"/>
        <v>3.6951337295590349E-3</v>
      </c>
      <c r="W97">
        <f t="shared" si="3"/>
        <v>3.6951337295590349E-3</v>
      </c>
    </row>
    <row r="98" spans="21:23" x14ac:dyDescent="0.3">
      <c r="U98">
        <v>-3.05</v>
      </c>
      <c r="V98">
        <f t="shared" si="2"/>
        <v>3.8097620982218104E-3</v>
      </c>
      <c r="W98">
        <f t="shared" si="3"/>
        <v>3.8097620982218104E-3</v>
      </c>
    </row>
    <row r="99" spans="21:23" x14ac:dyDescent="0.3">
      <c r="U99">
        <v>-3.04</v>
      </c>
      <c r="V99">
        <f t="shared" si="2"/>
        <v>3.9275536289247789E-3</v>
      </c>
      <c r="W99">
        <f t="shared" si="3"/>
        <v>3.9275536289247789E-3</v>
      </c>
    </row>
    <row r="100" spans="21:23" x14ac:dyDescent="0.3">
      <c r="U100">
        <v>-3.03</v>
      </c>
      <c r="V100">
        <f t="shared" si="2"/>
        <v>4.04858220009443E-3</v>
      </c>
      <c r="W100">
        <f t="shared" si="3"/>
        <v>4.04858220009443E-3</v>
      </c>
    </row>
    <row r="101" spans="21:23" x14ac:dyDescent="0.3">
      <c r="U101">
        <v>-3.02</v>
      </c>
      <c r="V101">
        <f t="shared" si="2"/>
        <v>4.1729229845239623E-3</v>
      </c>
      <c r="W101">
        <f t="shared" si="3"/>
        <v>4.1729229845239623E-3</v>
      </c>
    </row>
    <row r="102" spans="21:23" x14ac:dyDescent="0.3">
      <c r="U102">
        <v>-3.01</v>
      </c>
      <c r="V102">
        <f t="shared" si="2"/>
        <v>4.3006524587304498E-3</v>
      </c>
      <c r="W102">
        <f t="shared" si="3"/>
        <v>4.3006524587304498E-3</v>
      </c>
    </row>
    <row r="103" spans="21:23" x14ac:dyDescent="0.3">
      <c r="U103">
        <v>-3</v>
      </c>
      <c r="V103">
        <f t="shared" si="2"/>
        <v>4.4318484119380075E-3</v>
      </c>
      <c r="W103">
        <f t="shared" si="3"/>
        <v>4.4318484119380075E-3</v>
      </c>
    </row>
    <row r="104" spans="21:23" x14ac:dyDescent="0.3">
      <c r="U104">
        <v>-2.99</v>
      </c>
      <c r="V104">
        <f t="shared" si="2"/>
        <v>4.5665899546701444E-3</v>
      </c>
      <c r="W104">
        <f t="shared" si="3"/>
        <v>4.5665899546701444E-3</v>
      </c>
    </row>
    <row r="105" spans="21:23" x14ac:dyDescent="0.3">
      <c r="U105">
        <v>-2.98</v>
      </c>
      <c r="V105">
        <f t="shared" si="2"/>
        <v>4.7049575269339792E-3</v>
      </c>
      <c r="W105">
        <f t="shared" si="3"/>
        <v>4.7049575269339792E-3</v>
      </c>
    </row>
    <row r="106" spans="21:23" x14ac:dyDescent="0.3">
      <c r="U106">
        <v>-2.97</v>
      </c>
      <c r="V106">
        <f t="shared" si="2"/>
        <v>4.847032905978944E-3</v>
      </c>
      <c r="W106">
        <f t="shared" si="3"/>
        <v>4.847032905978944E-3</v>
      </c>
    </row>
    <row r="107" spans="21:23" x14ac:dyDescent="0.3">
      <c r="U107">
        <v>-2.96</v>
      </c>
      <c r="V107">
        <f t="shared" si="2"/>
        <v>4.9928992136123763E-3</v>
      </c>
      <c r="W107">
        <f t="shared" si="3"/>
        <v>4.9928992136123763E-3</v>
      </c>
    </row>
    <row r="108" spans="21:23" x14ac:dyDescent="0.3">
      <c r="U108">
        <v>-2.95</v>
      </c>
      <c r="V108">
        <f t="shared" si="2"/>
        <v>5.1426409230539392E-3</v>
      </c>
      <c r="W108">
        <f t="shared" si="3"/>
        <v>5.1426409230539392E-3</v>
      </c>
    </row>
    <row r="109" spans="21:23" x14ac:dyDescent="0.3">
      <c r="U109">
        <v>-2.94</v>
      </c>
      <c r="V109">
        <f t="shared" si="2"/>
        <v>5.2963438653110201E-3</v>
      </c>
      <c r="W109">
        <f t="shared" si="3"/>
        <v>5.2963438653110201E-3</v>
      </c>
    </row>
    <row r="110" spans="21:23" x14ac:dyDescent="0.3">
      <c r="U110">
        <v>-2.93</v>
      </c>
      <c r="V110">
        <f t="shared" si="2"/>
        <v>5.4540952350565454E-3</v>
      </c>
      <c r="W110">
        <f t="shared" si="3"/>
        <v>5.4540952350565454E-3</v>
      </c>
    </row>
    <row r="111" spans="21:23" x14ac:dyDescent="0.3">
      <c r="U111">
        <v>-2.92</v>
      </c>
      <c r="V111">
        <f t="shared" si="2"/>
        <v>5.615983595990969E-3</v>
      </c>
      <c r="W111">
        <f t="shared" si="3"/>
        <v>5.615983595990969E-3</v>
      </c>
    </row>
    <row r="112" spans="21:23" x14ac:dyDescent="0.3">
      <c r="U112">
        <v>-2.91</v>
      </c>
      <c r="V112">
        <f t="shared" si="2"/>
        <v>5.7820988856694729E-3</v>
      </c>
      <c r="W112">
        <f t="shared" si="3"/>
        <v>5.7820988856694729E-3</v>
      </c>
    </row>
    <row r="113" spans="21:23" x14ac:dyDescent="0.3">
      <c r="U113">
        <v>-2.9</v>
      </c>
      <c r="V113">
        <f t="shared" si="2"/>
        <v>5.9525324197758538E-3</v>
      </c>
      <c r="W113">
        <f t="shared" si="3"/>
        <v>5.9525324197758538E-3</v>
      </c>
    </row>
    <row r="114" spans="21:23" x14ac:dyDescent="0.3">
      <c r="U114">
        <v>-2.89</v>
      </c>
      <c r="V114">
        <f t="shared" si="2"/>
        <v>6.1273768958236873E-3</v>
      </c>
      <c r="W114">
        <f t="shared" si="3"/>
        <v>6.1273768958236873E-3</v>
      </c>
    </row>
    <row r="115" spans="21:23" x14ac:dyDescent="0.3">
      <c r="U115">
        <v>-2.88</v>
      </c>
      <c r="V115">
        <f t="shared" si="2"/>
        <v>6.3067263962659275E-3</v>
      </c>
      <c r="W115">
        <f t="shared" si="3"/>
        <v>6.3067263962659275E-3</v>
      </c>
    </row>
    <row r="116" spans="21:23" x14ac:dyDescent="0.3">
      <c r="U116">
        <v>-2.87</v>
      </c>
      <c r="V116">
        <f t="shared" si="2"/>
        <v>6.4906763909933643E-3</v>
      </c>
      <c r="W116">
        <f t="shared" si="3"/>
        <v>6.4906763909933643E-3</v>
      </c>
    </row>
    <row r="117" spans="21:23" x14ac:dyDescent="0.3">
      <c r="U117">
        <v>-2.86</v>
      </c>
      <c r="V117">
        <f t="shared" si="2"/>
        <v>6.6793237392026202E-3</v>
      </c>
      <c r="W117">
        <f t="shared" si="3"/>
        <v>6.6793237392026202E-3</v>
      </c>
    </row>
    <row r="118" spans="21:23" x14ac:dyDescent="0.3">
      <c r="U118">
        <v>-2.85</v>
      </c>
      <c r="V118">
        <f t="shared" si="2"/>
        <v>6.8727666906139712E-3</v>
      </c>
      <c r="W118">
        <f t="shared" si="3"/>
        <v>6.8727666906139712E-3</v>
      </c>
    </row>
    <row r="119" spans="21:23" x14ac:dyDescent="0.3">
      <c r="U119">
        <v>-2.84</v>
      </c>
      <c r="V119">
        <f t="shared" si="2"/>
        <v>7.0711048860194487E-3</v>
      </c>
      <c r="W119">
        <f t="shared" si="3"/>
        <v>7.0711048860194487E-3</v>
      </c>
    </row>
    <row r="120" spans="21:23" x14ac:dyDescent="0.3">
      <c r="U120">
        <v>-2.83</v>
      </c>
      <c r="V120">
        <f t="shared" si="2"/>
        <v>7.2744393571412182E-3</v>
      </c>
      <c r="W120">
        <f t="shared" si="3"/>
        <v>7.2744393571412182E-3</v>
      </c>
    </row>
    <row r="121" spans="21:23" x14ac:dyDescent="0.3">
      <c r="U121">
        <v>-2.82</v>
      </c>
      <c r="V121">
        <f t="shared" si="2"/>
        <v>7.4828725257805638E-3</v>
      </c>
      <c r="W121">
        <f t="shared" si="3"/>
        <v>7.4828725257805638E-3</v>
      </c>
    </row>
    <row r="122" spans="21:23" x14ac:dyDescent="0.3">
      <c r="U122">
        <v>-2.81</v>
      </c>
      <c r="V122">
        <f t="shared" si="2"/>
        <v>7.6965082022373218E-3</v>
      </c>
      <c r="W122">
        <f t="shared" si="3"/>
        <v>7.6965082022373218E-3</v>
      </c>
    </row>
    <row r="123" spans="21:23" x14ac:dyDescent="0.3">
      <c r="U123">
        <v>-2.8</v>
      </c>
      <c r="V123">
        <f t="shared" si="2"/>
        <v>7.9154515829799686E-3</v>
      </c>
      <c r="W123">
        <f t="shared" si="3"/>
        <v>7.9154515829799686E-3</v>
      </c>
    </row>
    <row r="124" spans="21:23" x14ac:dyDescent="0.3">
      <c r="U124">
        <v>-2.79</v>
      </c>
      <c r="V124">
        <f t="shared" si="2"/>
        <v>8.1398092475460215E-3</v>
      </c>
      <c r="W124">
        <f t="shared" si="3"/>
        <v>8.1398092475460215E-3</v>
      </c>
    </row>
    <row r="125" spans="21:23" x14ac:dyDescent="0.3">
      <c r="U125">
        <v>-2.78</v>
      </c>
      <c r="V125">
        <f t="shared" si="2"/>
        <v>8.369689154653033E-3</v>
      </c>
      <c r="W125">
        <f t="shared" si="3"/>
        <v>8.369689154653033E-3</v>
      </c>
    </row>
    <row r="126" spans="21:23" x14ac:dyDescent="0.3">
      <c r="U126">
        <v>-2.77</v>
      </c>
      <c r="V126">
        <f t="shared" si="2"/>
        <v>8.6052006374996715E-3</v>
      </c>
      <c r="W126">
        <f t="shared" si="3"/>
        <v>8.6052006374996715E-3</v>
      </c>
    </row>
    <row r="127" spans="21:23" x14ac:dyDescent="0.3">
      <c r="U127">
        <v>-2.76</v>
      </c>
      <c r="V127">
        <f t="shared" si="2"/>
        <v>8.8464543982372315E-3</v>
      </c>
      <c r="W127">
        <f t="shared" si="3"/>
        <v>8.8464543982372315E-3</v>
      </c>
    </row>
    <row r="128" spans="21:23" x14ac:dyDescent="0.3">
      <c r="U128">
        <v>-2.75</v>
      </c>
      <c r="V128">
        <f t="shared" si="2"/>
        <v>9.0935625015910529E-3</v>
      </c>
      <c r="W128">
        <f t="shared" si="3"/>
        <v>9.0935625015910529E-3</v>
      </c>
    </row>
    <row r="129" spans="21:23" x14ac:dyDescent="0.3">
      <c r="U129">
        <v>-2.74</v>
      </c>
      <c r="V129">
        <f t="shared" si="2"/>
        <v>9.3466383676122835E-3</v>
      </c>
      <c r="W129">
        <f t="shared" si="3"/>
        <v>9.3466383676122835E-3</v>
      </c>
    </row>
    <row r="130" spans="21:23" x14ac:dyDescent="0.3">
      <c r="U130">
        <v>-2.73</v>
      </c>
      <c r="V130">
        <f t="shared" si="2"/>
        <v>9.6057967635395872E-3</v>
      </c>
      <c r="W130">
        <f t="shared" si="3"/>
        <v>9.6057967635395872E-3</v>
      </c>
    </row>
    <row r="131" spans="21:23" x14ac:dyDescent="0.3">
      <c r="U131">
        <v>-2.72</v>
      </c>
      <c r="V131">
        <f t="shared" si="2"/>
        <v>9.8711537947511301E-3</v>
      </c>
      <c r="W131">
        <f t="shared" si="3"/>
        <v>9.8711537947511301E-3</v>
      </c>
    </row>
    <row r="132" spans="21:23" x14ac:dyDescent="0.3">
      <c r="U132">
        <v>-2.71</v>
      </c>
      <c r="V132">
        <f t="shared" ref="V132:V195" si="4">_xlfn.NORM.S.DIST(U132,0)</f>
        <v>1.0142826894787077E-2</v>
      </c>
      <c r="W132">
        <f t="shared" ref="W132:W195" si="5">IF(U132&lt;=$B$2,V132,NA())</f>
        <v>1.0142826894787077E-2</v>
      </c>
    </row>
    <row r="133" spans="21:23" x14ac:dyDescent="0.3">
      <c r="U133">
        <v>-2.7</v>
      </c>
      <c r="V133">
        <f t="shared" si="4"/>
        <v>1.0420934814422592E-2</v>
      </c>
      <c r="W133">
        <f t="shared" si="5"/>
        <v>1.0420934814422592E-2</v>
      </c>
    </row>
    <row r="134" spans="21:23" x14ac:dyDescent="0.3">
      <c r="U134">
        <v>-2.69</v>
      </c>
      <c r="V134">
        <f t="shared" si="4"/>
        <v>1.0705597609772187E-2</v>
      </c>
      <c r="W134">
        <f t="shared" si="5"/>
        <v>1.0705597609772187E-2</v>
      </c>
    </row>
    <row r="135" spans="21:23" x14ac:dyDescent="0.3">
      <c r="U135">
        <v>-2.68</v>
      </c>
      <c r="V135">
        <f t="shared" si="4"/>
        <v>1.0996936629405572E-2</v>
      </c>
      <c r="W135">
        <f t="shared" si="5"/>
        <v>1.0996936629405572E-2</v>
      </c>
    </row>
    <row r="136" spans="21:23" x14ac:dyDescent="0.3">
      <c r="U136">
        <v>-2.67</v>
      </c>
      <c r="V136">
        <f t="shared" si="4"/>
        <v>1.1295074500456135E-2</v>
      </c>
      <c r="W136">
        <f t="shared" si="5"/>
        <v>1.1295074500456135E-2</v>
      </c>
    </row>
    <row r="137" spans="21:23" x14ac:dyDescent="0.3">
      <c r="U137">
        <v>-2.66</v>
      </c>
      <c r="V137">
        <f t="shared" si="4"/>
        <v>1.1600135113702561E-2</v>
      </c>
      <c r="W137">
        <f t="shared" si="5"/>
        <v>1.1600135113702561E-2</v>
      </c>
    </row>
    <row r="138" spans="21:23" x14ac:dyDescent="0.3">
      <c r="U138">
        <v>-2.65</v>
      </c>
      <c r="V138">
        <f t="shared" si="4"/>
        <v>1.1912243607605179E-2</v>
      </c>
      <c r="W138">
        <f t="shared" si="5"/>
        <v>1.1912243607605179E-2</v>
      </c>
    </row>
    <row r="139" spans="21:23" x14ac:dyDescent="0.3">
      <c r="U139">
        <v>-2.64</v>
      </c>
      <c r="V139">
        <f t="shared" si="4"/>
        <v>1.2231526351277971E-2</v>
      </c>
      <c r="W139">
        <f t="shared" si="5"/>
        <v>1.2231526351277971E-2</v>
      </c>
    </row>
    <row r="140" spans="21:23" x14ac:dyDescent="0.3">
      <c r="U140">
        <v>-2.63</v>
      </c>
      <c r="V140">
        <f t="shared" si="4"/>
        <v>1.2558110926378211E-2</v>
      </c>
      <c r="W140">
        <f t="shared" si="5"/>
        <v>1.2558110926378211E-2</v>
      </c>
    </row>
    <row r="141" spans="21:23" x14ac:dyDescent="0.3">
      <c r="U141">
        <v>-2.62</v>
      </c>
      <c r="V141">
        <f t="shared" si="4"/>
        <v>1.2892126107895304E-2</v>
      </c>
      <c r="W141">
        <f t="shared" si="5"/>
        <v>1.2892126107895304E-2</v>
      </c>
    </row>
    <row r="142" spans="21:23" x14ac:dyDescent="0.3">
      <c r="U142">
        <v>-2.61</v>
      </c>
      <c r="V142">
        <f t="shared" si="4"/>
        <v>1.3233701843821374E-2</v>
      </c>
      <c r="W142">
        <f t="shared" si="5"/>
        <v>1.3233701843821374E-2</v>
      </c>
    </row>
    <row r="143" spans="21:23" x14ac:dyDescent="0.3">
      <c r="U143">
        <v>-2.6</v>
      </c>
      <c r="V143">
        <f t="shared" si="4"/>
        <v>1.3582969233685613E-2</v>
      </c>
      <c r="W143">
        <f t="shared" si="5"/>
        <v>1.3582969233685613E-2</v>
      </c>
    </row>
    <row r="144" spans="21:23" x14ac:dyDescent="0.3">
      <c r="U144">
        <v>-2.59</v>
      </c>
      <c r="V144">
        <f t="shared" si="4"/>
        <v>1.3940060505935825E-2</v>
      </c>
      <c r="W144">
        <f t="shared" si="5"/>
        <v>1.3940060505935825E-2</v>
      </c>
    </row>
    <row r="145" spans="21:23" x14ac:dyDescent="0.3">
      <c r="U145">
        <v>-2.58</v>
      </c>
      <c r="V145">
        <f t="shared" si="4"/>
        <v>1.430510899414969E-2</v>
      </c>
      <c r="W145">
        <f t="shared" si="5"/>
        <v>1.430510899414969E-2</v>
      </c>
    </row>
    <row r="146" spans="21:23" x14ac:dyDescent="0.3">
      <c r="U146">
        <v>-2.57</v>
      </c>
      <c r="V146">
        <f t="shared" si="4"/>
        <v>1.4678249112060044E-2</v>
      </c>
      <c r="W146">
        <f t="shared" si="5"/>
        <v>1.4678249112060044E-2</v>
      </c>
    </row>
    <row r="147" spans="21:23" x14ac:dyDescent="0.3">
      <c r="U147">
        <v>-2.56</v>
      </c>
      <c r="V147">
        <f t="shared" si="4"/>
        <v>1.5059616327377449E-2</v>
      </c>
      <c r="W147">
        <f t="shared" si="5"/>
        <v>1.5059616327377449E-2</v>
      </c>
    </row>
    <row r="148" spans="21:23" x14ac:dyDescent="0.3">
      <c r="U148">
        <v>-2.5499999999999998</v>
      </c>
      <c r="V148">
        <f t="shared" si="4"/>
        <v>1.5449347134395174E-2</v>
      </c>
      <c r="W148">
        <f t="shared" si="5"/>
        <v>1.5449347134395174E-2</v>
      </c>
    </row>
    <row r="149" spans="21:23" x14ac:dyDescent="0.3">
      <c r="U149">
        <v>-2.54</v>
      </c>
      <c r="V149">
        <f t="shared" si="4"/>
        <v>1.5847579025360818E-2</v>
      </c>
      <c r="W149">
        <f t="shared" si="5"/>
        <v>1.5847579025360818E-2</v>
      </c>
    </row>
    <row r="150" spans="21:23" x14ac:dyDescent="0.3">
      <c r="U150">
        <v>-2.5299999999999998</v>
      </c>
      <c r="V150">
        <f t="shared" si="4"/>
        <v>1.6254450460600506E-2</v>
      </c>
      <c r="W150">
        <f t="shared" si="5"/>
        <v>1.6254450460600506E-2</v>
      </c>
    </row>
    <row r="151" spans="21:23" x14ac:dyDescent="0.3">
      <c r="U151">
        <v>-2.52</v>
      </c>
      <c r="V151">
        <f t="shared" si="4"/>
        <v>1.6670100837381057E-2</v>
      </c>
      <c r="W151">
        <f t="shared" si="5"/>
        <v>1.6670100837381057E-2</v>
      </c>
    </row>
    <row r="152" spans="21:23" x14ac:dyDescent="0.3">
      <c r="U152">
        <v>-2.5099999999999998</v>
      </c>
      <c r="V152">
        <f t="shared" si="4"/>
        <v>1.7094670457496956E-2</v>
      </c>
      <c r="W152">
        <f t="shared" si="5"/>
        <v>1.7094670457496956E-2</v>
      </c>
    </row>
    <row r="153" spans="21:23" x14ac:dyDescent="0.3">
      <c r="U153">
        <v>-2.5</v>
      </c>
      <c r="V153">
        <f t="shared" si="4"/>
        <v>1.752830049356854E-2</v>
      </c>
      <c r="W153">
        <f t="shared" si="5"/>
        <v>1.752830049356854E-2</v>
      </c>
    </row>
    <row r="154" spans="21:23" x14ac:dyDescent="0.3">
      <c r="U154">
        <v>-2.4900000000000002</v>
      </c>
      <c r="V154">
        <f t="shared" si="4"/>
        <v>1.7971132954039633E-2</v>
      </c>
      <c r="W154">
        <f t="shared" si="5"/>
        <v>1.7971132954039633E-2</v>
      </c>
    </row>
    <row r="155" spans="21:23" x14ac:dyDescent="0.3">
      <c r="U155">
        <v>-2.48</v>
      </c>
      <c r="V155">
        <f t="shared" si="4"/>
        <v>1.8423310646862048E-2</v>
      </c>
      <c r="W155">
        <f t="shared" si="5"/>
        <v>1.8423310646862048E-2</v>
      </c>
    </row>
    <row r="156" spans="21:23" x14ac:dyDescent="0.3">
      <c r="U156">
        <v>-2.4700000000000002</v>
      </c>
      <c r="V156">
        <f t="shared" si="4"/>
        <v>1.8884977141856163E-2</v>
      </c>
      <c r="W156">
        <f t="shared" si="5"/>
        <v>1.8884977141856163E-2</v>
      </c>
    </row>
    <row r="157" spans="21:23" x14ac:dyDescent="0.3">
      <c r="U157">
        <v>-2.46</v>
      </c>
      <c r="V157">
        <f t="shared" si="4"/>
        <v>1.9356276731736961E-2</v>
      </c>
      <c r="W157">
        <f t="shared" si="5"/>
        <v>1.9356276731736961E-2</v>
      </c>
    </row>
    <row r="158" spans="21:23" x14ac:dyDescent="0.3">
      <c r="U158">
        <v>-2.4500000000000002</v>
      </c>
      <c r="V158">
        <f t="shared" si="4"/>
        <v>1.9837354391795313E-2</v>
      </c>
      <c r="W158">
        <f t="shared" si="5"/>
        <v>1.9837354391795313E-2</v>
      </c>
    </row>
    <row r="159" spans="21:23" x14ac:dyDescent="0.3">
      <c r="U159">
        <v>-2.44</v>
      </c>
      <c r="V159">
        <f t="shared" si="4"/>
        <v>2.0328355738225837E-2</v>
      </c>
      <c r="W159">
        <f t="shared" si="5"/>
        <v>2.0328355738225837E-2</v>
      </c>
    </row>
    <row r="160" spans="21:23" x14ac:dyDescent="0.3">
      <c r="U160">
        <v>-2.4300000000000002</v>
      </c>
      <c r="V160">
        <f t="shared" si="4"/>
        <v>2.0829426985092186E-2</v>
      </c>
      <c r="W160">
        <f t="shared" si="5"/>
        <v>2.0829426985092186E-2</v>
      </c>
    </row>
    <row r="161" spans="21:23" x14ac:dyDescent="0.3">
      <c r="U161">
        <v>-2.42</v>
      </c>
      <c r="V161">
        <f t="shared" si="4"/>
        <v>2.1340714899922782E-2</v>
      </c>
      <c r="W161">
        <f t="shared" si="5"/>
        <v>2.1340714899922782E-2</v>
      </c>
    </row>
    <row r="162" spans="21:23" x14ac:dyDescent="0.3">
      <c r="U162">
        <v>-2.41</v>
      </c>
      <c r="V162">
        <f t="shared" si="4"/>
        <v>2.1862366757929387E-2</v>
      </c>
      <c r="W162">
        <f t="shared" si="5"/>
        <v>2.1862366757929387E-2</v>
      </c>
    </row>
    <row r="163" spans="21:23" x14ac:dyDescent="0.3">
      <c r="U163">
        <v>-2.4</v>
      </c>
      <c r="V163">
        <f t="shared" si="4"/>
        <v>2.2394530294842899E-2</v>
      </c>
      <c r="W163">
        <f t="shared" si="5"/>
        <v>2.2394530294842899E-2</v>
      </c>
    </row>
    <row r="164" spans="21:23" x14ac:dyDescent="0.3">
      <c r="U164">
        <v>-2.39</v>
      </c>
      <c r="V164">
        <f t="shared" si="4"/>
        <v>2.2937353658360693E-2</v>
      </c>
      <c r="W164">
        <f t="shared" si="5"/>
        <v>2.2937353658360693E-2</v>
      </c>
    </row>
    <row r="165" spans="21:23" x14ac:dyDescent="0.3">
      <c r="U165">
        <v>-2.38</v>
      </c>
      <c r="V165">
        <f t="shared" si="4"/>
        <v>2.3490985358201363E-2</v>
      </c>
      <c r="W165">
        <f t="shared" si="5"/>
        <v>2.3490985358201363E-2</v>
      </c>
    </row>
    <row r="166" spans="21:23" x14ac:dyDescent="0.3">
      <c r="U166">
        <v>-2.37</v>
      </c>
      <c r="V166">
        <f t="shared" si="4"/>
        <v>2.4055574214762971E-2</v>
      </c>
      <c r="W166">
        <f t="shared" si="5"/>
        <v>2.4055574214762971E-2</v>
      </c>
    </row>
    <row r="167" spans="21:23" x14ac:dyDescent="0.3">
      <c r="U167">
        <v>-2.36</v>
      </c>
      <c r="V167">
        <f t="shared" si="4"/>
        <v>2.4631269306382507E-2</v>
      </c>
      <c r="W167">
        <f t="shared" si="5"/>
        <v>2.4631269306382507E-2</v>
      </c>
    </row>
    <row r="168" spans="21:23" x14ac:dyDescent="0.3">
      <c r="U168">
        <v>-2.35</v>
      </c>
      <c r="V168">
        <f t="shared" si="4"/>
        <v>2.5218219915194382E-2</v>
      </c>
      <c r="W168">
        <f t="shared" si="5"/>
        <v>2.5218219915194382E-2</v>
      </c>
    </row>
    <row r="169" spans="21:23" x14ac:dyDescent="0.3">
      <c r="U169">
        <v>-2.34</v>
      </c>
      <c r="V169">
        <f t="shared" si="4"/>
        <v>2.581657547158769E-2</v>
      </c>
      <c r="W169">
        <f t="shared" si="5"/>
        <v>2.581657547158769E-2</v>
      </c>
    </row>
    <row r="170" spans="21:23" x14ac:dyDescent="0.3">
      <c r="U170">
        <v>-2.33</v>
      </c>
      <c r="V170">
        <f t="shared" si="4"/>
        <v>2.6426485497261721E-2</v>
      </c>
      <c r="W170">
        <f t="shared" si="5"/>
        <v>2.6426485497261721E-2</v>
      </c>
    </row>
    <row r="171" spans="21:23" x14ac:dyDescent="0.3">
      <c r="U171">
        <v>-2.3199999999999998</v>
      </c>
      <c r="V171">
        <f t="shared" si="4"/>
        <v>2.7048099546881785E-2</v>
      </c>
      <c r="W171">
        <f t="shared" si="5"/>
        <v>2.7048099546881785E-2</v>
      </c>
    </row>
    <row r="172" spans="21:23" x14ac:dyDescent="0.3">
      <c r="U172">
        <v>-2.31</v>
      </c>
      <c r="V172">
        <f t="shared" si="4"/>
        <v>2.7681567148336573E-2</v>
      </c>
      <c r="W172">
        <f t="shared" si="5"/>
        <v>2.7681567148336573E-2</v>
      </c>
    </row>
    <row r="173" spans="21:23" x14ac:dyDescent="0.3">
      <c r="U173">
        <v>-2.2999999999999998</v>
      </c>
      <c r="V173">
        <f t="shared" si="4"/>
        <v>2.8327037741601186E-2</v>
      </c>
      <c r="W173">
        <f t="shared" si="5"/>
        <v>2.8327037741601186E-2</v>
      </c>
    </row>
    <row r="174" spans="21:23" x14ac:dyDescent="0.3">
      <c r="U174">
        <v>-2.29</v>
      </c>
      <c r="V174">
        <f t="shared" si="4"/>
        <v>2.8984660616209412E-2</v>
      </c>
      <c r="W174">
        <f t="shared" si="5"/>
        <v>2.8984660616209412E-2</v>
      </c>
    </row>
    <row r="175" spans="21:23" x14ac:dyDescent="0.3">
      <c r="U175">
        <v>-2.2799999999999998</v>
      </c>
      <c r="V175">
        <f t="shared" si="4"/>
        <v>2.9654584847341278E-2</v>
      </c>
      <c r="W175">
        <f t="shared" si="5"/>
        <v>2.9654584847341278E-2</v>
      </c>
    </row>
    <row r="176" spans="21:23" x14ac:dyDescent="0.3">
      <c r="U176">
        <v>-2.27</v>
      </c>
      <c r="V176">
        <f t="shared" si="4"/>
        <v>3.0336959230531636E-2</v>
      </c>
      <c r="W176">
        <f t="shared" si="5"/>
        <v>3.0336959230531636E-2</v>
      </c>
    </row>
    <row r="177" spans="21:23" x14ac:dyDescent="0.3">
      <c r="U177">
        <v>-2.2599999999999998</v>
      </c>
      <c r="V177">
        <f t="shared" si="4"/>
        <v>3.103193221500827E-2</v>
      </c>
      <c r="W177">
        <f t="shared" si="5"/>
        <v>3.103193221500827E-2</v>
      </c>
    </row>
    <row r="178" spans="21:23" x14ac:dyDescent="0.3">
      <c r="U178">
        <v>-2.25</v>
      </c>
      <c r="V178">
        <f t="shared" si="4"/>
        <v>3.1739651835667418E-2</v>
      </c>
      <c r="W178">
        <f t="shared" si="5"/>
        <v>3.1739651835667418E-2</v>
      </c>
    </row>
    <row r="179" spans="21:23" x14ac:dyDescent="0.3">
      <c r="U179">
        <v>-2.2400000000000002</v>
      </c>
      <c r="V179">
        <f t="shared" si="4"/>
        <v>3.2460265643697445E-2</v>
      </c>
      <c r="W179">
        <f t="shared" si="5"/>
        <v>3.2460265643697445E-2</v>
      </c>
    </row>
    <row r="180" spans="21:23" x14ac:dyDescent="0.3">
      <c r="U180">
        <v>-2.23</v>
      </c>
      <c r="V180">
        <f t="shared" si="4"/>
        <v>3.3193920635861122E-2</v>
      </c>
      <c r="W180">
        <f t="shared" si="5"/>
        <v>3.3193920635861122E-2</v>
      </c>
    </row>
    <row r="181" spans="21:23" x14ac:dyDescent="0.3">
      <c r="U181">
        <v>-2.2200000000000002</v>
      </c>
      <c r="V181">
        <f t="shared" si="4"/>
        <v>3.3940763182449186E-2</v>
      </c>
      <c r="W181">
        <f t="shared" si="5"/>
        <v>3.3940763182449186E-2</v>
      </c>
    </row>
    <row r="182" spans="21:23" x14ac:dyDescent="0.3">
      <c r="U182">
        <v>-2.21</v>
      </c>
      <c r="V182">
        <f t="shared" si="4"/>
        <v>3.470093895391882E-2</v>
      </c>
      <c r="W182">
        <f t="shared" si="5"/>
        <v>3.470093895391882E-2</v>
      </c>
    </row>
    <row r="183" spans="21:23" x14ac:dyDescent="0.3">
      <c r="U183">
        <v>-2.2000000000000002</v>
      </c>
      <c r="V183">
        <f t="shared" si="4"/>
        <v>3.5474592846231424E-2</v>
      </c>
      <c r="W183">
        <f t="shared" si="5"/>
        <v>3.5474592846231424E-2</v>
      </c>
    </row>
    <row r="184" spans="21:23" x14ac:dyDescent="0.3">
      <c r="U184">
        <v>-2.19</v>
      </c>
      <c r="V184">
        <f t="shared" si="4"/>
        <v>3.6261868904906222E-2</v>
      </c>
      <c r="W184">
        <f t="shared" si="5"/>
        <v>3.6261868904906222E-2</v>
      </c>
    </row>
    <row r="185" spans="21:23" x14ac:dyDescent="0.3">
      <c r="U185">
        <v>-2.1800000000000002</v>
      </c>
      <c r="V185">
        <f t="shared" si="4"/>
        <v>3.7062910247806474E-2</v>
      </c>
      <c r="W185">
        <f t="shared" si="5"/>
        <v>3.7062910247806474E-2</v>
      </c>
    </row>
    <row r="186" spans="21:23" x14ac:dyDescent="0.3">
      <c r="U186">
        <v>-2.17</v>
      </c>
      <c r="V186">
        <f t="shared" si="4"/>
        <v>3.7877858986677483E-2</v>
      </c>
      <c r="W186">
        <f t="shared" si="5"/>
        <v>3.7877858986677483E-2</v>
      </c>
    </row>
    <row r="187" spans="21:23" x14ac:dyDescent="0.3">
      <c r="U187">
        <v>-2.16</v>
      </c>
      <c r="V187">
        <f t="shared" si="4"/>
        <v>3.8706856147455608E-2</v>
      </c>
      <c r="W187">
        <f t="shared" si="5"/>
        <v>3.8706856147455608E-2</v>
      </c>
    </row>
    <row r="188" spans="21:23" x14ac:dyDescent="0.3">
      <c r="U188">
        <v>-2.15</v>
      </c>
      <c r="V188">
        <f t="shared" si="4"/>
        <v>3.955004158937022E-2</v>
      </c>
      <c r="W188">
        <f t="shared" si="5"/>
        <v>3.955004158937022E-2</v>
      </c>
    </row>
    <row r="189" spans="21:23" x14ac:dyDescent="0.3">
      <c r="U189">
        <v>-2.14</v>
      </c>
      <c r="V189">
        <f t="shared" si="4"/>
        <v>4.0407553922860308E-2</v>
      </c>
      <c r="W189">
        <f t="shared" si="5"/>
        <v>4.0407553922860308E-2</v>
      </c>
    </row>
    <row r="190" spans="21:23" x14ac:dyDescent="0.3">
      <c r="U190">
        <v>-2.13</v>
      </c>
      <c r="V190">
        <f t="shared" si="4"/>
        <v>4.1279530426330417E-2</v>
      </c>
      <c r="W190">
        <f t="shared" si="5"/>
        <v>4.1279530426330417E-2</v>
      </c>
    </row>
    <row r="191" spans="21:23" x14ac:dyDescent="0.3">
      <c r="U191">
        <v>-2.12</v>
      </c>
      <c r="V191">
        <f t="shared" si="4"/>
        <v>4.2166106961770311E-2</v>
      </c>
      <c r="W191">
        <f t="shared" si="5"/>
        <v>4.2166106961770311E-2</v>
      </c>
    </row>
    <row r="192" spans="21:23" x14ac:dyDescent="0.3">
      <c r="U192">
        <v>-2.11</v>
      </c>
      <c r="V192">
        <f t="shared" si="4"/>
        <v>4.3067417889265734E-2</v>
      </c>
      <c r="W192">
        <f t="shared" si="5"/>
        <v>4.3067417889265734E-2</v>
      </c>
    </row>
    <row r="193" spans="21:23" x14ac:dyDescent="0.3">
      <c r="U193">
        <v>-2.1</v>
      </c>
      <c r="V193">
        <f t="shared" si="4"/>
        <v>4.3983595980427191E-2</v>
      </c>
      <c r="W193">
        <f t="shared" si="5"/>
        <v>4.3983595980427191E-2</v>
      </c>
    </row>
    <row r="194" spans="21:23" x14ac:dyDescent="0.3">
      <c r="U194">
        <v>-2.09</v>
      </c>
      <c r="V194">
        <f t="shared" si="4"/>
        <v>4.49147723307671E-2</v>
      </c>
      <c r="W194">
        <f t="shared" si="5"/>
        <v>4.49147723307671E-2</v>
      </c>
    </row>
    <row r="195" spans="21:23" x14ac:dyDescent="0.3">
      <c r="U195">
        <v>-2.08</v>
      </c>
      <c r="V195">
        <f t="shared" si="4"/>
        <v>4.5861076271054887E-2</v>
      </c>
      <c r="W195">
        <f t="shared" si="5"/>
        <v>4.5861076271054887E-2</v>
      </c>
    </row>
    <row r="196" spans="21:23" x14ac:dyDescent="0.3">
      <c r="U196">
        <v>-2.0699999999999998</v>
      </c>
      <c r="V196">
        <f t="shared" ref="V196:V259" si="6">_xlfn.NORM.S.DIST(U196,0)</f>
        <v>4.6822635277683163E-2</v>
      </c>
      <c r="W196">
        <f t="shared" ref="W196:W259" si="7">IF(U196&lt;=$B$2,V196,NA())</f>
        <v>4.6822635277683163E-2</v>
      </c>
    </row>
    <row r="197" spans="21:23" x14ac:dyDescent="0.3">
      <c r="U197">
        <v>-2.06</v>
      </c>
      <c r="V197">
        <f t="shared" si="6"/>
        <v>4.7799574882077034E-2</v>
      </c>
      <c r="W197">
        <f t="shared" si="7"/>
        <v>4.7799574882077034E-2</v>
      </c>
    </row>
    <row r="198" spans="21:23" x14ac:dyDescent="0.3">
      <c r="U198">
        <v>-2.0499999999999998</v>
      </c>
      <c r="V198">
        <f t="shared" si="6"/>
        <v>4.8792018579182764E-2</v>
      </c>
      <c r="W198">
        <f t="shared" si="7"/>
        <v>4.8792018579182764E-2</v>
      </c>
    </row>
    <row r="199" spans="21:23" x14ac:dyDescent="0.3">
      <c r="U199">
        <v>-2.04</v>
      </c>
      <c r="V199">
        <f t="shared" si="6"/>
        <v>4.9800087735070775E-2</v>
      </c>
      <c r="W199">
        <f t="shared" si="7"/>
        <v>4.9800087735070775E-2</v>
      </c>
    </row>
    <row r="200" spans="21:23" x14ac:dyDescent="0.3">
      <c r="U200">
        <v>-2.0299999999999998</v>
      </c>
      <c r="V200">
        <f t="shared" si="6"/>
        <v>5.0823901493691204E-2</v>
      </c>
      <c r="W200">
        <f t="shared" si="7"/>
        <v>5.0823901493691204E-2</v>
      </c>
    </row>
    <row r="201" spans="21:23" x14ac:dyDescent="0.3">
      <c r="U201">
        <v>-2.02</v>
      </c>
      <c r="V201">
        <f t="shared" si="6"/>
        <v>5.1863576682820565E-2</v>
      </c>
      <c r="W201">
        <f t="shared" si="7"/>
        <v>5.1863576682820565E-2</v>
      </c>
    </row>
    <row r="202" spans="21:23" x14ac:dyDescent="0.3">
      <c r="U202">
        <v>-2.0099999999999998</v>
      </c>
      <c r="V202">
        <f t="shared" si="6"/>
        <v>5.2919227719240312E-2</v>
      </c>
      <c r="W202">
        <f t="shared" si="7"/>
        <v>5.2919227719240312E-2</v>
      </c>
    </row>
    <row r="203" spans="21:23" x14ac:dyDescent="0.3">
      <c r="U203">
        <v>-2</v>
      </c>
      <c r="V203">
        <f t="shared" si="6"/>
        <v>5.3990966513188063E-2</v>
      </c>
      <c r="W203">
        <f t="shared" si="7"/>
        <v>5.3990966513188063E-2</v>
      </c>
    </row>
    <row r="204" spans="21:23" x14ac:dyDescent="0.3">
      <c r="U204">
        <v>-1.99</v>
      </c>
      <c r="V204">
        <f t="shared" si="6"/>
        <v>5.5078902372125767E-2</v>
      </c>
      <c r="W204">
        <f t="shared" si="7"/>
        <v>5.5078902372125767E-2</v>
      </c>
    </row>
    <row r="205" spans="21:23" x14ac:dyDescent="0.3">
      <c r="U205">
        <v>-1.98</v>
      </c>
      <c r="V205">
        <f t="shared" si="6"/>
        <v>5.6183141903868049E-2</v>
      </c>
      <c r="W205">
        <f t="shared" si="7"/>
        <v>5.6183141903868049E-2</v>
      </c>
    </row>
    <row r="206" spans="21:23" x14ac:dyDescent="0.3">
      <c r="U206">
        <v>-1.97</v>
      </c>
      <c r="V206">
        <f t="shared" si="6"/>
        <v>5.7303788919117131E-2</v>
      </c>
      <c r="W206">
        <f t="shared" si="7"/>
        <v>5.7303788919117131E-2</v>
      </c>
    </row>
    <row r="207" spans="21:23" x14ac:dyDescent="0.3">
      <c r="U207">
        <v>-1.96</v>
      </c>
      <c r="V207">
        <f t="shared" si="6"/>
        <v>5.8440944333451469E-2</v>
      </c>
      <c r="W207">
        <f t="shared" si="7"/>
        <v>5.8440944333451469E-2</v>
      </c>
    </row>
    <row r="208" spans="21:23" x14ac:dyDescent="0.3">
      <c r="U208">
        <v>-1.95</v>
      </c>
      <c r="V208">
        <f t="shared" si="6"/>
        <v>5.9594706068816075E-2</v>
      </c>
      <c r="W208">
        <f t="shared" si="7"/>
        <v>5.9594706068816075E-2</v>
      </c>
    </row>
    <row r="209" spans="21:23" x14ac:dyDescent="0.3">
      <c r="U209">
        <v>-1.94</v>
      </c>
      <c r="V209">
        <f t="shared" si="6"/>
        <v>6.0765168954564776E-2</v>
      </c>
      <c r="W209">
        <f t="shared" si="7"/>
        <v>6.0765168954564776E-2</v>
      </c>
    </row>
    <row r="210" spans="21:23" x14ac:dyDescent="0.3">
      <c r="U210">
        <v>-1.93</v>
      </c>
      <c r="V210">
        <f t="shared" si="6"/>
        <v>6.1952424628105164E-2</v>
      </c>
      <c r="W210">
        <f t="shared" si="7"/>
        <v>6.1952424628105164E-2</v>
      </c>
    </row>
    <row r="211" spans="21:23" x14ac:dyDescent="0.3">
      <c r="U211">
        <v>-1.92</v>
      </c>
      <c r="V211">
        <f t="shared" si="6"/>
        <v>6.3156561435198655E-2</v>
      </c>
      <c r="W211">
        <f t="shared" si="7"/>
        <v>6.3156561435198655E-2</v>
      </c>
    </row>
    <row r="212" spans="21:23" x14ac:dyDescent="0.3">
      <c r="U212">
        <v>-1.91</v>
      </c>
      <c r="V212">
        <f t="shared" si="6"/>
        <v>6.4377664329969359E-2</v>
      </c>
      <c r="W212">
        <f t="shared" si="7"/>
        <v>6.4377664329969359E-2</v>
      </c>
    </row>
    <row r="213" spans="21:23" x14ac:dyDescent="0.3">
      <c r="U213">
        <v>-1.9</v>
      </c>
      <c r="V213">
        <f t="shared" si="6"/>
        <v>6.5615814774676595E-2</v>
      </c>
      <c r="W213">
        <f t="shared" si="7"/>
        <v>6.5615814774676595E-2</v>
      </c>
    </row>
    <row r="214" spans="21:23" x14ac:dyDescent="0.3">
      <c r="U214">
        <v>-1.89</v>
      </c>
      <c r="V214">
        <f t="shared" si="6"/>
        <v>6.6871090639307157E-2</v>
      </c>
      <c r="W214">
        <f t="shared" si="7"/>
        <v>6.6871090639307157E-2</v>
      </c>
    </row>
    <row r="215" spans="21:23" x14ac:dyDescent="0.3">
      <c r="U215">
        <v>-1.88</v>
      </c>
      <c r="V215">
        <f t="shared" si="6"/>
        <v>6.8143566101044578E-2</v>
      </c>
      <c r="W215">
        <f t="shared" si="7"/>
        <v>6.8143566101044578E-2</v>
      </c>
    </row>
    <row r="216" spans="21:23" x14ac:dyDescent="0.3">
      <c r="U216">
        <v>-1.87</v>
      </c>
      <c r="V216">
        <f t="shared" si="6"/>
        <v>6.9433311543674187E-2</v>
      </c>
      <c r="W216">
        <f t="shared" si="7"/>
        <v>6.9433311543674187E-2</v>
      </c>
    </row>
    <row r="217" spans="21:23" x14ac:dyDescent="0.3">
      <c r="U217">
        <v>-1.86</v>
      </c>
      <c r="V217">
        <f t="shared" si="6"/>
        <v>7.074039345698338E-2</v>
      </c>
      <c r="W217">
        <f t="shared" si="7"/>
        <v>7.074039345698338E-2</v>
      </c>
    </row>
    <row r="218" spans="21:23" x14ac:dyDescent="0.3">
      <c r="U218">
        <v>-1.85</v>
      </c>
      <c r="V218">
        <f t="shared" si="6"/>
        <v>7.2064874336217985E-2</v>
      </c>
      <c r="W218">
        <f t="shared" si="7"/>
        <v>7.2064874336217985E-2</v>
      </c>
    </row>
    <row r="219" spans="21:23" x14ac:dyDescent="0.3">
      <c r="U219">
        <v>-1.84</v>
      </c>
      <c r="V219">
        <f t="shared" si="6"/>
        <v>7.3406812581656891E-2</v>
      </c>
      <c r="W219">
        <f t="shared" si="7"/>
        <v>7.3406812581656891E-2</v>
      </c>
    </row>
    <row r="220" spans="21:23" x14ac:dyDescent="0.3">
      <c r="U220">
        <v>-1.83</v>
      </c>
      <c r="V220">
        <f t="shared" si="6"/>
        <v>7.4766262398367603E-2</v>
      </c>
      <c r="W220">
        <f t="shared" si="7"/>
        <v>7.4766262398367603E-2</v>
      </c>
    </row>
    <row r="221" spans="21:23" x14ac:dyDescent="0.3">
      <c r="U221">
        <v>-1.82</v>
      </c>
      <c r="V221">
        <f t="shared" si="6"/>
        <v>7.6143273696207311E-2</v>
      </c>
      <c r="W221">
        <f t="shared" si="7"/>
        <v>7.6143273696207311E-2</v>
      </c>
    </row>
    <row r="222" spans="21:23" x14ac:dyDescent="0.3">
      <c r="U222">
        <v>-1.81</v>
      </c>
      <c r="V222">
        <f t="shared" si="6"/>
        <v>7.7537891990133986E-2</v>
      </c>
      <c r="W222">
        <f t="shared" si="7"/>
        <v>7.7537891990133986E-2</v>
      </c>
    </row>
    <row r="223" spans="21:23" x14ac:dyDescent="0.3">
      <c r="U223">
        <v>-1.8</v>
      </c>
      <c r="V223">
        <f t="shared" si="6"/>
        <v>7.8950158300894149E-2</v>
      </c>
      <c r="W223">
        <f t="shared" si="7"/>
        <v>7.8950158300894149E-2</v>
      </c>
    </row>
    <row r="224" spans="21:23" x14ac:dyDescent="0.3">
      <c r="U224">
        <v>-1.79</v>
      </c>
      <c r="V224">
        <f t="shared" si="6"/>
        <v>8.038010905615417E-2</v>
      </c>
      <c r="W224">
        <f t="shared" si="7"/>
        <v>8.038010905615417E-2</v>
      </c>
    </row>
    <row r="225" spans="21:23" x14ac:dyDescent="0.3">
      <c r="U225">
        <v>-1.78</v>
      </c>
      <c r="V225">
        <f t="shared" si="6"/>
        <v>8.1827775992142804E-2</v>
      </c>
      <c r="W225">
        <f t="shared" si="7"/>
        <v>8.1827775992142804E-2</v>
      </c>
    </row>
    <row r="226" spans="21:23" x14ac:dyDescent="0.3">
      <c r="U226">
        <v>-1.77</v>
      </c>
      <c r="V226">
        <f t="shared" si="6"/>
        <v>8.3293186055874463E-2</v>
      </c>
      <c r="W226">
        <f t="shared" si="7"/>
        <v>8.3293186055874463E-2</v>
      </c>
    </row>
    <row r="227" spans="21:23" x14ac:dyDescent="0.3">
      <c r="U227">
        <v>-1.76</v>
      </c>
      <c r="V227">
        <f t="shared" si="6"/>
        <v>8.4776361308022227E-2</v>
      </c>
      <c r="W227">
        <f t="shared" si="7"/>
        <v>8.4776361308022227E-2</v>
      </c>
    </row>
    <row r="228" spans="21:23" x14ac:dyDescent="0.3">
      <c r="U228">
        <v>-1.75</v>
      </c>
      <c r="V228">
        <f t="shared" si="6"/>
        <v>8.6277318826511532E-2</v>
      </c>
      <c r="W228">
        <f t="shared" si="7"/>
        <v>8.6277318826511532E-2</v>
      </c>
    </row>
    <row r="229" spans="21:23" x14ac:dyDescent="0.3">
      <c r="U229">
        <v>-1.74</v>
      </c>
      <c r="V229">
        <f t="shared" si="6"/>
        <v>8.7796070610905622E-2</v>
      </c>
      <c r="W229">
        <f t="shared" si="7"/>
        <v>8.7796070610905622E-2</v>
      </c>
    </row>
    <row r="230" spans="21:23" x14ac:dyDescent="0.3">
      <c r="U230">
        <v>-1.73</v>
      </c>
      <c r="V230">
        <f t="shared" si="6"/>
        <v>8.9332623487655E-2</v>
      </c>
      <c r="W230">
        <f t="shared" si="7"/>
        <v>8.9332623487655E-2</v>
      </c>
    </row>
    <row r="231" spans="21:23" x14ac:dyDescent="0.3">
      <c r="U231">
        <v>-1.72</v>
      </c>
      <c r="V231">
        <f t="shared" si="6"/>
        <v>9.0886979016282871E-2</v>
      </c>
      <c r="W231">
        <f t="shared" si="7"/>
        <v>9.0886979016282871E-2</v>
      </c>
    </row>
    <row r="232" spans="21:23" x14ac:dyDescent="0.3">
      <c r="U232">
        <v>-1.71</v>
      </c>
      <c r="V232">
        <f t="shared" si="6"/>
        <v>9.2459133396580684E-2</v>
      </c>
      <c r="W232">
        <f t="shared" si="7"/>
        <v>9.2459133396580684E-2</v>
      </c>
    </row>
    <row r="233" spans="21:23" x14ac:dyDescent="0.3">
      <c r="U233">
        <v>-1.7</v>
      </c>
      <c r="V233">
        <f t="shared" si="6"/>
        <v>9.4049077376886947E-2</v>
      </c>
      <c r="W233">
        <f t="shared" si="7"/>
        <v>9.4049077376886947E-2</v>
      </c>
    </row>
    <row r="234" spans="21:23" x14ac:dyDescent="0.3">
      <c r="U234">
        <v>-1.69</v>
      </c>
      <c r="V234">
        <f t="shared" si="6"/>
        <v>9.5656796163524016E-2</v>
      </c>
      <c r="W234">
        <f t="shared" si="7"/>
        <v>9.5656796163524016E-2</v>
      </c>
    </row>
    <row r="235" spans="21:23" x14ac:dyDescent="0.3">
      <c r="U235">
        <v>-1.68</v>
      </c>
      <c r="V235">
        <f t="shared" si="6"/>
        <v>9.7282269331467511E-2</v>
      </c>
      <c r="W235">
        <f t="shared" si="7"/>
        <v>9.7282269331467511E-2</v>
      </c>
    </row>
    <row r="236" spans="21:23" x14ac:dyDescent="0.3">
      <c r="U236">
        <v>-1.67</v>
      </c>
      <c r="V236">
        <f t="shared" si="6"/>
        <v>9.8925470736323712E-2</v>
      </c>
      <c r="W236">
        <f t="shared" si="7"/>
        <v>9.8925470736323712E-2</v>
      </c>
    </row>
    <row r="237" spans="21:23" x14ac:dyDescent="0.3">
      <c r="U237">
        <v>-1.66</v>
      </c>
      <c r="V237">
        <f t="shared" si="6"/>
        <v>0.10058636842769057</v>
      </c>
      <c r="W237">
        <f t="shared" si="7"/>
        <v>0.10058636842769057</v>
      </c>
    </row>
    <row r="238" spans="21:23" x14ac:dyDescent="0.3">
      <c r="U238">
        <v>-1.65</v>
      </c>
      <c r="V238">
        <f t="shared" si="6"/>
        <v>0.10226492456397804</v>
      </c>
      <c r="W238">
        <f t="shared" si="7"/>
        <v>0.10226492456397804</v>
      </c>
    </row>
    <row r="239" spans="21:23" x14ac:dyDescent="0.3">
      <c r="U239">
        <v>-1.64</v>
      </c>
      <c r="V239">
        <f t="shared" si="6"/>
        <v>0.10396109532876423</v>
      </c>
      <c r="W239">
        <f t="shared" si="7"/>
        <v>0.10396109532876423</v>
      </c>
    </row>
    <row r="240" spans="21:23" x14ac:dyDescent="0.3">
      <c r="U240">
        <v>-1.63</v>
      </c>
      <c r="V240">
        <f t="shared" si="6"/>
        <v>0.10567483084876363</v>
      </c>
      <c r="W240">
        <f t="shared" si="7"/>
        <v>0.10567483084876363</v>
      </c>
    </row>
    <row r="241" spans="21:23" x14ac:dyDescent="0.3">
      <c r="U241">
        <v>-1.62</v>
      </c>
      <c r="V241">
        <f t="shared" si="6"/>
        <v>0.1074060751134838</v>
      </c>
      <c r="W241">
        <f t="shared" si="7"/>
        <v>0.1074060751134838</v>
      </c>
    </row>
    <row r="242" spans="21:23" x14ac:dyDescent="0.3">
      <c r="U242">
        <v>-1.61</v>
      </c>
      <c r="V242">
        <f t="shared" si="6"/>
        <v>0.10915476589664735</v>
      </c>
      <c r="W242">
        <f t="shared" si="7"/>
        <v>0.10915476589664735</v>
      </c>
    </row>
    <row r="243" spans="21:23" x14ac:dyDescent="0.3">
      <c r="U243">
        <v>-1.6</v>
      </c>
      <c r="V243">
        <f t="shared" si="6"/>
        <v>0.11092083467945554</v>
      </c>
      <c r="W243">
        <f t="shared" si="7"/>
        <v>0.11092083467945554</v>
      </c>
    </row>
    <row r="244" spans="21:23" x14ac:dyDescent="0.3">
      <c r="U244">
        <v>-1.59</v>
      </c>
      <c r="V244">
        <f t="shared" si="6"/>
        <v>0.11270420657577056</v>
      </c>
      <c r="W244">
        <f t="shared" si="7"/>
        <v>0.11270420657577056</v>
      </c>
    </row>
    <row r="245" spans="21:23" x14ac:dyDescent="0.3">
      <c r="U245">
        <v>-1.58</v>
      </c>
      <c r="V245">
        <f t="shared" si="6"/>
        <v>0.11450480025929236</v>
      </c>
      <c r="W245">
        <f t="shared" si="7"/>
        <v>0.11450480025929236</v>
      </c>
    </row>
    <row r="246" spans="21:23" x14ac:dyDescent="0.3">
      <c r="U246">
        <v>-1.57</v>
      </c>
      <c r="V246">
        <f t="shared" si="6"/>
        <v>0.11632252789280709</v>
      </c>
      <c r="W246">
        <f t="shared" si="7"/>
        <v>0.11632252789280709</v>
      </c>
    </row>
    <row r="247" spans="21:23" x14ac:dyDescent="0.3">
      <c r="U247">
        <v>-1.56</v>
      </c>
      <c r="V247">
        <f t="shared" si="6"/>
        <v>0.11815729505958227</v>
      </c>
      <c r="W247">
        <f t="shared" si="7"/>
        <v>0.11815729505958227</v>
      </c>
    </row>
    <row r="248" spans="21:23" x14ac:dyDescent="0.3">
      <c r="U248">
        <v>-1.55</v>
      </c>
      <c r="V248">
        <f t="shared" si="6"/>
        <v>0.12000900069698558</v>
      </c>
      <c r="W248">
        <f t="shared" si="7"/>
        <v>0.12000900069698558</v>
      </c>
    </row>
    <row r="249" spans="21:23" x14ac:dyDescent="0.3">
      <c r="U249">
        <v>-1.54</v>
      </c>
      <c r="V249">
        <f t="shared" si="6"/>
        <v>0.12187753703240178</v>
      </c>
      <c r="W249">
        <f t="shared" si="7"/>
        <v>0.12187753703240178</v>
      </c>
    </row>
    <row r="250" spans="21:23" x14ac:dyDescent="0.3">
      <c r="U250">
        <v>-1.53</v>
      </c>
      <c r="V250">
        <f t="shared" si="6"/>
        <v>0.12376278952152313</v>
      </c>
      <c r="W250">
        <f t="shared" si="7"/>
        <v>0.12376278952152313</v>
      </c>
    </row>
    <row r="251" spans="21:23" x14ac:dyDescent="0.3">
      <c r="U251">
        <v>-1.52</v>
      </c>
      <c r="V251">
        <f t="shared" si="6"/>
        <v>0.12566463678908815</v>
      </c>
      <c r="W251">
        <f t="shared" si="7"/>
        <v>0.12566463678908815</v>
      </c>
    </row>
    <row r="252" spans="21:23" x14ac:dyDescent="0.3">
      <c r="U252">
        <v>-1.51</v>
      </c>
      <c r="V252">
        <f t="shared" si="6"/>
        <v>0.12758295057214186</v>
      </c>
      <c r="W252">
        <f t="shared" si="7"/>
        <v>0.12758295057214186</v>
      </c>
    </row>
    <row r="253" spans="21:23" x14ac:dyDescent="0.3">
      <c r="U253">
        <v>-1.5</v>
      </c>
      <c r="V253">
        <f t="shared" si="6"/>
        <v>0.12951759566589174</v>
      </c>
      <c r="W253">
        <f t="shared" si="7"/>
        <v>0.12951759566589174</v>
      </c>
    </row>
    <row r="254" spans="21:23" x14ac:dyDescent="0.3">
      <c r="U254">
        <v>-1.49</v>
      </c>
      <c r="V254">
        <f t="shared" si="6"/>
        <v>0.13146842987223104</v>
      </c>
      <c r="W254">
        <f t="shared" si="7"/>
        <v>0.13146842987223104</v>
      </c>
    </row>
    <row r="255" spans="21:23" x14ac:dyDescent="0.3">
      <c r="U255">
        <v>-1.48</v>
      </c>
      <c r="V255">
        <f t="shared" si="6"/>
        <v>0.13343530395100231</v>
      </c>
      <c r="W255">
        <f t="shared" si="7"/>
        <v>0.13343530395100231</v>
      </c>
    </row>
    <row r="256" spans="21:23" x14ac:dyDescent="0.3">
      <c r="U256">
        <v>-1.47</v>
      </c>
      <c r="V256">
        <f t="shared" si="6"/>
        <v>0.1354180615740713</v>
      </c>
      <c r="W256">
        <f t="shared" si="7"/>
        <v>0.1354180615740713</v>
      </c>
    </row>
    <row r="257" spans="21:23" x14ac:dyDescent="0.3">
      <c r="U257">
        <v>-1.46</v>
      </c>
      <c r="V257">
        <f t="shared" si="6"/>
        <v>0.13741653928228179</v>
      </c>
      <c r="W257">
        <f t="shared" si="7"/>
        <v>0.13741653928228179</v>
      </c>
    </row>
    <row r="258" spans="21:23" x14ac:dyDescent="0.3">
      <c r="U258">
        <v>-1.45</v>
      </c>
      <c r="V258">
        <f t="shared" si="6"/>
        <v>0.13943056644536028</v>
      </c>
      <c r="W258">
        <f t="shared" si="7"/>
        <v>0.13943056644536028</v>
      </c>
    </row>
    <row r="259" spans="21:23" x14ac:dyDescent="0.3">
      <c r="U259">
        <v>-1.44</v>
      </c>
      <c r="V259">
        <f t="shared" si="6"/>
        <v>0.14145996522483878</v>
      </c>
      <c r="W259">
        <f t="shared" si="7"/>
        <v>0.14145996522483878</v>
      </c>
    </row>
    <row r="260" spans="21:23" x14ac:dyDescent="0.3">
      <c r="U260">
        <v>-1.43</v>
      </c>
      <c r="V260">
        <f t="shared" ref="V260:V323" si="8">_xlfn.NORM.S.DIST(U260,0)</f>
        <v>0.14350455054006242</v>
      </c>
      <c r="W260">
        <f t="shared" ref="W260:W323" si="9">IF(U260&lt;=$B$2,V260,NA())</f>
        <v>0.14350455054006242</v>
      </c>
    </row>
    <row r="261" spans="21:23" x14ac:dyDescent="0.3">
      <c r="U261">
        <v>-1.42</v>
      </c>
      <c r="V261">
        <f t="shared" si="8"/>
        <v>0.14556413003734761</v>
      </c>
      <c r="W261">
        <f t="shared" si="9"/>
        <v>0.14556413003734761</v>
      </c>
    </row>
    <row r="262" spans="21:23" x14ac:dyDescent="0.3">
      <c r="U262">
        <v>-1.41</v>
      </c>
      <c r="V262">
        <f t="shared" si="8"/>
        <v>0.14763850406235574</v>
      </c>
      <c r="W262">
        <f t="shared" si="9"/>
        <v>0.14763850406235574</v>
      </c>
    </row>
    <row r="263" spans="21:23" x14ac:dyDescent="0.3">
      <c r="U263">
        <v>-1.4</v>
      </c>
      <c r="V263">
        <f t="shared" si="8"/>
        <v>0.14972746563574488</v>
      </c>
      <c r="W263">
        <f t="shared" si="9"/>
        <v>0.14972746563574488</v>
      </c>
    </row>
    <row r="264" spans="21:23" x14ac:dyDescent="0.3">
      <c r="U264">
        <v>-1.39</v>
      </c>
      <c r="V264">
        <f t="shared" si="8"/>
        <v>0.15183080043216168</v>
      </c>
      <c r="W264">
        <f t="shared" si="9"/>
        <v>0.15183080043216168</v>
      </c>
    </row>
    <row r="265" spans="21:23" x14ac:dyDescent="0.3">
      <c r="U265">
        <v>-1.38</v>
      </c>
      <c r="V265">
        <f t="shared" si="8"/>
        <v>0.15394828676263372</v>
      </c>
      <c r="W265">
        <f t="shared" si="9"/>
        <v>0.15394828676263372</v>
      </c>
    </row>
    <row r="266" spans="21:23" x14ac:dyDescent="0.3">
      <c r="U266">
        <v>-1.37</v>
      </c>
      <c r="V266">
        <f t="shared" si="8"/>
        <v>0.15607969556042084</v>
      </c>
      <c r="W266">
        <f t="shared" si="9"/>
        <v>0.15607969556042084</v>
      </c>
    </row>
    <row r="267" spans="21:23" x14ac:dyDescent="0.3">
      <c r="U267">
        <v>-1.36</v>
      </c>
      <c r="V267">
        <f t="shared" si="8"/>
        <v>0.15822479037038303</v>
      </c>
      <c r="W267">
        <f t="shared" si="9"/>
        <v>0.15822479037038303</v>
      </c>
    </row>
    <row r="268" spans="21:23" x14ac:dyDescent="0.3">
      <c r="U268">
        <v>-1.35</v>
      </c>
      <c r="V268">
        <f t="shared" si="8"/>
        <v>0.1603833273419196</v>
      </c>
      <c r="W268">
        <f t="shared" si="9"/>
        <v>0.1603833273419196</v>
      </c>
    </row>
    <row r="269" spans="21:23" x14ac:dyDescent="0.3">
      <c r="U269">
        <v>-1.34</v>
      </c>
      <c r="V269">
        <f t="shared" si="8"/>
        <v>0.16255505522553412</v>
      </c>
      <c r="W269">
        <f t="shared" si="9"/>
        <v>0.16255505522553412</v>
      </c>
    </row>
    <row r="270" spans="21:23" x14ac:dyDescent="0.3">
      <c r="U270">
        <v>-1.33</v>
      </c>
      <c r="V270">
        <f t="shared" si="8"/>
        <v>0.1647397153730768</v>
      </c>
      <c r="W270">
        <f t="shared" si="9"/>
        <v>0.1647397153730768</v>
      </c>
    </row>
    <row r="271" spans="21:23" x14ac:dyDescent="0.3">
      <c r="U271">
        <v>-1.32</v>
      </c>
      <c r="V271">
        <f t="shared" si="8"/>
        <v>0.16693704174171381</v>
      </c>
      <c r="W271">
        <f t="shared" si="9"/>
        <v>0.16693704174171381</v>
      </c>
    </row>
    <row r="272" spans="21:23" x14ac:dyDescent="0.3">
      <c r="U272">
        <v>-1.31</v>
      </c>
      <c r="V272">
        <f t="shared" si="8"/>
        <v>0.16914676090167238</v>
      </c>
      <c r="W272">
        <f t="shared" si="9"/>
        <v>0.16914676090167238</v>
      </c>
    </row>
    <row r="273" spans="21:23" x14ac:dyDescent="0.3">
      <c r="U273">
        <v>-1.3</v>
      </c>
      <c r="V273">
        <f t="shared" si="8"/>
        <v>0.17136859204780736</v>
      </c>
      <c r="W273">
        <f t="shared" si="9"/>
        <v>0.17136859204780736</v>
      </c>
    </row>
    <row r="274" spans="21:23" x14ac:dyDescent="0.3">
      <c r="U274">
        <v>-1.29</v>
      </c>
      <c r="V274">
        <f t="shared" si="8"/>
        <v>0.17360224701503299</v>
      </c>
      <c r="W274">
        <f t="shared" si="9"/>
        <v>0.17360224701503299</v>
      </c>
    </row>
    <row r="275" spans="21:23" x14ac:dyDescent="0.3">
      <c r="U275">
        <v>-1.28</v>
      </c>
      <c r="V275">
        <f t="shared" si="8"/>
        <v>0.17584743029766237</v>
      </c>
      <c r="W275">
        <f t="shared" si="9"/>
        <v>0.17584743029766237</v>
      </c>
    </row>
    <row r="276" spans="21:23" x14ac:dyDescent="0.3">
      <c r="U276">
        <v>-1.27</v>
      </c>
      <c r="V276">
        <f t="shared" si="8"/>
        <v>0.17810383907269359</v>
      </c>
      <c r="W276">
        <f t="shared" si="9"/>
        <v>0.17810383907269359</v>
      </c>
    </row>
    <row r="277" spans="21:23" x14ac:dyDescent="0.3">
      <c r="U277">
        <v>-1.26</v>
      </c>
      <c r="V277">
        <f t="shared" si="8"/>
        <v>0.18037116322708033</v>
      </c>
      <c r="W277">
        <f t="shared" si="9"/>
        <v>0.18037116322708033</v>
      </c>
    </row>
    <row r="278" spans="21:23" x14ac:dyDescent="0.3">
      <c r="U278">
        <v>-1.25</v>
      </c>
      <c r="V278">
        <f t="shared" si="8"/>
        <v>0.18264908538902191</v>
      </c>
      <c r="W278">
        <f t="shared" si="9"/>
        <v>0.18264908538902191</v>
      </c>
    </row>
    <row r="279" spans="21:23" x14ac:dyDescent="0.3">
      <c r="U279">
        <v>-1.24</v>
      </c>
      <c r="V279">
        <f t="shared" si="8"/>
        <v>0.18493728096330531</v>
      </c>
      <c r="W279">
        <f t="shared" si="9"/>
        <v>0.18493728096330531</v>
      </c>
    </row>
    <row r="280" spans="21:23" x14ac:dyDescent="0.3">
      <c r="U280">
        <v>-1.23</v>
      </c>
      <c r="V280">
        <f t="shared" si="8"/>
        <v>0.18723541817072956</v>
      </c>
      <c r="W280">
        <f t="shared" si="9"/>
        <v>0.18723541817072956</v>
      </c>
    </row>
    <row r="281" spans="21:23" x14ac:dyDescent="0.3">
      <c r="U281">
        <v>-1.22</v>
      </c>
      <c r="V281">
        <f t="shared" si="8"/>
        <v>0.18954315809164024</v>
      </c>
      <c r="W281">
        <f t="shared" si="9"/>
        <v>0.18954315809164024</v>
      </c>
    </row>
    <row r="282" spans="21:23" x14ac:dyDescent="0.3">
      <c r="U282">
        <v>-1.21</v>
      </c>
      <c r="V282">
        <f t="shared" si="8"/>
        <v>0.19186015471359938</v>
      </c>
      <c r="W282">
        <f t="shared" si="9"/>
        <v>0.19186015471359938</v>
      </c>
    </row>
    <row r="283" spans="21:23" x14ac:dyDescent="0.3">
      <c r="U283">
        <v>-1.2</v>
      </c>
      <c r="V283">
        <f t="shared" si="8"/>
        <v>0.19418605498321295</v>
      </c>
      <c r="W283">
        <f t="shared" si="9"/>
        <v>0.19418605498321295</v>
      </c>
    </row>
    <row r="284" spans="21:23" x14ac:dyDescent="0.3">
      <c r="U284">
        <v>-1.19</v>
      </c>
      <c r="V284">
        <f t="shared" si="8"/>
        <v>0.19652049886213654</v>
      </c>
      <c r="W284">
        <f t="shared" si="9"/>
        <v>0.19652049886213654</v>
      </c>
    </row>
    <row r="285" spans="21:23" x14ac:dyDescent="0.3">
      <c r="U285">
        <v>-1.18</v>
      </c>
      <c r="V285">
        <f t="shared" si="8"/>
        <v>0.19886311938727591</v>
      </c>
      <c r="W285">
        <f t="shared" si="9"/>
        <v>0.19886311938727591</v>
      </c>
    </row>
    <row r="286" spans="21:23" x14ac:dyDescent="0.3">
      <c r="U286">
        <v>-1.17</v>
      </c>
      <c r="V286">
        <f t="shared" si="8"/>
        <v>0.2012135427351974</v>
      </c>
      <c r="W286">
        <f t="shared" si="9"/>
        <v>0.2012135427351974</v>
      </c>
    </row>
    <row r="287" spans="21:23" x14ac:dyDescent="0.3">
      <c r="U287">
        <v>-1.1599999999999999</v>
      </c>
      <c r="V287">
        <f t="shared" si="8"/>
        <v>0.20357138829075944</v>
      </c>
      <c r="W287">
        <f t="shared" si="9"/>
        <v>0.20357138829075944</v>
      </c>
    </row>
    <row r="288" spans="21:23" x14ac:dyDescent="0.3">
      <c r="U288">
        <v>-1.1499999999999999</v>
      </c>
      <c r="V288">
        <f t="shared" si="8"/>
        <v>0.20593626871997478</v>
      </c>
      <c r="W288">
        <f t="shared" si="9"/>
        <v>0.20593626871997478</v>
      </c>
    </row>
    <row r="289" spans="21:23" x14ac:dyDescent="0.3">
      <c r="U289">
        <v>-1.1399999999999999</v>
      </c>
      <c r="V289">
        <f t="shared" si="8"/>
        <v>0.20830779004710837</v>
      </c>
      <c r="W289">
        <f t="shared" si="9"/>
        <v>0.20830779004710837</v>
      </c>
    </row>
    <row r="290" spans="21:23" x14ac:dyDescent="0.3">
      <c r="U290">
        <v>-1.1299999999999999</v>
      </c>
      <c r="V290">
        <f t="shared" si="8"/>
        <v>0.21068555173601533</v>
      </c>
      <c r="W290">
        <f t="shared" si="9"/>
        <v>0.21068555173601533</v>
      </c>
    </row>
    <row r="291" spans="21:23" x14ac:dyDescent="0.3">
      <c r="U291">
        <v>-1.1200000000000001</v>
      </c>
      <c r="V291">
        <f t="shared" si="8"/>
        <v>0.21306914677571784</v>
      </c>
      <c r="W291">
        <f t="shared" si="9"/>
        <v>0.21306914677571784</v>
      </c>
    </row>
    <row r="292" spans="21:23" x14ac:dyDescent="0.3">
      <c r="U292">
        <v>-1.1100000000000001</v>
      </c>
      <c r="V292">
        <f t="shared" si="8"/>
        <v>0.21545816177021967</v>
      </c>
      <c r="W292">
        <f t="shared" si="9"/>
        <v>0.21545816177021967</v>
      </c>
    </row>
    <row r="293" spans="21:23" x14ac:dyDescent="0.3">
      <c r="U293">
        <v>-1.1000000000000001</v>
      </c>
      <c r="V293">
        <f t="shared" si="8"/>
        <v>0.21785217703255053</v>
      </c>
      <c r="W293">
        <f t="shared" si="9"/>
        <v>0.21785217703255053</v>
      </c>
    </row>
    <row r="294" spans="21:23" x14ac:dyDescent="0.3">
      <c r="U294">
        <v>-1.0900000000000001</v>
      </c>
      <c r="V294">
        <f t="shared" si="8"/>
        <v>0.22025076668303326</v>
      </c>
      <c r="W294">
        <f t="shared" si="9"/>
        <v>0.22025076668303326</v>
      </c>
    </row>
    <row r="295" spans="21:23" x14ac:dyDescent="0.3">
      <c r="U295">
        <v>-1.08</v>
      </c>
      <c r="V295">
        <f t="shared" si="8"/>
        <v>0.22265349875176113</v>
      </c>
      <c r="W295">
        <f t="shared" si="9"/>
        <v>0.22265349875176113</v>
      </c>
    </row>
    <row r="296" spans="21:23" x14ac:dyDescent="0.3">
      <c r="U296">
        <v>-1.07</v>
      </c>
      <c r="V296">
        <f t="shared" si="8"/>
        <v>0.22505993528526966</v>
      </c>
      <c r="W296">
        <f t="shared" si="9"/>
        <v>0.22505993528526966</v>
      </c>
    </row>
    <row r="297" spans="21:23" x14ac:dyDescent="0.3">
      <c r="U297">
        <v>-1.06</v>
      </c>
      <c r="V297">
        <f t="shared" si="8"/>
        <v>0.22746963245738591</v>
      </c>
      <c r="W297">
        <f t="shared" si="9"/>
        <v>0.22746963245738591</v>
      </c>
    </row>
    <row r="298" spans="21:23" x14ac:dyDescent="0.3">
      <c r="U298">
        <v>-1.05</v>
      </c>
      <c r="V298">
        <f t="shared" si="8"/>
        <v>0.22988214068423302</v>
      </c>
      <c r="W298">
        <f t="shared" si="9"/>
        <v>0.22988214068423302</v>
      </c>
    </row>
    <row r="299" spans="21:23" x14ac:dyDescent="0.3">
      <c r="U299">
        <v>-1.04</v>
      </c>
      <c r="V299">
        <f t="shared" si="8"/>
        <v>0.2322970047433662</v>
      </c>
      <c r="W299">
        <f t="shared" si="9"/>
        <v>0.2322970047433662</v>
      </c>
    </row>
    <row r="300" spans="21:23" x14ac:dyDescent="0.3">
      <c r="U300">
        <v>-1.03</v>
      </c>
      <c r="V300">
        <f t="shared" si="8"/>
        <v>0.23471376389701182</v>
      </c>
      <c r="W300">
        <f t="shared" si="9"/>
        <v>0.23471376389701182</v>
      </c>
    </row>
    <row r="301" spans="21:23" x14ac:dyDescent="0.3">
      <c r="U301">
        <v>-1.02</v>
      </c>
      <c r="V301">
        <f t="shared" si="8"/>
        <v>0.23713195201937959</v>
      </c>
      <c r="W301">
        <f t="shared" si="9"/>
        <v>0.23713195201937959</v>
      </c>
    </row>
    <row r="302" spans="21:23" x14ac:dyDescent="0.3">
      <c r="U302">
        <v>-1.01</v>
      </c>
      <c r="V302">
        <f t="shared" si="8"/>
        <v>0.23955109772801336</v>
      </c>
      <c r="W302">
        <f t="shared" si="9"/>
        <v>0.23955109772801336</v>
      </c>
    </row>
    <row r="303" spans="21:23" x14ac:dyDescent="0.3">
      <c r="U303">
        <v>-1</v>
      </c>
      <c r="V303">
        <f t="shared" si="8"/>
        <v>0.24197072451914337</v>
      </c>
      <c r="W303">
        <f t="shared" si="9"/>
        <v>0.24197072451914337</v>
      </c>
    </row>
    <row r="304" spans="21:23" x14ac:dyDescent="0.3">
      <c r="U304">
        <v>-0.99</v>
      </c>
      <c r="V304">
        <f t="shared" si="8"/>
        <v>0.24439035090699956</v>
      </c>
      <c r="W304">
        <f t="shared" si="9"/>
        <v>0.24439035090699956</v>
      </c>
    </row>
    <row r="305" spans="21:23" x14ac:dyDescent="0.3">
      <c r="U305">
        <v>-0.98</v>
      </c>
      <c r="V305">
        <f t="shared" si="8"/>
        <v>0.24680949056704274</v>
      </c>
      <c r="W305">
        <f t="shared" si="9"/>
        <v>0.24680949056704274</v>
      </c>
    </row>
    <row r="306" spans="21:23" x14ac:dyDescent="0.3">
      <c r="U306">
        <v>-0.97</v>
      </c>
      <c r="V306">
        <f t="shared" si="8"/>
        <v>0.24922765248306594</v>
      </c>
      <c r="W306">
        <f t="shared" si="9"/>
        <v>0.24922765248306594</v>
      </c>
    </row>
    <row r="307" spans="21:23" x14ac:dyDescent="0.3">
      <c r="U307">
        <v>-0.96</v>
      </c>
      <c r="V307">
        <f t="shared" si="8"/>
        <v>0.25164434109811712</v>
      </c>
      <c r="W307">
        <f t="shared" si="9"/>
        <v>0.25164434109811712</v>
      </c>
    </row>
    <row r="308" spans="21:23" x14ac:dyDescent="0.3">
      <c r="U308">
        <v>-0.95</v>
      </c>
      <c r="V308">
        <f t="shared" si="8"/>
        <v>0.25405905646918903</v>
      </c>
      <c r="W308">
        <f t="shared" si="9"/>
        <v>0.25405905646918903</v>
      </c>
    </row>
    <row r="309" spans="21:23" x14ac:dyDescent="0.3">
      <c r="U309">
        <v>-0.94</v>
      </c>
      <c r="V309">
        <f t="shared" si="8"/>
        <v>0.25647129442562033</v>
      </c>
      <c r="W309">
        <f t="shared" si="9"/>
        <v>0.25647129442562033</v>
      </c>
    </row>
    <row r="310" spans="21:23" x14ac:dyDescent="0.3">
      <c r="U310">
        <v>-0.93</v>
      </c>
      <c r="V310">
        <f t="shared" si="8"/>
        <v>0.2588805467311488</v>
      </c>
      <c r="W310">
        <f t="shared" si="9"/>
        <v>0.2588805467311488</v>
      </c>
    </row>
    <row r="311" spans="21:23" x14ac:dyDescent="0.3">
      <c r="U311">
        <v>-0.92</v>
      </c>
      <c r="V311">
        <f t="shared" si="8"/>
        <v>0.26128630124955315</v>
      </c>
      <c r="W311">
        <f t="shared" si="9"/>
        <v>0.26128630124955315</v>
      </c>
    </row>
    <row r="312" spans="21:23" x14ac:dyDescent="0.3">
      <c r="U312">
        <v>-0.91</v>
      </c>
      <c r="V312">
        <f t="shared" si="8"/>
        <v>0.26368804211381813</v>
      </c>
      <c r="W312">
        <f t="shared" si="9"/>
        <v>0.26368804211381813</v>
      </c>
    </row>
    <row r="313" spans="21:23" x14ac:dyDescent="0.3">
      <c r="U313">
        <v>-0.9</v>
      </c>
      <c r="V313">
        <f t="shared" si="8"/>
        <v>0.26608524989875482</v>
      </c>
      <c r="W313">
        <f t="shared" si="9"/>
        <v>0.26608524989875482</v>
      </c>
    </row>
    <row r="314" spans="21:23" x14ac:dyDescent="0.3">
      <c r="U314">
        <v>-0.89</v>
      </c>
      <c r="V314">
        <f t="shared" si="8"/>
        <v>0.26847740179700241</v>
      </c>
      <c r="W314">
        <f t="shared" si="9"/>
        <v>0.26847740179700241</v>
      </c>
    </row>
    <row r="315" spans="21:23" x14ac:dyDescent="0.3">
      <c r="U315">
        <v>-0.88</v>
      </c>
      <c r="V315">
        <f t="shared" si="8"/>
        <v>0.27086397179833799</v>
      </c>
      <c r="W315">
        <f t="shared" si="9"/>
        <v>0.27086397179833799</v>
      </c>
    </row>
    <row r="316" spans="21:23" x14ac:dyDescent="0.3">
      <c r="U316">
        <v>-0.87</v>
      </c>
      <c r="V316">
        <f t="shared" si="8"/>
        <v>0.27324443087221623</v>
      </c>
      <c r="W316">
        <f t="shared" si="9"/>
        <v>0.27324443087221623</v>
      </c>
    </row>
    <row r="317" spans="21:23" x14ac:dyDescent="0.3">
      <c r="U317">
        <v>-0.86</v>
      </c>
      <c r="V317">
        <f t="shared" si="8"/>
        <v>0.27561824715345667</v>
      </c>
      <c r="W317">
        <f t="shared" si="9"/>
        <v>0.27561824715345667</v>
      </c>
    </row>
    <row r="318" spans="21:23" x14ac:dyDescent="0.3">
      <c r="U318">
        <v>-0.85</v>
      </c>
      <c r="V318">
        <f t="shared" si="8"/>
        <v>0.27798488613099648</v>
      </c>
      <c r="W318">
        <f t="shared" si="9"/>
        <v>0.27798488613099648</v>
      </c>
    </row>
    <row r="319" spans="21:23" x14ac:dyDescent="0.3">
      <c r="U319">
        <v>-0.84</v>
      </c>
      <c r="V319">
        <f t="shared" si="8"/>
        <v>0.28034381083962062</v>
      </c>
      <c r="W319">
        <f t="shared" si="9"/>
        <v>0.28034381083962062</v>
      </c>
    </row>
    <row r="320" spans="21:23" x14ac:dyDescent="0.3">
      <c r="U320">
        <v>-0.83</v>
      </c>
      <c r="V320">
        <f t="shared" si="8"/>
        <v>0.28269448205458025</v>
      </c>
      <c r="W320">
        <f t="shared" si="9"/>
        <v>0.28269448205458025</v>
      </c>
    </row>
    <row r="321" spans="21:23" x14ac:dyDescent="0.3">
      <c r="U321">
        <v>-0.82</v>
      </c>
      <c r="V321">
        <f t="shared" si="8"/>
        <v>0.28503635848900727</v>
      </c>
      <c r="W321">
        <f t="shared" si="9"/>
        <v>0.28503635848900727</v>
      </c>
    </row>
    <row r="322" spans="21:23" x14ac:dyDescent="0.3">
      <c r="U322">
        <v>-0.81</v>
      </c>
      <c r="V322">
        <f t="shared" si="8"/>
        <v>0.28736889699402829</v>
      </c>
      <c r="W322">
        <f t="shared" si="9"/>
        <v>0.28736889699402829</v>
      </c>
    </row>
    <row r="323" spans="21:23" x14ac:dyDescent="0.3">
      <c r="U323">
        <v>-0.8</v>
      </c>
      <c r="V323">
        <f t="shared" si="8"/>
        <v>0.28969155276148273</v>
      </c>
      <c r="W323">
        <f t="shared" si="9"/>
        <v>0.28969155276148273</v>
      </c>
    </row>
    <row r="324" spans="21:23" x14ac:dyDescent="0.3">
      <c r="U324">
        <v>-0.79</v>
      </c>
      <c r="V324">
        <f t="shared" ref="V324:V387" si="10">_xlfn.NORM.S.DIST(U324,0)</f>
        <v>0.29200377952914142</v>
      </c>
      <c r="W324">
        <f t="shared" ref="W324:W387" si="11">IF(U324&lt;=$B$2,V324,NA())</f>
        <v>0.29200377952914142</v>
      </c>
    </row>
    <row r="325" spans="21:23" x14ac:dyDescent="0.3">
      <c r="U325">
        <v>-0.78</v>
      </c>
      <c r="V325">
        <f t="shared" si="10"/>
        <v>0.29430502978832512</v>
      </c>
      <c r="W325">
        <f t="shared" si="11"/>
        <v>0.29430502978832512</v>
      </c>
    </row>
    <row r="326" spans="21:23" x14ac:dyDescent="0.3">
      <c r="U326">
        <v>-0.77</v>
      </c>
      <c r="V326">
        <f t="shared" si="10"/>
        <v>0.29659475499381571</v>
      </c>
      <c r="W326">
        <f t="shared" si="11"/>
        <v>0.29659475499381571</v>
      </c>
    </row>
    <row r="327" spans="21:23" x14ac:dyDescent="0.3">
      <c r="U327">
        <v>-0.76</v>
      </c>
      <c r="V327">
        <f t="shared" si="10"/>
        <v>0.29887240577595275</v>
      </c>
      <c r="W327">
        <f t="shared" si="11"/>
        <v>0.29887240577595275</v>
      </c>
    </row>
    <row r="328" spans="21:23" x14ac:dyDescent="0.3">
      <c r="U328">
        <v>-0.75</v>
      </c>
      <c r="V328">
        <f t="shared" si="10"/>
        <v>0.30113743215480443</v>
      </c>
      <c r="W328">
        <f t="shared" si="11"/>
        <v>0.30113743215480443</v>
      </c>
    </row>
    <row r="329" spans="21:23" x14ac:dyDescent="0.3">
      <c r="U329">
        <v>-0.74</v>
      </c>
      <c r="V329">
        <f t="shared" si="10"/>
        <v>0.30338928375630014</v>
      </c>
      <c r="W329">
        <f t="shared" si="11"/>
        <v>0.30338928375630014</v>
      </c>
    </row>
    <row r="330" spans="21:23" x14ac:dyDescent="0.3">
      <c r="U330">
        <v>-0.73</v>
      </c>
      <c r="V330">
        <f t="shared" si="10"/>
        <v>0.30562741003020988</v>
      </c>
      <c r="W330">
        <f t="shared" si="11"/>
        <v>0.30562741003020988</v>
      </c>
    </row>
    <row r="331" spans="21:23" x14ac:dyDescent="0.3">
      <c r="U331">
        <v>-0.72</v>
      </c>
      <c r="V331">
        <f t="shared" si="10"/>
        <v>0.30785126046985295</v>
      </c>
      <c r="W331">
        <f t="shared" si="11"/>
        <v>0.30785126046985295</v>
      </c>
    </row>
    <row r="332" spans="21:23" x14ac:dyDescent="0.3">
      <c r="U332">
        <v>-0.71</v>
      </c>
      <c r="V332">
        <f t="shared" si="10"/>
        <v>0.31006028483341613</v>
      </c>
      <c r="W332">
        <f t="shared" si="11"/>
        <v>0.31006028483341613</v>
      </c>
    </row>
    <row r="333" spans="21:23" x14ac:dyDescent="0.3">
      <c r="U333">
        <v>-0.7</v>
      </c>
      <c r="V333">
        <f t="shared" si="10"/>
        <v>0.31225393336676127</v>
      </c>
      <c r="W333">
        <f t="shared" si="11"/>
        <v>0.31225393336676127</v>
      </c>
    </row>
    <row r="334" spans="21:23" x14ac:dyDescent="0.3">
      <c r="U334">
        <v>-0.69</v>
      </c>
      <c r="V334">
        <f t="shared" si="10"/>
        <v>0.31443165702759734</v>
      </c>
      <c r="W334">
        <f t="shared" si="11"/>
        <v>0.31443165702759734</v>
      </c>
    </row>
    <row r="335" spans="21:23" x14ac:dyDescent="0.3">
      <c r="U335">
        <v>-0.68</v>
      </c>
      <c r="V335">
        <f t="shared" si="10"/>
        <v>0.31659290771089277</v>
      </c>
      <c r="W335">
        <f t="shared" si="11"/>
        <v>0.31659290771089277</v>
      </c>
    </row>
    <row r="336" spans="21:23" x14ac:dyDescent="0.3">
      <c r="U336">
        <v>-0.67</v>
      </c>
      <c r="V336">
        <f t="shared" si="10"/>
        <v>0.31873713847540153</v>
      </c>
      <c r="W336">
        <f t="shared" si="11"/>
        <v>0.31873713847540153</v>
      </c>
    </row>
    <row r="337" spans="21:23" x14ac:dyDescent="0.3">
      <c r="U337">
        <v>-0.66</v>
      </c>
      <c r="V337">
        <f t="shared" si="10"/>
        <v>0.32086380377117252</v>
      </c>
      <c r="W337">
        <f t="shared" si="11"/>
        <v>0.32086380377117252</v>
      </c>
    </row>
    <row r="338" spans="21:23" x14ac:dyDescent="0.3">
      <c r="U338">
        <v>-0.65</v>
      </c>
      <c r="V338">
        <f t="shared" si="10"/>
        <v>0.32297235966791427</v>
      </c>
      <c r="W338">
        <f t="shared" si="11"/>
        <v>0.32297235966791427</v>
      </c>
    </row>
    <row r="339" spans="21:23" x14ac:dyDescent="0.3">
      <c r="U339">
        <v>-0.64</v>
      </c>
      <c r="V339">
        <f t="shared" si="10"/>
        <v>0.32506226408408218</v>
      </c>
      <c r="W339">
        <f t="shared" si="11"/>
        <v>0.32506226408408218</v>
      </c>
    </row>
    <row r="340" spans="21:23" x14ac:dyDescent="0.3">
      <c r="U340">
        <v>-0.63</v>
      </c>
      <c r="V340">
        <f t="shared" si="10"/>
        <v>0.32713297701655447</v>
      </c>
      <c r="W340">
        <f t="shared" si="11"/>
        <v>0.32713297701655447</v>
      </c>
    </row>
    <row r="341" spans="21:23" x14ac:dyDescent="0.3">
      <c r="U341">
        <v>-0.62</v>
      </c>
      <c r="V341">
        <f t="shared" si="10"/>
        <v>0.32918396077076478</v>
      </c>
      <c r="W341">
        <f t="shared" si="11"/>
        <v>0.32918396077076478</v>
      </c>
    </row>
    <row r="342" spans="21:23" x14ac:dyDescent="0.3">
      <c r="U342">
        <v>-0.61</v>
      </c>
      <c r="V342">
        <f t="shared" si="10"/>
        <v>0.33121468019115297</v>
      </c>
      <c r="W342">
        <f t="shared" si="11"/>
        <v>0.33121468019115297</v>
      </c>
    </row>
    <row r="343" spans="21:23" x14ac:dyDescent="0.3">
      <c r="U343">
        <v>-0.6</v>
      </c>
      <c r="V343">
        <f t="shared" si="10"/>
        <v>0.33322460289179967</v>
      </c>
      <c r="W343">
        <f t="shared" si="11"/>
        <v>0.33322460289179967</v>
      </c>
    </row>
    <row r="344" spans="21:23" x14ac:dyDescent="0.3">
      <c r="U344">
        <v>-0.59</v>
      </c>
      <c r="V344">
        <f t="shared" si="10"/>
        <v>0.33521319948710609</v>
      </c>
      <c r="W344">
        <f t="shared" si="11"/>
        <v>0.33521319948710609</v>
      </c>
    </row>
    <row r="345" spans="21:23" x14ac:dyDescent="0.3">
      <c r="U345">
        <v>-0.57999999999999996</v>
      </c>
      <c r="V345">
        <f t="shared" si="10"/>
        <v>0.33717994382238059</v>
      </c>
      <c r="W345">
        <f t="shared" si="11"/>
        <v>0.33717994382238059</v>
      </c>
    </row>
    <row r="346" spans="21:23" x14ac:dyDescent="0.3">
      <c r="U346">
        <v>-0.56999999999999995</v>
      </c>
      <c r="V346">
        <f t="shared" si="10"/>
        <v>0.33912431320419223</v>
      </c>
      <c r="W346">
        <f t="shared" si="11"/>
        <v>0.33912431320419223</v>
      </c>
    </row>
    <row r="347" spans="21:23" x14ac:dyDescent="0.3">
      <c r="U347">
        <v>-0.56000000000000005</v>
      </c>
      <c r="V347">
        <f t="shared" si="10"/>
        <v>0.34104578863035256</v>
      </c>
      <c r="W347">
        <f t="shared" si="11"/>
        <v>0.34104578863035256</v>
      </c>
    </row>
    <row r="348" spans="21:23" x14ac:dyDescent="0.3">
      <c r="U348">
        <v>-0.55000000000000004</v>
      </c>
      <c r="V348">
        <f t="shared" si="10"/>
        <v>0.3429438550193839</v>
      </c>
      <c r="W348">
        <f t="shared" si="11"/>
        <v>0.3429438550193839</v>
      </c>
    </row>
    <row r="349" spans="21:23" x14ac:dyDescent="0.3">
      <c r="U349">
        <v>-0.54</v>
      </c>
      <c r="V349">
        <f t="shared" si="10"/>
        <v>0.34481800143933333</v>
      </c>
      <c r="W349">
        <f t="shared" si="11"/>
        <v>0.34481800143933333</v>
      </c>
    </row>
    <row r="350" spans="21:23" x14ac:dyDescent="0.3">
      <c r="U350">
        <v>-0.53</v>
      </c>
      <c r="V350">
        <f t="shared" si="10"/>
        <v>0.34666772133579166</v>
      </c>
      <c r="W350">
        <f t="shared" si="11"/>
        <v>0.34666772133579166</v>
      </c>
    </row>
    <row r="351" spans="21:23" x14ac:dyDescent="0.3">
      <c r="U351">
        <v>-0.52</v>
      </c>
      <c r="V351">
        <f t="shared" si="10"/>
        <v>0.34849251275897447</v>
      </c>
      <c r="W351">
        <f t="shared" si="11"/>
        <v>0.34849251275897447</v>
      </c>
    </row>
    <row r="352" spans="21:23" x14ac:dyDescent="0.3">
      <c r="U352">
        <v>-0.51</v>
      </c>
      <c r="V352">
        <f t="shared" si="10"/>
        <v>0.35029187858972582</v>
      </c>
      <c r="W352">
        <f t="shared" si="11"/>
        <v>0.35029187858972582</v>
      </c>
    </row>
    <row r="353" spans="21:23" x14ac:dyDescent="0.3">
      <c r="U353">
        <v>-0.5</v>
      </c>
      <c r="V353">
        <f t="shared" si="10"/>
        <v>0.35206532676429952</v>
      </c>
      <c r="W353">
        <f t="shared" si="11"/>
        <v>0.35206532676429952</v>
      </c>
    </row>
    <row r="354" spans="21:23" x14ac:dyDescent="0.3">
      <c r="U354">
        <v>-0.49</v>
      </c>
      <c r="V354">
        <f t="shared" si="10"/>
        <v>0.35381237049777969</v>
      </c>
      <c r="W354">
        <f t="shared" si="11"/>
        <v>0.35381237049777969</v>
      </c>
    </row>
    <row r="355" spans="21:23" x14ac:dyDescent="0.3">
      <c r="U355">
        <v>-0.48</v>
      </c>
      <c r="V355">
        <f t="shared" si="10"/>
        <v>0.35553252850599709</v>
      </c>
      <c r="W355">
        <f t="shared" si="11"/>
        <v>0.35553252850599709</v>
      </c>
    </row>
    <row r="356" spans="21:23" x14ac:dyDescent="0.3">
      <c r="U356">
        <v>-0.47</v>
      </c>
      <c r="V356">
        <f t="shared" si="10"/>
        <v>0.35722532522580086</v>
      </c>
      <c r="W356">
        <f t="shared" si="11"/>
        <v>0.35722532522580086</v>
      </c>
    </row>
    <row r="357" spans="21:23" x14ac:dyDescent="0.3">
      <c r="U357">
        <v>-0.46</v>
      </c>
      <c r="V357">
        <f t="shared" si="10"/>
        <v>0.35889029103354464</v>
      </c>
      <c r="W357">
        <f t="shared" si="11"/>
        <v>0.35889029103354464</v>
      </c>
    </row>
    <row r="358" spans="21:23" x14ac:dyDescent="0.3">
      <c r="U358">
        <v>-0.45</v>
      </c>
      <c r="V358">
        <f t="shared" si="10"/>
        <v>0.36052696246164795</v>
      </c>
      <c r="W358">
        <f t="shared" si="11"/>
        <v>0.36052696246164795</v>
      </c>
    </row>
    <row r="359" spans="21:23" x14ac:dyDescent="0.3">
      <c r="U359">
        <v>-0.44</v>
      </c>
      <c r="V359">
        <f t="shared" si="10"/>
        <v>0.36213488241309222</v>
      </c>
      <c r="W359">
        <f t="shared" si="11"/>
        <v>0.36213488241309222</v>
      </c>
    </row>
    <row r="360" spans="21:23" x14ac:dyDescent="0.3">
      <c r="U360">
        <v>-0.43</v>
      </c>
      <c r="V360">
        <f t="shared" si="10"/>
        <v>0.36371360037371342</v>
      </c>
      <c r="W360">
        <f t="shared" si="11"/>
        <v>0.36371360037371342</v>
      </c>
    </row>
    <row r="361" spans="21:23" x14ac:dyDescent="0.3">
      <c r="U361">
        <v>-0.42</v>
      </c>
      <c r="V361">
        <f t="shared" si="10"/>
        <v>0.36526267262215389</v>
      </c>
      <c r="W361">
        <f t="shared" si="11"/>
        <v>0.36526267262215389</v>
      </c>
    </row>
    <row r="362" spans="21:23" x14ac:dyDescent="0.3">
      <c r="U362">
        <v>-0.41</v>
      </c>
      <c r="V362">
        <f t="shared" si="10"/>
        <v>0.36678166243733612</v>
      </c>
      <c r="W362">
        <f t="shared" si="11"/>
        <v>0.36678166243733612</v>
      </c>
    </row>
    <row r="363" spans="21:23" x14ac:dyDescent="0.3">
      <c r="U363">
        <v>-0.4</v>
      </c>
      <c r="V363">
        <f t="shared" si="10"/>
        <v>0.36827014030332333</v>
      </c>
      <c r="W363">
        <f t="shared" si="11"/>
        <v>0.36827014030332333</v>
      </c>
    </row>
    <row r="364" spans="21:23" x14ac:dyDescent="0.3">
      <c r="U364">
        <v>-0.39</v>
      </c>
      <c r="V364">
        <f t="shared" si="10"/>
        <v>0.36972768411143236</v>
      </c>
      <c r="W364">
        <f t="shared" si="11"/>
        <v>0.36972768411143236</v>
      </c>
    </row>
    <row r="365" spans="21:23" x14ac:dyDescent="0.3">
      <c r="U365">
        <v>-0.38</v>
      </c>
      <c r="V365">
        <f t="shared" si="10"/>
        <v>0.37115387935946603</v>
      </c>
      <c r="W365">
        <f t="shared" si="11"/>
        <v>0.37115387935946603</v>
      </c>
    </row>
    <row r="366" spans="21:23" x14ac:dyDescent="0.3">
      <c r="U366">
        <v>-0.37</v>
      </c>
      <c r="V366">
        <f t="shared" si="10"/>
        <v>0.37254831934793342</v>
      </c>
      <c r="W366">
        <f t="shared" si="11"/>
        <v>0.37254831934793342</v>
      </c>
    </row>
    <row r="367" spans="21:23" x14ac:dyDescent="0.3">
      <c r="U367">
        <v>-0.36</v>
      </c>
      <c r="V367">
        <f t="shared" si="10"/>
        <v>0.37391060537312842</v>
      </c>
      <c r="W367">
        <f t="shared" si="11"/>
        <v>0.37391060537312842</v>
      </c>
    </row>
    <row r="368" spans="21:23" x14ac:dyDescent="0.3">
      <c r="U368">
        <v>-0.35</v>
      </c>
      <c r="V368">
        <f t="shared" si="10"/>
        <v>0.37524034691693792</v>
      </c>
      <c r="W368">
        <f t="shared" si="11"/>
        <v>0.37524034691693792</v>
      </c>
    </row>
    <row r="369" spans="21:23" x14ac:dyDescent="0.3">
      <c r="U369">
        <v>-0.34</v>
      </c>
      <c r="V369">
        <f t="shared" si="10"/>
        <v>0.37653716183325392</v>
      </c>
      <c r="W369">
        <f t="shared" si="11"/>
        <v>0.37653716183325392</v>
      </c>
    </row>
    <row r="370" spans="21:23" x14ac:dyDescent="0.3">
      <c r="U370">
        <v>-0.33</v>
      </c>
      <c r="V370">
        <f t="shared" si="10"/>
        <v>0.37780067653086458</v>
      </c>
      <c r="W370">
        <f t="shared" si="11"/>
        <v>0.37780067653086458</v>
      </c>
    </row>
    <row r="371" spans="21:23" x14ac:dyDescent="0.3">
      <c r="U371">
        <v>-0.32</v>
      </c>
      <c r="V371">
        <f t="shared" si="10"/>
        <v>0.37903052615270166</v>
      </c>
      <c r="W371">
        <f t="shared" si="11"/>
        <v>0.37903052615270166</v>
      </c>
    </row>
    <row r="372" spans="21:23" x14ac:dyDescent="0.3">
      <c r="U372">
        <v>-0.31</v>
      </c>
      <c r="V372">
        <f t="shared" si="10"/>
        <v>0.38022635475132494</v>
      </c>
      <c r="W372">
        <f t="shared" si="11"/>
        <v>0.38022635475132494</v>
      </c>
    </row>
    <row r="373" spans="21:23" x14ac:dyDescent="0.3">
      <c r="U373">
        <v>-0.3</v>
      </c>
      <c r="V373">
        <f t="shared" si="10"/>
        <v>0.38138781546052414</v>
      </c>
      <c r="W373">
        <f t="shared" si="11"/>
        <v>0.38138781546052414</v>
      </c>
    </row>
    <row r="374" spans="21:23" x14ac:dyDescent="0.3">
      <c r="U374">
        <v>-0.28999999999999998</v>
      </c>
      <c r="V374">
        <f t="shared" si="10"/>
        <v>0.38251457066292405</v>
      </c>
      <c r="W374">
        <f t="shared" si="11"/>
        <v>0.38251457066292405</v>
      </c>
    </row>
    <row r="375" spans="21:23" x14ac:dyDescent="0.3">
      <c r="U375">
        <v>-0.28000000000000003</v>
      </c>
      <c r="V375">
        <f t="shared" si="10"/>
        <v>0.38360629215347858</v>
      </c>
      <c r="W375">
        <f t="shared" si="11"/>
        <v>0.38360629215347858</v>
      </c>
    </row>
    <row r="376" spans="21:23" x14ac:dyDescent="0.3">
      <c r="U376">
        <v>-0.27</v>
      </c>
      <c r="V376">
        <f t="shared" si="10"/>
        <v>0.38466266129874283</v>
      </c>
      <c r="W376">
        <f t="shared" si="11"/>
        <v>0.38466266129874283</v>
      </c>
    </row>
    <row r="377" spans="21:23" x14ac:dyDescent="0.3">
      <c r="U377">
        <v>-0.26</v>
      </c>
      <c r="V377">
        <f t="shared" si="10"/>
        <v>0.38568336919181612</v>
      </c>
      <c r="W377">
        <f t="shared" si="11"/>
        <v>0.38568336919181612</v>
      </c>
    </row>
    <row r="378" spans="21:23" x14ac:dyDescent="0.3">
      <c r="U378">
        <v>-0.25</v>
      </c>
      <c r="V378">
        <f t="shared" si="10"/>
        <v>0.38666811680284924</v>
      </c>
      <c r="W378">
        <f t="shared" si="11"/>
        <v>0.38666811680284924</v>
      </c>
    </row>
    <row r="379" spans="21:23" x14ac:dyDescent="0.3">
      <c r="U379">
        <v>-0.24</v>
      </c>
      <c r="V379">
        <f t="shared" si="10"/>
        <v>0.38761661512501416</v>
      </c>
      <c r="W379">
        <f t="shared" si="11"/>
        <v>0.38761661512501416</v>
      </c>
    </row>
    <row r="380" spans="21:23" x14ac:dyDescent="0.3">
      <c r="U380">
        <v>-0.23</v>
      </c>
      <c r="V380">
        <f t="shared" si="10"/>
        <v>0.38852858531583589</v>
      </c>
      <c r="W380">
        <f t="shared" si="11"/>
        <v>0.38852858531583589</v>
      </c>
    </row>
    <row r="381" spans="21:23" x14ac:dyDescent="0.3">
      <c r="U381">
        <v>-0.22</v>
      </c>
      <c r="V381">
        <f t="shared" si="10"/>
        <v>0.38940375883379041</v>
      </c>
      <c r="W381">
        <f t="shared" si="11"/>
        <v>0.38940375883379041</v>
      </c>
    </row>
    <row r="382" spans="21:23" x14ac:dyDescent="0.3">
      <c r="U382">
        <v>-0.21</v>
      </c>
      <c r="V382">
        <f t="shared" si="10"/>
        <v>0.39024187757007428</v>
      </c>
      <c r="W382">
        <f t="shared" si="11"/>
        <v>0.39024187757007428</v>
      </c>
    </row>
    <row r="383" spans="21:23" x14ac:dyDescent="0.3">
      <c r="U383">
        <v>-0.2</v>
      </c>
      <c r="V383">
        <f t="shared" si="10"/>
        <v>0.39104269397545588</v>
      </c>
      <c r="W383">
        <f t="shared" si="11"/>
        <v>0.39104269397545588</v>
      </c>
    </row>
    <row r="384" spans="21:23" x14ac:dyDescent="0.3">
      <c r="U384">
        <v>-0.19</v>
      </c>
      <c r="V384">
        <f t="shared" si="10"/>
        <v>0.39180597118212113</v>
      </c>
      <c r="W384">
        <f t="shared" si="11"/>
        <v>0.39180597118212113</v>
      </c>
    </row>
    <row r="385" spans="21:23" x14ac:dyDescent="0.3">
      <c r="U385">
        <v>-0.18</v>
      </c>
      <c r="V385">
        <f t="shared" si="10"/>
        <v>0.3925314831204289</v>
      </c>
      <c r="W385">
        <f t="shared" si="11"/>
        <v>0.3925314831204289</v>
      </c>
    </row>
    <row r="386" spans="21:23" x14ac:dyDescent="0.3">
      <c r="U386">
        <v>-0.17</v>
      </c>
      <c r="V386">
        <f t="shared" si="10"/>
        <v>0.39321901463049719</v>
      </c>
      <c r="W386">
        <f t="shared" si="11"/>
        <v>0.39321901463049719</v>
      </c>
    </row>
    <row r="387" spans="21:23" x14ac:dyDescent="0.3">
      <c r="U387">
        <v>-0.16</v>
      </c>
      <c r="V387">
        <f t="shared" si="10"/>
        <v>0.39386836156854083</v>
      </c>
      <c r="W387">
        <f t="shared" si="11"/>
        <v>0.39386836156854083</v>
      </c>
    </row>
    <row r="388" spans="21:23" x14ac:dyDescent="0.3">
      <c r="U388">
        <v>-0.15</v>
      </c>
      <c r="V388">
        <f t="shared" ref="V388:V451" si="12">_xlfn.NORM.S.DIST(U388,0)</f>
        <v>0.39447933090788895</v>
      </c>
      <c r="W388">
        <f t="shared" ref="W388:W451" si="13">IF(U388&lt;=$B$2,V388,NA())</f>
        <v>0.39447933090788895</v>
      </c>
    </row>
    <row r="389" spans="21:23" x14ac:dyDescent="0.3">
      <c r="U389">
        <v>-0.14000000000000001</v>
      </c>
      <c r="V389">
        <f t="shared" si="12"/>
        <v>0.39505174083461125</v>
      </c>
      <c r="W389">
        <f t="shared" si="13"/>
        <v>0.39505174083461125</v>
      </c>
    </row>
    <row r="390" spans="21:23" x14ac:dyDescent="0.3">
      <c r="U390">
        <v>-0.13</v>
      </c>
      <c r="V390">
        <f t="shared" si="12"/>
        <v>0.39558542083768738</v>
      </c>
      <c r="W390">
        <f t="shared" si="13"/>
        <v>0.39558542083768738</v>
      </c>
    </row>
    <row r="391" spans="21:23" x14ac:dyDescent="0.3">
      <c r="U391">
        <v>-0.12</v>
      </c>
      <c r="V391">
        <f t="shared" si="12"/>
        <v>0.3960802117936561</v>
      </c>
      <c r="W391">
        <f t="shared" si="13"/>
        <v>0.3960802117936561</v>
      </c>
    </row>
    <row r="392" spans="21:23" x14ac:dyDescent="0.3">
      <c r="U392">
        <v>-0.11</v>
      </c>
      <c r="V392">
        <f t="shared" si="12"/>
        <v>0.39653596604568575</v>
      </c>
      <c r="W392">
        <f t="shared" si="13"/>
        <v>0.39653596604568575</v>
      </c>
    </row>
    <row r="393" spans="21:23" x14ac:dyDescent="0.3">
      <c r="U393">
        <v>-0.1</v>
      </c>
      <c r="V393">
        <f t="shared" si="12"/>
        <v>0.39695254747701181</v>
      </c>
      <c r="W393">
        <f t="shared" si="13"/>
        <v>0.39695254747701181</v>
      </c>
    </row>
    <row r="394" spans="21:23" x14ac:dyDescent="0.3">
      <c r="U394">
        <v>-0.09</v>
      </c>
      <c r="V394">
        <f t="shared" si="12"/>
        <v>0.39732983157868834</v>
      </c>
      <c r="W394">
        <f t="shared" si="13"/>
        <v>0.39732983157868834</v>
      </c>
    </row>
    <row r="395" spans="21:23" x14ac:dyDescent="0.3">
      <c r="U395">
        <v>-0.08</v>
      </c>
      <c r="V395">
        <f t="shared" si="12"/>
        <v>0.39766770551160885</v>
      </c>
      <c r="W395">
        <f t="shared" si="13"/>
        <v>0.39766770551160885</v>
      </c>
    </row>
    <row r="396" spans="21:23" x14ac:dyDescent="0.3">
      <c r="U396">
        <v>-7.0000000000000007E-2</v>
      </c>
      <c r="V396">
        <f t="shared" si="12"/>
        <v>0.39796606816275104</v>
      </c>
      <c r="W396">
        <f t="shared" si="13"/>
        <v>0.39796606816275104</v>
      </c>
    </row>
    <row r="397" spans="21:23" x14ac:dyDescent="0.3">
      <c r="U397">
        <v>-0.06</v>
      </c>
      <c r="V397">
        <f t="shared" si="12"/>
        <v>0.39822483019560695</v>
      </c>
      <c r="W397">
        <f t="shared" si="13"/>
        <v>0.39822483019560695</v>
      </c>
    </row>
    <row r="398" spans="21:23" x14ac:dyDescent="0.3">
      <c r="U398">
        <v>-0.05</v>
      </c>
      <c r="V398">
        <f t="shared" si="12"/>
        <v>0.39844391409476404</v>
      </c>
      <c r="W398">
        <f t="shared" si="13"/>
        <v>0.39844391409476404</v>
      </c>
    </row>
    <row r="399" spans="21:23" x14ac:dyDescent="0.3">
      <c r="U399">
        <v>-0.04</v>
      </c>
      <c r="V399">
        <f t="shared" si="12"/>
        <v>0.39862325420460504</v>
      </c>
      <c r="W399">
        <f t="shared" si="13"/>
        <v>0.39862325420460504</v>
      </c>
    </row>
    <row r="400" spans="21:23" x14ac:dyDescent="0.3">
      <c r="U400">
        <v>-0.03</v>
      </c>
      <c r="V400">
        <f t="shared" si="12"/>
        <v>0.39876279676209969</v>
      </c>
      <c r="W400">
        <f t="shared" si="13"/>
        <v>0.39876279676209969</v>
      </c>
    </row>
    <row r="401" spans="21:25" x14ac:dyDescent="0.3">
      <c r="U401">
        <v>-0.02</v>
      </c>
      <c r="V401">
        <f t="shared" si="12"/>
        <v>0.39886249992366613</v>
      </c>
      <c r="W401">
        <f t="shared" si="13"/>
        <v>0.39886249992366613</v>
      </c>
    </row>
    <row r="402" spans="21:25" x14ac:dyDescent="0.3">
      <c r="U402">
        <v>-0.01</v>
      </c>
      <c r="V402">
        <f t="shared" si="12"/>
        <v>0.39892233378608216</v>
      </c>
      <c r="W402">
        <f t="shared" si="13"/>
        <v>0.39892233378608216</v>
      </c>
    </row>
    <row r="403" spans="21:25" x14ac:dyDescent="0.3">
      <c r="U403">
        <v>0</v>
      </c>
      <c r="V403">
        <f t="shared" si="12"/>
        <v>0.3989422804014327</v>
      </c>
      <c r="W403">
        <f t="shared" si="13"/>
        <v>0.3989422804014327</v>
      </c>
      <c r="Y403">
        <f>V403</f>
        <v>0.3989422804014327</v>
      </c>
    </row>
    <row r="404" spans="21:25" x14ac:dyDescent="0.3">
      <c r="U404">
        <v>0.01</v>
      </c>
      <c r="V404">
        <f t="shared" si="12"/>
        <v>0.39892233378608216</v>
      </c>
      <c r="W404">
        <f t="shared" si="13"/>
        <v>0.39892233378608216</v>
      </c>
    </row>
    <row r="405" spans="21:25" x14ac:dyDescent="0.3">
      <c r="U405">
        <v>0.02</v>
      </c>
      <c r="V405">
        <f t="shared" si="12"/>
        <v>0.39886249992366613</v>
      </c>
      <c r="W405">
        <f t="shared" si="13"/>
        <v>0.39886249992366613</v>
      </c>
    </row>
    <row r="406" spans="21:25" x14ac:dyDescent="0.3">
      <c r="U406">
        <v>0.03</v>
      </c>
      <c r="V406">
        <f t="shared" si="12"/>
        <v>0.39876279676209969</v>
      </c>
      <c r="W406">
        <f t="shared" si="13"/>
        <v>0.39876279676209969</v>
      </c>
    </row>
    <row r="407" spans="21:25" x14ac:dyDescent="0.3">
      <c r="U407">
        <v>0.04</v>
      </c>
      <c r="V407">
        <f t="shared" si="12"/>
        <v>0.39862325420460504</v>
      </c>
      <c r="W407">
        <f t="shared" si="13"/>
        <v>0.39862325420460504</v>
      </c>
    </row>
    <row r="408" spans="21:25" x14ac:dyDescent="0.3">
      <c r="U408">
        <v>0.05</v>
      </c>
      <c r="V408">
        <f t="shared" si="12"/>
        <v>0.39844391409476404</v>
      </c>
      <c r="W408">
        <f t="shared" si="13"/>
        <v>0.39844391409476404</v>
      </c>
    </row>
    <row r="409" spans="21:25" x14ac:dyDescent="0.3">
      <c r="U409">
        <v>0.06</v>
      </c>
      <c r="V409">
        <f t="shared" si="12"/>
        <v>0.39822483019560695</v>
      </c>
      <c r="W409">
        <f t="shared" si="13"/>
        <v>0.39822483019560695</v>
      </c>
    </row>
    <row r="410" spans="21:25" x14ac:dyDescent="0.3">
      <c r="U410">
        <v>7.0000000000000007E-2</v>
      </c>
      <c r="V410">
        <f t="shared" si="12"/>
        <v>0.39796606816275104</v>
      </c>
      <c r="W410">
        <f t="shared" si="13"/>
        <v>0.39796606816275104</v>
      </c>
    </row>
    <row r="411" spans="21:25" x14ac:dyDescent="0.3">
      <c r="U411">
        <v>0.08</v>
      </c>
      <c r="V411">
        <f t="shared" si="12"/>
        <v>0.39766770551160885</v>
      </c>
      <c r="W411">
        <f t="shared" si="13"/>
        <v>0.39766770551160885</v>
      </c>
    </row>
    <row r="412" spans="21:25" x14ac:dyDescent="0.3">
      <c r="U412">
        <v>0.09</v>
      </c>
      <c r="V412">
        <f t="shared" si="12"/>
        <v>0.39732983157868834</v>
      </c>
      <c r="W412">
        <f t="shared" si="13"/>
        <v>0.39732983157868834</v>
      </c>
    </row>
    <row r="413" spans="21:25" x14ac:dyDescent="0.3">
      <c r="U413">
        <v>0.1</v>
      </c>
      <c r="V413">
        <f t="shared" si="12"/>
        <v>0.39695254747701181</v>
      </c>
      <c r="W413">
        <f t="shared" si="13"/>
        <v>0.39695254747701181</v>
      </c>
    </row>
    <row r="414" spans="21:25" x14ac:dyDescent="0.3">
      <c r="U414">
        <v>0.11</v>
      </c>
      <c r="V414">
        <f t="shared" si="12"/>
        <v>0.39653596604568575</v>
      </c>
      <c r="W414">
        <f t="shared" si="13"/>
        <v>0.39653596604568575</v>
      </c>
    </row>
    <row r="415" spans="21:25" x14ac:dyDescent="0.3">
      <c r="U415">
        <v>0.12</v>
      </c>
      <c r="V415">
        <f t="shared" si="12"/>
        <v>0.3960802117936561</v>
      </c>
      <c r="W415">
        <f t="shared" si="13"/>
        <v>0.3960802117936561</v>
      </c>
    </row>
    <row r="416" spans="21:25" x14ac:dyDescent="0.3">
      <c r="U416">
        <v>0.13</v>
      </c>
      <c r="V416">
        <f t="shared" si="12"/>
        <v>0.39558542083768738</v>
      </c>
      <c r="W416">
        <f t="shared" si="13"/>
        <v>0.39558542083768738</v>
      </c>
    </row>
    <row r="417" spans="21:23" x14ac:dyDescent="0.3">
      <c r="U417">
        <v>0.14000000000000001</v>
      </c>
      <c r="V417">
        <f t="shared" si="12"/>
        <v>0.39505174083461125</v>
      </c>
      <c r="W417">
        <f t="shared" si="13"/>
        <v>0.39505174083461125</v>
      </c>
    </row>
    <row r="418" spans="21:23" x14ac:dyDescent="0.3">
      <c r="U418">
        <v>0.15</v>
      </c>
      <c r="V418">
        <f t="shared" si="12"/>
        <v>0.39447933090788895</v>
      </c>
      <c r="W418">
        <f t="shared" si="13"/>
        <v>0.39447933090788895</v>
      </c>
    </row>
    <row r="419" spans="21:23" x14ac:dyDescent="0.3">
      <c r="U419">
        <v>0.16</v>
      </c>
      <c r="V419">
        <f t="shared" si="12"/>
        <v>0.39386836156854083</v>
      </c>
      <c r="W419">
        <f t="shared" si="13"/>
        <v>0.39386836156854083</v>
      </c>
    </row>
    <row r="420" spans="21:23" x14ac:dyDescent="0.3">
      <c r="U420">
        <v>0.17</v>
      </c>
      <c r="V420">
        <f t="shared" si="12"/>
        <v>0.39321901463049719</v>
      </c>
      <c r="W420">
        <f t="shared" si="13"/>
        <v>0.39321901463049719</v>
      </c>
    </row>
    <row r="421" spans="21:23" x14ac:dyDescent="0.3">
      <c r="U421">
        <v>0.18</v>
      </c>
      <c r="V421">
        <f t="shared" si="12"/>
        <v>0.3925314831204289</v>
      </c>
      <c r="W421">
        <f t="shared" si="13"/>
        <v>0.3925314831204289</v>
      </c>
    </row>
    <row r="422" spans="21:23" x14ac:dyDescent="0.3">
      <c r="U422">
        <v>0.19</v>
      </c>
      <c r="V422">
        <f t="shared" si="12"/>
        <v>0.39180597118212113</v>
      </c>
      <c r="W422">
        <f t="shared" si="13"/>
        <v>0.39180597118212113</v>
      </c>
    </row>
    <row r="423" spans="21:23" x14ac:dyDescent="0.3">
      <c r="U423">
        <v>0.2</v>
      </c>
      <c r="V423">
        <f t="shared" si="12"/>
        <v>0.39104269397545588</v>
      </c>
      <c r="W423">
        <f t="shared" si="13"/>
        <v>0.39104269397545588</v>
      </c>
    </row>
    <row r="424" spans="21:23" x14ac:dyDescent="0.3">
      <c r="U424">
        <v>0.21</v>
      </c>
      <c r="V424">
        <f t="shared" si="12"/>
        <v>0.39024187757007428</v>
      </c>
      <c r="W424">
        <f t="shared" si="13"/>
        <v>0.39024187757007428</v>
      </c>
    </row>
    <row r="425" spans="21:23" x14ac:dyDescent="0.3">
      <c r="U425">
        <v>0.22</v>
      </c>
      <c r="V425">
        <f t="shared" si="12"/>
        <v>0.38940375883379041</v>
      </c>
      <c r="W425">
        <f t="shared" si="13"/>
        <v>0.38940375883379041</v>
      </c>
    </row>
    <row r="426" spans="21:23" x14ac:dyDescent="0.3">
      <c r="U426">
        <v>0.23</v>
      </c>
      <c r="V426">
        <f t="shared" si="12"/>
        <v>0.38852858531583589</v>
      </c>
      <c r="W426">
        <f t="shared" si="13"/>
        <v>0.38852858531583589</v>
      </c>
    </row>
    <row r="427" spans="21:23" x14ac:dyDescent="0.3">
      <c r="U427">
        <v>0.24</v>
      </c>
      <c r="V427">
        <f t="shared" si="12"/>
        <v>0.38761661512501416</v>
      </c>
      <c r="W427">
        <f t="shared" si="13"/>
        <v>0.38761661512501416</v>
      </c>
    </row>
    <row r="428" spans="21:23" x14ac:dyDescent="0.3">
      <c r="U428">
        <v>0.25</v>
      </c>
      <c r="V428">
        <f t="shared" si="12"/>
        <v>0.38666811680284924</v>
      </c>
      <c r="W428">
        <f t="shared" si="13"/>
        <v>0.38666811680284924</v>
      </c>
    </row>
    <row r="429" spans="21:23" x14ac:dyDescent="0.3">
      <c r="U429">
        <v>0.26</v>
      </c>
      <c r="V429">
        <f t="shared" si="12"/>
        <v>0.38568336919181612</v>
      </c>
      <c r="W429">
        <f t="shared" si="13"/>
        <v>0.38568336919181612</v>
      </c>
    </row>
    <row r="430" spans="21:23" x14ac:dyDescent="0.3">
      <c r="U430">
        <v>0.27</v>
      </c>
      <c r="V430">
        <f t="shared" si="12"/>
        <v>0.38466266129874283</v>
      </c>
      <c r="W430">
        <f t="shared" si="13"/>
        <v>0.38466266129874283</v>
      </c>
    </row>
    <row r="431" spans="21:23" x14ac:dyDescent="0.3">
      <c r="U431">
        <v>0.28000000000000003</v>
      </c>
      <c r="V431">
        <f t="shared" si="12"/>
        <v>0.38360629215347858</v>
      </c>
      <c r="W431">
        <f t="shared" si="13"/>
        <v>0.38360629215347858</v>
      </c>
    </row>
    <row r="432" spans="21:23" x14ac:dyDescent="0.3">
      <c r="U432">
        <v>0.28999999999999998</v>
      </c>
      <c r="V432">
        <f t="shared" si="12"/>
        <v>0.38251457066292405</v>
      </c>
      <c r="W432">
        <f t="shared" si="13"/>
        <v>0.38251457066292405</v>
      </c>
    </row>
    <row r="433" spans="21:23" x14ac:dyDescent="0.3">
      <c r="U433">
        <v>0.3</v>
      </c>
      <c r="V433">
        <f t="shared" si="12"/>
        <v>0.38138781546052414</v>
      </c>
      <c r="W433">
        <f t="shared" si="13"/>
        <v>0.38138781546052414</v>
      </c>
    </row>
    <row r="434" spans="21:23" x14ac:dyDescent="0.3">
      <c r="U434">
        <v>0.31</v>
      </c>
      <c r="V434">
        <f t="shared" si="12"/>
        <v>0.38022635475132494</v>
      </c>
      <c r="W434">
        <f t="shared" si="13"/>
        <v>0.38022635475132494</v>
      </c>
    </row>
    <row r="435" spans="21:23" x14ac:dyDescent="0.3">
      <c r="U435">
        <v>0.32</v>
      </c>
      <c r="V435">
        <f t="shared" si="12"/>
        <v>0.37903052615270166</v>
      </c>
      <c r="W435">
        <f t="shared" si="13"/>
        <v>0.37903052615270166</v>
      </c>
    </row>
    <row r="436" spans="21:23" x14ac:dyDescent="0.3">
      <c r="U436">
        <v>0.33</v>
      </c>
      <c r="V436">
        <f t="shared" si="12"/>
        <v>0.37780067653086458</v>
      </c>
      <c r="W436">
        <f t="shared" si="13"/>
        <v>0.37780067653086458</v>
      </c>
    </row>
    <row r="437" spans="21:23" x14ac:dyDescent="0.3">
      <c r="U437">
        <v>0.34</v>
      </c>
      <c r="V437">
        <f t="shared" si="12"/>
        <v>0.37653716183325392</v>
      </c>
      <c r="W437">
        <f t="shared" si="13"/>
        <v>0.37653716183325392</v>
      </c>
    </row>
    <row r="438" spans="21:23" x14ac:dyDescent="0.3">
      <c r="U438">
        <v>0.35</v>
      </c>
      <c r="V438">
        <f t="shared" si="12"/>
        <v>0.37524034691693792</v>
      </c>
      <c r="W438">
        <f t="shared" si="13"/>
        <v>0.37524034691693792</v>
      </c>
    </row>
    <row r="439" spans="21:23" x14ac:dyDescent="0.3">
      <c r="U439">
        <v>0.36</v>
      </c>
      <c r="V439">
        <f t="shared" si="12"/>
        <v>0.37391060537312842</v>
      </c>
      <c r="W439">
        <f t="shared" si="13"/>
        <v>0.37391060537312842</v>
      </c>
    </row>
    <row r="440" spans="21:23" x14ac:dyDescent="0.3">
      <c r="U440">
        <v>0.37</v>
      </c>
      <c r="V440">
        <f t="shared" si="12"/>
        <v>0.37254831934793342</v>
      </c>
      <c r="W440">
        <f t="shared" si="13"/>
        <v>0.37254831934793342</v>
      </c>
    </row>
    <row r="441" spans="21:23" x14ac:dyDescent="0.3">
      <c r="U441">
        <v>0.38</v>
      </c>
      <c r="V441">
        <f t="shared" si="12"/>
        <v>0.37115387935946603</v>
      </c>
      <c r="W441">
        <f t="shared" si="13"/>
        <v>0.37115387935946603</v>
      </c>
    </row>
    <row r="442" spans="21:23" x14ac:dyDescent="0.3">
      <c r="U442">
        <v>0.39</v>
      </c>
      <c r="V442">
        <f t="shared" si="12"/>
        <v>0.36972768411143236</v>
      </c>
      <c r="W442">
        <f t="shared" si="13"/>
        <v>0.36972768411143236</v>
      </c>
    </row>
    <row r="443" spans="21:23" x14ac:dyDescent="0.3">
      <c r="U443">
        <v>0.4</v>
      </c>
      <c r="V443">
        <f t="shared" si="12"/>
        <v>0.36827014030332333</v>
      </c>
      <c r="W443">
        <f t="shared" si="13"/>
        <v>0.36827014030332333</v>
      </c>
    </row>
    <row r="444" spans="21:23" x14ac:dyDescent="0.3">
      <c r="U444">
        <v>0.41</v>
      </c>
      <c r="V444">
        <f t="shared" si="12"/>
        <v>0.36678166243733612</v>
      </c>
      <c r="W444">
        <f t="shared" si="13"/>
        <v>0.36678166243733612</v>
      </c>
    </row>
    <row r="445" spans="21:23" x14ac:dyDescent="0.3">
      <c r="U445">
        <v>0.42</v>
      </c>
      <c r="V445">
        <f t="shared" si="12"/>
        <v>0.36526267262215389</v>
      </c>
      <c r="W445">
        <f t="shared" si="13"/>
        <v>0.36526267262215389</v>
      </c>
    </row>
    <row r="446" spans="21:23" x14ac:dyDescent="0.3">
      <c r="U446">
        <v>0.43</v>
      </c>
      <c r="V446">
        <f t="shared" si="12"/>
        <v>0.36371360037371342</v>
      </c>
      <c r="W446">
        <f t="shared" si="13"/>
        <v>0.36371360037371342</v>
      </c>
    </row>
    <row r="447" spans="21:23" x14ac:dyDescent="0.3">
      <c r="U447">
        <v>0.44</v>
      </c>
      <c r="V447">
        <f t="shared" si="12"/>
        <v>0.36213488241309222</v>
      </c>
      <c r="W447">
        <f t="shared" si="13"/>
        <v>0.36213488241309222</v>
      </c>
    </row>
    <row r="448" spans="21:23" x14ac:dyDescent="0.3">
      <c r="U448">
        <v>0.45</v>
      </c>
      <c r="V448">
        <f t="shared" si="12"/>
        <v>0.36052696246164795</v>
      </c>
      <c r="W448">
        <f t="shared" si="13"/>
        <v>0.36052696246164795</v>
      </c>
    </row>
    <row r="449" spans="21:23" x14ac:dyDescent="0.3">
      <c r="U449">
        <v>0.46</v>
      </c>
      <c r="V449">
        <f t="shared" si="12"/>
        <v>0.35889029103354464</v>
      </c>
      <c r="W449">
        <f t="shared" si="13"/>
        <v>0.35889029103354464</v>
      </c>
    </row>
    <row r="450" spans="21:23" x14ac:dyDescent="0.3">
      <c r="U450">
        <v>0.47</v>
      </c>
      <c r="V450">
        <f t="shared" si="12"/>
        <v>0.35722532522580086</v>
      </c>
      <c r="W450">
        <f t="shared" si="13"/>
        <v>0.35722532522580086</v>
      </c>
    </row>
    <row r="451" spans="21:23" x14ac:dyDescent="0.3">
      <c r="U451">
        <v>0.48</v>
      </c>
      <c r="V451">
        <f t="shared" si="12"/>
        <v>0.35553252850599709</v>
      </c>
      <c r="W451">
        <f t="shared" si="13"/>
        <v>0.35553252850599709</v>
      </c>
    </row>
    <row r="452" spans="21:23" x14ac:dyDescent="0.3">
      <c r="U452">
        <v>0.49</v>
      </c>
      <c r="V452">
        <f t="shared" ref="V452:V515" si="14">_xlfn.NORM.S.DIST(U452,0)</f>
        <v>0.35381237049777969</v>
      </c>
      <c r="W452">
        <f t="shared" ref="W452:W515" si="15">IF(U452&lt;=$B$2,V452,NA())</f>
        <v>0.35381237049777969</v>
      </c>
    </row>
    <row r="453" spans="21:23" x14ac:dyDescent="0.3">
      <c r="U453">
        <v>0.5</v>
      </c>
      <c r="V453">
        <f t="shared" si="14"/>
        <v>0.35206532676429952</v>
      </c>
      <c r="W453">
        <f t="shared" si="15"/>
        <v>0.35206532676429952</v>
      </c>
    </row>
    <row r="454" spans="21:23" x14ac:dyDescent="0.3">
      <c r="U454">
        <v>0.51</v>
      </c>
      <c r="V454">
        <f t="shared" si="14"/>
        <v>0.35029187858972582</v>
      </c>
      <c r="W454">
        <f t="shared" si="15"/>
        <v>0.35029187858972582</v>
      </c>
    </row>
    <row r="455" spans="21:23" x14ac:dyDescent="0.3">
      <c r="U455">
        <v>0.52</v>
      </c>
      <c r="V455">
        <f t="shared" si="14"/>
        <v>0.34849251275897447</v>
      </c>
      <c r="W455">
        <f t="shared" si="15"/>
        <v>0.34849251275897447</v>
      </c>
    </row>
    <row r="456" spans="21:23" x14ac:dyDescent="0.3">
      <c r="U456">
        <v>0.53</v>
      </c>
      <c r="V456">
        <f t="shared" si="14"/>
        <v>0.34666772133579166</v>
      </c>
      <c r="W456">
        <f t="shared" si="15"/>
        <v>0.34666772133579166</v>
      </c>
    </row>
    <row r="457" spans="21:23" x14ac:dyDescent="0.3">
      <c r="U457">
        <v>0.54</v>
      </c>
      <c r="V457">
        <f t="shared" si="14"/>
        <v>0.34481800143933333</v>
      </c>
      <c r="W457">
        <f t="shared" si="15"/>
        <v>0.34481800143933333</v>
      </c>
    </row>
    <row r="458" spans="21:23" x14ac:dyDescent="0.3">
      <c r="U458">
        <v>0.55000000000000004</v>
      </c>
      <c r="V458">
        <f t="shared" si="14"/>
        <v>0.3429438550193839</v>
      </c>
      <c r="W458">
        <f t="shared" si="15"/>
        <v>0.3429438550193839</v>
      </c>
    </row>
    <row r="459" spans="21:23" x14ac:dyDescent="0.3">
      <c r="U459">
        <v>0.56000000000000005</v>
      </c>
      <c r="V459">
        <f t="shared" si="14"/>
        <v>0.34104578863035256</v>
      </c>
      <c r="W459">
        <f t="shared" si="15"/>
        <v>0.34104578863035256</v>
      </c>
    </row>
    <row r="460" spans="21:23" x14ac:dyDescent="0.3">
      <c r="U460">
        <v>0.56999999999999995</v>
      </c>
      <c r="V460">
        <f t="shared" si="14"/>
        <v>0.33912431320419223</v>
      </c>
      <c r="W460">
        <f t="shared" si="15"/>
        <v>0.33912431320419223</v>
      </c>
    </row>
    <row r="461" spans="21:23" x14ac:dyDescent="0.3">
      <c r="U461">
        <v>0.57999999999999996</v>
      </c>
      <c r="V461">
        <f t="shared" si="14"/>
        <v>0.33717994382238059</v>
      </c>
      <c r="W461">
        <f t="shared" si="15"/>
        <v>0.33717994382238059</v>
      </c>
    </row>
    <row r="462" spans="21:23" x14ac:dyDescent="0.3">
      <c r="U462">
        <v>0.59</v>
      </c>
      <c r="V462">
        <f t="shared" si="14"/>
        <v>0.33521319948710609</v>
      </c>
      <c r="W462">
        <f t="shared" si="15"/>
        <v>0.33521319948710609</v>
      </c>
    </row>
    <row r="463" spans="21:23" x14ac:dyDescent="0.3">
      <c r="U463">
        <v>0.6</v>
      </c>
      <c r="V463">
        <f t="shared" si="14"/>
        <v>0.33322460289179967</v>
      </c>
      <c r="W463">
        <f t="shared" si="15"/>
        <v>0.33322460289179967</v>
      </c>
    </row>
    <row r="464" spans="21:23" x14ac:dyDescent="0.3">
      <c r="U464">
        <v>0.61</v>
      </c>
      <c r="V464">
        <f t="shared" si="14"/>
        <v>0.33121468019115297</v>
      </c>
      <c r="W464">
        <f t="shared" si="15"/>
        <v>0.33121468019115297</v>
      </c>
    </row>
    <row r="465" spans="21:23" x14ac:dyDescent="0.3">
      <c r="U465">
        <v>0.62</v>
      </c>
      <c r="V465">
        <f t="shared" si="14"/>
        <v>0.32918396077076478</v>
      </c>
      <c r="W465">
        <f t="shared" si="15"/>
        <v>0.32918396077076478</v>
      </c>
    </row>
    <row r="466" spans="21:23" x14ac:dyDescent="0.3">
      <c r="U466">
        <v>0.63</v>
      </c>
      <c r="V466">
        <f t="shared" si="14"/>
        <v>0.32713297701655447</v>
      </c>
      <c r="W466">
        <f t="shared" si="15"/>
        <v>0.32713297701655447</v>
      </c>
    </row>
    <row r="467" spans="21:23" x14ac:dyDescent="0.3">
      <c r="U467">
        <v>0.64</v>
      </c>
      <c r="V467">
        <f t="shared" si="14"/>
        <v>0.32506226408408218</v>
      </c>
      <c r="W467">
        <f t="shared" si="15"/>
        <v>0.32506226408408218</v>
      </c>
    </row>
    <row r="468" spans="21:23" x14ac:dyDescent="0.3">
      <c r="U468">
        <v>0.65</v>
      </c>
      <c r="V468">
        <f t="shared" si="14"/>
        <v>0.32297235966791427</v>
      </c>
      <c r="W468">
        <f t="shared" si="15"/>
        <v>0.32297235966791427</v>
      </c>
    </row>
    <row r="469" spans="21:23" x14ac:dyDescent="0.3">
      <c r="U469">
        <v>0.66</v>
      </c>
      <c r="V469">
        <f t="shared" si="14"/>
        <v>0.32086380377117252</v>
      </c>
      <c r="W469">
        <f t="shared" si="15"/>
        <v>0.32086380377117252</v>
      </c>
    </row>
    <row r="470" spans="21:23" x14ac:dyDescent="0.3">
      <c r="U470">
        <v>0.67</v>
      </c>
      <c r="V470">
        <f t="shared" si="14"/>
        <v>0.31873713847540153</v>
      </c>
      <c r="W470">
        <f t="shared" si="15"/>
        <v>0.31873713847540153</v>
      </c>
    </row>
    <row r="471" spans="21:23" x14ac:dyDescent="0.3">
      <c r="U471">
        <v>0.68</v>
      </c>
      <c r="V471">
        <f t="shared" si="14"/>
        <v>0.31659290771089277</v>
      </c>
      <c r="W471">
        <f t="shared" si="15"/>
        <v>0.31659290771089277</v>
      </c>
    </row>
    <row r="472" spans="21:23" x14ac:dyDescent="0.3">
      <c r="U472">
        <v>0.69</v>
      </c>
      <c r="V472">
        <f t="shared" si="14"/>
        <v>0.31443165702759734</v>
      </c>
      <c r="W472">
        <f t="shared" si="15"/>
        <v>0.31443165702759734</v>
      </c>
    </row>
    <row r="473" spans="21:23" x14ac:dyDescent="0.3">
      <c r="U473">
        <v>0.7</v>
      </c>
      <c r="V473">
        <f t="shared" si="14"/>
        <v>0.31225393336676127</v>
      </c>
      <c r="W473">
        <f t="shared" si="15"/>
        <v>0.31225393336676127</v>
      </c>
    </row>
    <row r="474" spans="21:23" x14ac:dyDescent="0.3">
      <c r="U474">
        <v>0.71</v>
      </c>
      <c r="V474">
        <f t="shared" si="14"/>
        <v>0.31006028483341613</v>
      </c>
      <c r="W474">
        <f t="shared" si="15"/>
        <v>0.31006028483341613</v>
      </c>
    </row>
    <row r="475" spans="21:23" x14ac:dyDescent="0.3">
      <c r="U475">
        <v>0.72</v>
      </c>
      <c r="V475">
        <f t="shared" si="14"/>
        <v>0.30785126046985295</v>
      </c>
      <c r="W475">
        <f t="shared" si="15"/>
        <v>0.30785126046985295</v>
      </c>
    </row>
    <row r="476" spans="21:23" x14ac:dyDescent="0.3">
      <c r="U476">
        <v>0.73</v>
      </c>
      <c r="V476">
        <f t="shared" si="14"/>
        <v>0.30562741003020988</v>
      </c>
      <c r="W476">
        <f t="shared" si="15"/>
        <v>0.30562741003020988</v>
      </c>
    </row>
    <row r="477" spans="21:23" x14ac:dyDescent="0.3">
      <c r="U477">
        <v>0.74</v>
      </c>
      <c r="V477">
        <f t="shared" si="14"/>
        <v>0.30338928375630014</v>
      </c>
      <c r="W477">
        <f t="shared" si="15"/>
        <v>0.30338928375630014</v>
      </c>
    </row>
    <row r="478" spans="21:23" x14ac:dyDescent="0.3">
      <c r="U478">
        <v>0.75</v>
      </c>
      <c r="V478">
        <f t="shared" si="14"/>
        <v>0.30113743215480443</v>
      </c>
      <c r="W478">
        <f t="shared" si="15"/>
        <v>0.30113743215480443</v>
      </c>
    </row>
    <row r="479" spans="21:23" x14ac:dyDescent="0.3">
      <c r="U479">
        <v>0.76</v>
      </c>
      <c r="V479">
        <f t="shared" si="14"/>
        <v>0.29887240577595275</v>
      </c>
      <c r="W479">
        <f t="shared" si="15"/>
        <v>0.29887240577595275</v>
      </c>
    </row>
    <row r="480" spans="21:23" x14ac:dyDescent="0.3">
      <c r="U480">
        <v>0.77</v>
      </c>
      <c r="V480">
        <f t="shared" si="14"/>
        <v>0.29659475499381571</v>
      </c>
      <c r="W480">
        <f t="shared" si="15"/>
        <v>0.29659475499381571</v>
      </c>
    </row>
    <row r="481" spans="21:23" x14ac:dyDescent="0.3">
      <c r="U481">
        <v>0.78</v>
      </c>
      <c r="V481">
        <f t="shared" si="14"/>
        <v>0.29430502978832512</v>
      </c>
      <c r="W481">
        <f t="shared" si="15"/>
        <v>0.29430502978832512</v>
      </c>
    </row>
    <row r="482" spans="21:23" x14ac:dyDescent="0.3">
      <c r="U482">
        <v>0.79</v>
      </c>
      <c r="V482">
        <f t="shared" si="14"/>
        <v>0.29200377952914142</v>
      </c>
      <c r="W482">
        <f t="shared" si="15"/>
        <v>0.29200377952914142</v>
      </c>
    </row>
    <row r="483" spans="21:23" x14ac:dyDescent="0.3">
      <c r="U483">
        <v>0.8</v>
      </c>
      <c r="V483">
        <f t="shared" si="14"/>
        <v>0.28969155276148273</v>
      </c>
      <c r="W483">
        <f t="shared" si="15"/>
        <v>0.28969155276148273</v>
      </c>
    </row>
    <row r="484" spans="21:23" x14ac:dyDescent="0.3">
      <c r="U484">
        <v>0.81</v>
      </c>
      <c r="V484">
        <f t="shared" si="14"/>
        <v>0.28736889699402829</v>
      </c>
      <c r="W484">
        <f t="shared" si="15"/>
        <v>0.28736889699402829</v>
      </c>
    </row>
    <row r="485" spans="21:23" x14ac:dyDescent="0.3">
      <c r="U485">
        <v>0.82</v>
      </c>
      <c r="V485">
        <f t="shared" si="14"/>
        <v>0.28503635848900727</v>
      </c>
      <c r="W485">
        <f t="shared" si="15"/>
        <v>0.28503635848900727</v>
      </c>
    </row>
    <row r="486" spans="21:23" x14ac:dyDescent="0.3">
      <c r="U486">
        <v>0.83</v>
      </c>
      <c r="V486">
        <f t="shared" si="14"/>
        <v>0.28269448205458025</v>
      </c>
      <c r="W486">
        <f t="shared" si="15"/>
        <v>0.28269448205458025</v>
      </c>
    </row>
    <row r="487" spans="21:23" x14ac:dyDescent="0.3">
      <c r="U487">
        <v>0.84</v>
      </c>
      <c r="V487">
        <f t="shared" si="14"/>
        <v>0.28034381083962062</v>
      </c>
      <c r="W487">
        <f t="shared" si="15"/>
        <v>0.28034381083962062</v>
      </c>
    </row>
    <row r="488" spans="21:23" x14ac:dyDescent="0.3">
      <c r="U488">
        <v>0.85</v>
      </c>
      <c r="V488">
        <f t="shared" si="14"/>
        <v>0.27798488613099648</v>
      </c>
      <c r="W488">
        <f t="shared" si="15"/>
        <v>0.27798488613099648</v>
      </c>
    </row>
    <row r="489" spans="21:23" x14ac:dyDescent="0.3">
      <c r="U489">
        <v>0.86</v>
      </c>
      <c r="V489">
        <f t="shared" si="14"/>
        <v>0.27561824715345667</v>
      </c>
      <c r="W489">
        <f t="shared" si="15"/>
        <v>0.27561824715345667</v>
      </c>
    </row>
    <row r="490" spans="21:23" x14ac:dyDescent="0.3">
      <c r="U490">
        <v>0.87</v>
      </c>
      <c r="V490">
        <f t="shared" si="14"/>
        <v>0.27324443087221623</v>
      </c>
      <c r="W490">
        <f t="shared" si="15"/>
        <v>0.27324443087221623</v>
      </c>
    </row>
    <row r="491" spans="21:23" x14ac:dyDescent="0.3">
      <c r="U491">
        <v>0.88</v>
      </c>
      <c r="V491">
        <f t="shared" si="14"/>
        <v>0.27086397179833799</v>
      </c>
      <c r="W491">
        <f t="shared" si="15"/>
        <v>0.27086397179833799</v>
      </c>
    </row>
    <row r="492" spans="21:23" x14ac:dyDescent="0.3">
      <c r="U492">
        <v>0.89</v>
      </c>
      <c r="V492">
        <f t="shared" si="14"/>
        <v>0.26847740179700241</v>
      </c>
      <c r="W492">
        <f t="shared" si="15"/>
        <v>0.26847740179700241</v>
      </c>
    </row>
    <row r="493" spans="21:23" x14ac:dyDescent="0.3">
      <c r="U493">
        <v>0.9</v>
      </c>
      <c r="V493">
        <f t="shared" si="14"/>
        <v>0.26608524989875482</v>
      </c>
      <c r="W493">
        <f t="shared" si="15"/>
        <v>0.26608524989875482</v>
      </c>
    </row>
    <row r="494" spans="21:23" x14ac:dyDescent="0.3">
      <c r="U494">
        <v>0.91</v>
      </c>
      <c r="V494">
        <f t="shared" si="14"/>
        <v>0.26368804211381813</v>
      </c>
      <c r="W494">
        <f t="shared" si="15"/>
        <v>0.26368804211381813</v>
      </c>
    </row>
    <row r="495" spans="21:23" x14ac:dyDescent="0.3">
      <c r="U495">
        <v>0.92</v>
      </c>
      <c r="V495">
        <f t="shared" si="14"/>
        <v>0.26128630124955315</v>
      </c>
      <c r="W495">
        <f t="shared" si="15"/>
        <v>0.26128630124955315</v>
      </c>
    </row>
    <row r="496" spans="21:23" x14ac:dyDescent="0.3">
      <c r="U496">
        <v>0.93</v>
      </c>
      <c r="V496">
        <f t="shared" si="14"/>
        <v>0.2588805467311488</v>
      </c>
      <c r="W496">
        <f t="shared" si="15"/>
        <v>0.2588805467311488</v>
      </c>
    </row>
    <row r="497" spans="21:23" x14ac:dyDescent="0.3">
      <c r="U497">
        <v>0.94</v>
      </c>
      <c r="V497">
        <f t="shared" si="14"/>
        <v>0.25647129442562033</v>
      </c>
      <c r="W497">
        <f t="shared" si="15"/>
        <v>0.25647129442562033</v>
      </c>
    </row>
    <row r="498" spans="21:23" x14ac:dyDescent="0.3">
      <c r="U498">
        <v>0.95</v>
      </c>
      <c r="V498">
        <f t="shared" si="14"/>
        <v>0.25405905646918903</v>
      </c>
      <c r="W498">
        <f t="shared" si="15"/>
        <v>0.25405905646918903</v>
      </c>
    </row>
    <row r="499" spans="21:23" x14ac:dyDescent="0.3">
      <c r="U499">
        <v>0.96</v>
      </c>
      <c r="V499">
        <f t="shared" si="14"/>
        <v>0.25164434109811712</v>
      </c>
      <c r="W499">
        <f t="shared" si="15"/>
        <v>0.25164434109811712</v>
      </c>
    </row>
    <row r="500" spans="21:23" x14ac:dyDescent="0.3">
      <c r="U500">
        <v>0.97</v>
      </c>
      <c r="V500">
        <f t="shared" si="14"/>
        <v>0.24922765248306594</v>
      </c>
      <c r="W500">
        <f t="shared" si="15"/>
        <v>0.24922765248306594</v>
      </c>
    </row>
    <row r="501" spans="21:23" x14ac:dyDescent="0.3">
      <c r="U501">
        <v>0.98</v>
      </c>
      <c r="V501">
        <f t="shared" si="14"/>
        <v>0.24680949056704274</v>
      </c>
      <c r="W501">
        <f t="shared" si="15"/>
        <v>0.24680949056704274</v>
      </c>
    </row>
    <row r="502" spans="21:23" x14ac:dyDescent="0.3">
      <c r="U502">
        <v>0.99</v>
      </c>
      <c r="V502">
        <f t="shared" si="14"/>
        <v>0.24439035090699956</v>
      </c>
      <c r="W502">
        <f t="shared" si="15"/>
        <v>0.24439035090699956</v>
      </c>
    </row>
    <row r="503" spans="21:23" x14ac:dyDescent="0.3">
      <c r="U503">
        <v>1</v>
      </c>
      <c r="V503">
        <f t="shared" si="14"/>
        <v>0.24197072451914337</v>
      </c>
      <c r="W503">
        <f t="shared" si="15"/>
        <v>0.24197072451914337</v>
      </c>
    </row>
    <row r="504" spans="21:23" x14ac:dyDescent="0.3">
      <c r="U504">
        <v>1.01</v>
      </c>
      <c r="V504">
        <f t="shared" si="14"/>
        <v>0.23955109772801336</v>
      </c>
      <c r="W504">
        <f t="shared" si="15"/>
        <v>0.23955109772801336</v>
      </c>
    </row>
    <row r="505" spans="21:23" x14ac:dyDescent="0.3">
      <c r="U505">
        <v>1.02</v>
      </c>
      <c r="V505">
        <f t="shared" si="14"/>
        <v>0.23713195201937959</v>
      </c>
      <c r="W505">
        <f t="shared" si="15"/>
        <v>0.23713195201937959</v>
      </c>
    </row>
    <row r="506" spans="21:23" x14ac:dyDescent="0.3">
      <c r="U506">
        <v>1.03</v>
      </c>
      <c r="V506">
        <f t="shared" si="14"/>
        <v>0.23471376389701182</v>
      </c>
      <c r="W506">
        <f t="shared" si="15"/>
        <v>0.23471376389701182</v>
      </c>
    </row>
    <row r="507" spans="21:23" x14ac:dyDescent="0.3">
      <c r="U507">
        <v>1.04</v>
      </c>
      <c r="V507">
        <f t="shared" si="14"/>
        <v>0.2322970047433662</v>
      </c>
      <c r="W507">
        <f t="shared" si="15"/>
        <v>0.2322970047433662</v>
      </c>
    </row>
    <row r="508" spans="21:23" x14ac:dyDescent="0.3">
      <c r="U508">
        <v>1.05</v>
      </c>
      <c r="V508">
        <f t="shared" si="14"/>
        <v>0.22988214068423302</v>
      </c>
      <c r="W508">
        <f t="shared" si="15"/>
        <v>0.22988214068423302</v>
      </c>
    </row>
    <row r="509" spans="21:23" x14ac:dyDescent="0.3">
      <c r="U509">
        <v>1.06</v>
      </c>
      <c r="V509">
        <f t="shared" si="14"/>
        <v>0.22746963245738591</v>
      </c>
      <c r="W509">
        <f t="shared" si="15"/>
        <v>0.22746963245738591</v>
      </c>
    </row>
    <row r="510" spans="21:23" x14ac:dyDescent="0.3">
      <c r="U510">
        <v>1.07</v>
      </c>
      <c r="V510">
        <f t="shared" si="14"/>
        <v>0.22505993528526966</v>
      </c>
      <c r="W510">
        <f t="shared" si="15"/>
        <v>0.22505993528526966</v>
      </c>
    </row>
    <row r="511" spans="21:23" x14ac:dyDescent="0.3">
      <c r="U511">
        <v>1.08</v>
      </c>
      <c r="V511">
        <f t="shared" si="14"/>
        <v>0.22265349875176113</v>
      </c>
      <c r="W511">
        <f t="shared" si="15"/>
        <v>0.22265349875176113</v>
      </c>
    </row>
    <row r="512" spans="21:23" x14ac:dyDescent="0.3">
      <c r="U512">
        <v>1.0900000000000001</v>
      </c>
      <c r="V512">
        <f t="shared" si="14"/>
        <v>0.22025076668303326</v>
      </c>
      <c r="W512">
        <f t="shared" si="15"/>
        <v>0.22025076668303326</v>
      </c>
    </row>
    <row r="513" spans="21:23" x14ac:dyDescent="0.3">
      <c r="U513">
        <v>1.1000000000000001</v>
      </c>
      <c r="V513">
        <f t="shared" si="14"/>
        <v>0.21785217703255053</v>
      </c>
      <c r="W513">
        <f t="shared" si="15"/>
        <v>0.21785217703255053</v>
      </c>
    </row>
    <row r="514" spans="21:23" x14ac:dyDescent="0.3">
      <c r="U514">
        <v>1.1100000000000001</v>
      </c>
      <c r="V514">
        <f t="shared" si="14"/>
        <v>0.21545816177021967</v>
      </c>
      <c r="W514">
        <f t="shared" si="15"/>
        <v>0.21545816177021967</v>
      </c>
    </row>
    <row r="515" spans="21:23" x14ac:dyDescent="0.3">
      <c r="U515">
        <v>1.1200000000000001</v>
      </c>
      <c r="V515">
        <f t="shared" si="14"/>
        <v>0.21306914677571784</v>
      </c>
      <c r="W515">
        <f t="shared" si="15"/>
        <v>0.21306914677571784</v>
      </c>
    </row>
    <row r="516" spans="21:23" x14ac:dyDescent="0.3">
      <c r="U516">
        <v>1.1299999999999999</v>
      </c>
      <c r="V516">
        <f t="shared" ref="V516:V579" si="16">_xlfn.NORM.S.DIST(U516,0)</f>
        <v>0.21068555173601533</v>
      </c>
      <c r="W516">
        <f t="shared" ref="W516:W579" si="17">IF(U516&lt;=$B$2,V516,NA())</f>
        <v>0.21068555173601533</v>
      </c>
    </row>
    <row r="517" spans="21:23" x14ac:dyDescent="0.3">
      <c r="U517">
        <v>1.1399999999999999</v>
      </c>
      <c r="V517">
        <f t="shared" si="16"/>
        <v>0.20830779004710837</v>
      </c>
      <c r="W517">
        <f t="shared" si="17"/>
        <v>0.20830779004710837</v>
      </c>
    </row>
    <row r="518" spans="21:23" x14ac:dyDescent="0.3">
      <c r="U518">
        <v>1.1499999999999999</v>
      </c>
      <c r="V518">
        <f t="shared" si="16"/>
        <v>0.20593626871997478</v>
      </c>
      <c r="W518">
        <f t="shared" si="17"/>
        <v>0.20593626871997478</v>
      </c>
    </row>
    <row r="519" spans="21:23" x14ac:dyDescent="0.3">
      <c r="U519">
        <v>1.1599999999999999</v>
      </c>
      <c r="V519">
        <f t="shared" si="16"/>
        <v>0.20357138829075944</v>
      </c>
      <c r="W519">
        <f t="shared" si="17"/>
        <v>0.20357138829075944</v>
      </c>
    </row>
    <row r="520" spans="21:23" x14ac:dyDescent="0.3">
      <c r="U520">
        <v>1.17</v>
      </c>
      <c r="V520">
        <f t="shared" si="16"/>
        <v>0.2012135427351974</v>
      </c>
      <c r="W520">
        <f t="shared" si="17"/>
        <v>0.2012135427351974</v>
      </c>
    </row>
    <row r="521" spans="21:23" x14ac:dyDescent="0.3">
      <c r="U521">
        <v>1.18</v>
      </c>
      <c r="V521">
        <f t="shared" si="16"/>
        <v>0.19886311938727591</v>
      </c>
      <c r="W521">
        <f t="shared" si="17"/>
        <v>0.19886311938727591</v>
      </c>
    </row>
    <row r="522" spans="21:23" x14ac:dyDescent="0.3">
      <c r="U522">
        <v>1.19</v>
      </c>
      <c r="V522">
        <f t="shared" si="16"/>
        <v>0.19652049886213654</v>
      </c>
      <c r="W522">
        <f t="shared" si="17"/>
        <v>0.19652049886213654</v>
      </c>
    </row>
    <row r="523" spans="21:23" x14ac:dyDescent="0.3">
      <c r="U523">
        <v>1.2</v>
      </c>
      <c r="V523">
        <f t="shared" si="16"/>
        <v>0.19418605498321295</v>
      </c>
      <c r="W523">
        <f t="shared" si="17"/>
        <v>0.19418605498321295</v>
      </c>
    </row>
    <row r="524" spans="21:23" x14ac:dyDescent="0.3">
      <c r="U524">
        <v>1.21</v>
      </c>
      <c r="V524">
        <f t="shared" si="16"/>
        <v>0.19186015471359938</v>
      </c>
      <c r="W524">
        <f t="shared" si="17"/>
        <v>0.19186015471359938</v>
      </c>
    </row>
    <row r="525" spans="21:23" x14ac:dyDescent="0.3">
      <c r="U525">
        <v>1.22</v>
      </c>
      <c r="V525">
        <f t="shared" si="16"/>
        <v>0.18954315809164024</v>
      </c>
      <c r="W525">
        <f t="shared" si="17"/>
        <v>0.18954315809164024</v>
      </c>
    </row>
    <row r="526" spans="21:23" x14ac:dyDescent="0.3">
      <c r="U526">
        <v>1.23</v>
      </c>
      <c r="V526">
        <f t="shared" si="16"/>
        <v>0.18723541817072956</v>
      </c>
      <c r="W526">
        <f t="shared" si="17"/>
        <v>0.18723541817072956</v>
      </c>
    </row>
    <row r="527" spans="21:23" x14ac:dyDescent="0.3">
      <c r="U527">
        <v>1.24</v>
      </c>
      <c r="V527">
        <f t="shared" si="16"/>
        <v>0.18493728096330531</v>
      </c>
      <c r="W527">
        <f t="shared" si="17"/>
        <v>0.18493728096330531</v>
      </c>
    </row>
    <row r="528" spans="21:23" x14ac:dyDescent="0.3">
      <c r="U528">
        <v>1.25</v>
      </c>
      <c r="V528">
        <f t="shared" si="16"/>
        <v>0.18264908538902191</v>
      </c>
      <c r="W528">
        <f t="shared" si="17"/>
        <v>0.18264908538902191</v>
      </c>
    </row>
    <row r="529" spans="21:23" x14ac:dyDescent="0.3">
      <c r="U529">
        <v>1.26</v>
      </c>
      <c r="V529">
        <f t="shared" si="16"/>
        <v>0.18037116322708033</v>
      </c>
      <c r="W529">
        <f t="shared" si="17"/>
        <v>0.18037116322708033</v>
      </c>
    </row>
    <row r="530" spans="21:23" x14ac:dyDescent="0.3">
      <c r="U530">
        <v>1.27</v>
      </c>
      <c r="V530">
        <f t="shared" si="16"/>
        <v>0.17810383907269359</v>
      </c>
      <c r="W530">
        <f t="shared" si="17"/>
        <v>0.17810383907269359</v>
      </c>
    </row>
    <row r="531" spans="21:23" x14ac:dyDescent="0.3">
      <c r="U531">
        <v>1.28</v>
      </c>
      <c r="V531">
        <f t="shared" si="16"/>
        <v>0.17584743029766237</v>
      </c>
      <c r="W531">
        <f t="shared" si="17"/>
        <v>0.17584743029766237</v>
      </c>
    </row>
    <row r="532" spans="21:23" x14ac:dyDescent="0.3">
      <c r="U532">
        <v>1.29</v>
      </c>
      <c r="V532">
        <f t="shared" si="16"/>
        <v>0.17360224701503299</v>
      </c>
      <c r="W532">
        <f t="shared" si="17"/>
        <v>0.17360224701503299</v>
      </c>
    </row>
    <row r="533" spans="21:23" x14ac:dyDescent="0.3">
      <c r="U533">
        <v>1.3</v>
      </c>
      <c r="V533">
        <f t="shared" si="16"/>
        <v>0.17136859204780736</v>
      </c>
      <c r="W533">
        <f t="shared" si="17"/>
        <v>0.17136859204780736</v>
      </c>
    </row>
    <row r="534" spans="21:23" x14ac:dyDescent="0.3">
      <c r="U534">
        <v>1.31</v>
      </c>
      <c r="V534">
        <f t="shared" si="16"/>
        <v>0.16914676090167238</v>
      </c>
      <c r="W534">
        <f t="shared" si="17"/>
        <v>0.16914676090167238</v>
      </c>
    </row>
    <row r="535" spans="21:23" x14ac:dyDescent="0.3">
      <c r="U535">
        <v>1.32</v>
      </c>
      <c r="V535">
        <f t="shared" si="16"/>
        <v>0.16693704174171381</v>
      </c>
      <c r="W535">
        <f t="shared" si="17"/>
        <v>0.16693704174171381</v>
      </c>
    </row>
    <row r="536" spans="21:23" x14ac:dyDescent="0.3">
      <c r="U536">
        <v>1.33</v>
      </c>
      <c r="V536">
        <f t="shared" si="16"/>
        <v>0.1647397153730768</v>
      </c>
      <c r="W536">
        <f t="shared" si="17"/>
        <v>0.1647397153730768</v>
      </c>
    </row>
    <row r="537" spans="21:23" x14ac:dyDescent="0.3">
      <c r="U537">
        <v>1.34</v>
      </c>
      <c r="V537">
        <f t="shared" si="16"/>
        <v>0.16255505522553412</v>
      </c>
      <c r="W537">
        <f t="shared" si="17"/>
        <v>0.16255505522553412</v>
      </c>
    </row>
    <row r="538" spans="21:23" x14ac:dyDescent="0.3">
      <c r="U538">
        <v>1.35</v>
      </c>
      <c r="V538">
        <f t="shared" si="16"/>
        <v>0.1603833273419196</v>
      </c>
      <c r="W538">
        <f t="shared" si="17"/>
        <v>0.1603833273419196</v>
      </c>
    </row>
    <row r="539" spans="21:23" x14ac:dyDescent="0.3">
      <c r="U539">
        <v>1.36</v>
      </c>
      <c r="V539">
        <f t="shared" si="16"/>
        <v>0.15822479037038303</v>
      </c>
      <c r="W539">
        <f t="shared" si="17"/>
        <v>0.15822479037038303</v>
      </c>
    </row>
    <row r="540" spans="21:23" x14ac:dyDescent="0.3">
      <c r="U540">
        <v>1.37</v>
      </c>
      <c r="V540">
        <f t="shared" si="16"/>
        <v>0.15607969556042084</v>
      </c>
      <c r="W540">
        <f t="shared" si="17"/>
        <v>0.15607969556042084</v>
      </c>
    </row>
    <row r="541" spans="21:23" x14ac:dyDescent="0.3">
      <c r="U541">
        <v>1.38</v>
      </c>
      <c r="V541">
        <f t="shared" si="16"/>
        <v>0.15394828676263372</v>
      </c>
      <c r="W541">
        <f t="shared" si="17"/>
        <v>0.15394828676263372</v>
      </c>
    </row>
    <row r="542" spans="21:23" x14ac:dyDescent="0.3">
      <c r="U542">
        <v>1.39</v>
      </c>
      <c r="V542">
        <f t="shared" si="16"/>
        <v>0.15183080043216168</v>
      </c>
      <c r="W542">
        <f t="shared" si="17"/>
        <v>0.15183080043216168</v>
      </c>
    </row>
    <row r="543" spans="21:23" x14ac:dyDescent="0.3">
      <c r="U543">
        <v>1.4</v>
      </c>
      <c r="V543">
        <f t="shared" si="16"/>
        <v>0.14972746563574488</v>
      </c>
      <c r="W543">
        <f t="shared" si="17"/>
        <v>0.14972746563574488</v>
      </c>
    </row>
    <row r="544" spans="21:23" x14ac:dyDescent="0.3">
      <c r="U544">
        <v>1.41</v>
      </c>
      <c r="V544">
        <f t="shared" si="16"/>
        <v>0.14763850406235574</v>
      </c>
      <c r="W544">
        <f t="shared" si="17"/>
        <v>0.14763850406235574</v>
      </c>
    </row>
    <row r="545" spans="21:23" x14ac:dyDescent="0.3">
      <c r="U545">
        <v>1.42</v>
      </c>
      <c r="V545">
        <f t="shared" si="16"/>
        <v>0.14556413003734761</v>
      </c>
      <c r="W545">
        <f t="shared" si="17"/>
        <v>0.14556413003734761</v>
      </c>
    </row>
    <row r="546" spans="21:23" x14ac:dyDescent="0.3">
      <c r="U546">
        <v>1.43</v>
      </c>
      <c r="V546">
        <f t="shared" si="16"/>
        <v>0.14350455054006242</v>
      </c>
      <c r="W546">
        <f t="shared" si="17"/>
        <v>0.14350455054006242</v>
      </c>
    </row>
    <row r="547" spans="21:23" x14ac:dyDescent="0.3">
      <c r="U547">
        <v>1.44</v>
      </c>
      <c r="V547">
        <f t="shared" si="16"/>
        <v>0.14145996522483878</v>
      </c>
      <c r="W547">
        <f t="shared" si="17"/>
        <v>0.14145996522483878</v>
      </c>
    </row>
    <row r="548" spans="21:23" x14ac:dyDescent="0.3">
      <c r="U548">
        <v>1.45</v>
      </c>
      <c r="V548">
        <f t="shared" si="16"/>
        <v>0.13943056644536028</v>
      </c>
      <c r="W548">
        <f t="shared" si="17"/>
        <v>0.13943056644536028</v>
      </c>
    </row>
    <row r="549" spans="21:23" x14ac:dyDescent="0.3">
      <c r="U549">
        <v>1.46</v>
      </c>
      <c r="V549">
        <f t="shared" si="16"/>
        <v>0.13741653928228179</v>
      </c>
      <c r="W549">
        <f t="shared" si="17"/>
        <v>0.13741653928228179</v>
      </c>
    </row>
    <row r="550" spans="21:23" x14ac:dyDescent="0.3">
      <c r="U550">
        <v>1.47</v>
      </c>
      <c r="V550">
        <f t="shared" si="16"/>
        <v>0.1354180615740713</v>
      </c>
      <c r="W550">
        <f t="shared" si="17"/>
        <v>0.1354180615740713</v>
      </c>
    </row>
    <row r="551" spans="21:23" x14ac:dyDescent="0.3">
      <c r="U551">
        <v>1.48</v>
      </c>
      <c r="V551">
        <f t="shared" si="16"/>
        <v>0.13343530395100231</v>
      </c>
      <c r="W551">
        <f t="shared" si="17"/>
        <v>0.13343530395100231</v>
      </c>
    </row>
    <row r="552" spans="21:23" x14ac:dyDescent="0.3">
      <c r="U552">
        <v>1.49</v>
      </c>
      <c r="V552">
        <f t="shared" si="16"/>
        <v>0.13146842987223104</v>
      </c>
      <c r="W552">
        <f t="shared" si="17"/>
        <v>0.13146842987223104</v>
      </c>
    </row>
    <row r="553" spans="21:23" x14ac:dyDescent="0.3">
      <c r="U553">
        <v>1.5</v>
      </c>
      <c r="V553">
        <f t="shared" si="16"/>
        <v>0.12951759566589174</v>
      </c>
      <c r="W553">
        <f t="shared" si="17"/>
        <v>0.12951759566589174</v>
      </c>
    </row>
    <row r="554" spans="21:23" x14ac:dyDescent="0.3">
      <c r="U554">
        <v>1.51</v>
      </c>
      <c r="V554">
        <f t="shared" si="16"/>
        <v>0.12758295057214186</v>
      </c>
      <c r="W554">
        <f t="shared" si="17"/>
        <v>0.12758295057214186</v>
      </c>
    </row>
    <row r="555" spans="21:23" x14ac:dyDescent="0.3">
      <c r="U555">
        <v>1.52</v>
      </c>
      <c r="V555">
        <f t="shared" si="16"/>
        <v>0.12566463678908815</v>
      </c>
      <c r="W555">
        <f t="shared" si="17"/>
        <v>0.12566463678908815</v>
      </c>
    </row>
    <row r="556" spans="21:23" x14ac:dyDescent="0.3">
      <c r="U556">
        <v>1.53</v>
      </c>
      <c r="V556">
        <f t="shared" si="16"/>
        <v>0.12376278952152313</v>
      </c>
      <c r="W556">
        <f t="shared" si="17"/>
        <v>0.12376278952152313</v>
      </c>
    </row>
    <row r="557" spans="21:23" x14ac:dyDescent="0.3">
      <c r="U557">
        <v>1.54</v>
      </c>
      <c r="V557">
        <f t="shared" si="16"/>
        <v>0.12187753703240178</v>
      </c>
      <c r="W557">
        <f t="shared" si="17"/>
        <v>0.12187753703240178</v>
      </c>
    </row>
    <row r="558" spans="21:23" x14ac:dyDescent="0.3">
      <c r="U558">
        <v>1.55</v>
      </c>
      <c r="V558">
        <f t="shared" si="16"/>
        <v>0.12000900069698558</v>
      </c>
      <c r="W558">
        <f t="shared" si="17"/>
        <v>0.12000900069698558</v>
      </c>
    </row>
    <row r="559" spans="21:23" x14ac:dyDescent="0.3">
      <c r="U559">
        <v>1.56</v>
      </c>
      <c r="V559">
        <f t="shared" si="16"/>
        <v>0.11815729505958227</v>
      </c>
      <c r="W559">
        <f t="shared" si="17"/>
        <v>0.11815729505958227</v>
      </c>
    </row>
    <row r="560" spans="21:23" x14ac:dyDescent="0.3">
      <c r="U560">
        <v>1.57</v>
      </c>
      <c r="V560">
        <f t="shared" si="16"/>
        <v>0.11632252789280709</v>
      </c>
      <c r="W560">
        <f t="shared" si="17"/>
        <v>0.11632252789280709</v>
      </c>
    </row>
    <row r="561" spans="21:23" x14ac:dyDescent="0.3">
      <c r="U561">
        <v>1.58</v>
      </c>
      <c r="V561">
        <f t="shared" si="16"/>
        <v>0.11450480025929236</v>
      </c>
      <c r="W561">
        <f t="shared" si="17"/>
        <v>0.11450480025929236</v>
      </c>
    </row>
    <row r="562" spans="21:23" x14ac:dyDescent="0.3">
      <c r="U562">
        <v>1.59</v>
      </c>
      <c r="V562">
        <f t="shared" si="16"/>
        <v>0.11270420657577056</v>
      </c>
      <c r="W562">
        <f t="shared" si="17"/>
        <v>0.11270420657577056</v>
      </c>
    </row>
    <row r="563" spans="21:23" x14ac:dyDescent="0.3">
      <c r="U563">
        <v>1.6</v>
      </c>
      <c r="V563">
        <f t="shared" si="16"/>
        <v>0.11092083467945554</v>
      </c>
      <c r="W563">
        <f t="shared" si="17"/>
        <v>0.11092083467945554</v>
      </c>
    </row>
    <row r="564" spans="21:23" x14ac:dyDescent="0.3">
      <c r="U564">
        <v>1.61</v>
      </c>
      <c r="V564">
        <f t="shared" si="16"/>
        <v>0.10915476589664735</v>
      </c>
      <c r="W564">
        <f t="shared" si="17"/>
        <v>0.10915476589664735</v>
      </c>
    </row>
    <row r="565" spans="21:23" x14ac:dyDescent="0.3">
      <c r="U565">
        <v>1.62</v>
      </c>
      <c r="V565">
        <f t="shared" si="16"/>
        <v>0.1074060751134838</v>
      </c>
      <c r="W565">
        <f t="shared" si="17"/>
        <v>0.1074060751134838</v>
      </c>
    </row>
    <row r="566" spans="21:23" x14ac:dyDescent="0.3">
      <c r="U566">
        <v>1.63</v>
      </c>
      <c r="V566">
        <f t="shared" si="16"/>
        <v>0.10567483084876363</v>
      </c>
      <c r="W566">
        <f t="shared" si="17"/>
        <v>0.10567483084876363</v>
      </c>
    </row>
    <row r="567" spans="21:23" x14ac:dyDescent="0.3">
      <c r="U567">
        <v>1.64</v>
      </c>
      <c r="V567">
        <f t="shared" si="16"/>
        <v>0.10396109532876423</v>
      </c>
      <c r="W567">
        <f t="shared" si="17"/>
        <v>0.10396109532876423</v>
      </c>
    </row>
    <row r="568" spans="21:23" x14ac:dyDescent="0.3">
      <c r="U568">
        <v>1.65</v>
      </c>
      <c r="V568">
        <f t="shared" si="16"/>
        <v>0.10226492456397804</v>
      </c>
      <c r="W568" t="e">
        <f t="shared" si="17"/>
        <v>#N/A</v>
      </c>
    </row>
    <row r="569" spans="21:23" x14ac:dyDescent="0.3">
      <c r="U569">
        <v>1.66</v>
      </c>
      <c r="V569">
        <f t="shared" si="16"/>
        <v>0.10058636842769057</v>
      </c>
      <c r="W569" t="e">
        <f t="shared" si="17"/>
        <v>#N/A</v>
      </c>
    </row>
    <row r="570" spans="21:23" x14ac:dyDescent="0.3">
      <c r="U570">
        <v>1.67</v>
      </c>
      <c r="V570">
        <f t="shared" si="16"/>
        <v>9.8925470736323712E-2</v>
      </c>
      <c r="W570" t="e">
        <f t="shared" si="17"/>
        <v>#N/A</v>
      </c>
    </row>
    <row r="571" spans="21:23" x14ac:dyDescent="0.3">
      <c r="U571">
        <v>1.68</v>
      </c>
      <c r="V571">
        <f t="shared" si="16"/>
        <v>9.7282269331467511E-2</v>
      </c>
      <c r="W571" t="e">
        <f t="shared" si="17"/>
        <v>#N/A</v>
      </c>
    </row>
    <row r="572" spans="21:23" x14ac:dyDescent="0.3">
      <c r="U572">
        <v>1.69</v>
      </c>
      <c r="V572">
        <f t="shared" si="16"/>
        <v>9.5656796163524016E-2</v>
      </c>
      <c r="W572" t="e">
        <f t="shared" si="17"/>
        <v>#N/A</v>
      </c>
    </row>
    <row r="573" spans="21:23" x14ac:dyDescent="0.3">
      <c r="U573">
        <v>1.7</v>
      </c>
      <c r="V573">
        <f t="shared" si="16"/>
        <v>9.4049077376886947E-2</v>
      </c>
      <c r="W573" t="e">
        <f t="shared" si="17"/>
        <v>#N/A</v>
      </c>
    </row>
    <row r="574" spans="21:23" x14ac:dyDescent="0.3">
      <c r="U574">
        <v>1.71</v>
      </c>
      <c r="V574">
        <f t="shared" si="16"/>
        <v>9.2459133396580684E-2</v>
      </c>
      <c r="W574" t="e">
        <f t="shared" si="17"/>
        <v>#N/A</v>
      </c>
    </row>
    <row r="575" spans="21:23" x14ac:dyDescent="0.3">
      <c r="U575">
        <v>1.72</v>
      </c>
      <c r="V575">
        <f t="shared" si="16"/>
        <v>9.0886979016282871E-2</v>
      </c>
      <c r="W575" t="e">
        <f t="shared" si="17"/>
        <v>#N/A</v>
      </c>
    </row>
    <row r="576" spans="21:23" x14ac:dyDescent="0.3">
      <c r="U576">
        <v>1.73</v>
      </c>
      <c r="V576">
        <f t="shared" si="16"/>
        <v>8.9332623487655E-2</v>
      </c>
      <c r="W576" t="e">
        <f t="shared" si="17"/>
        <v>#N/A</v>
      </c>
    </row>
    <row r="577" spans="21:23" x14ac:dyDescent="0.3">
      <c r="U577">
        <v>1.74</v>
      </c>
      <c r="V577">
        <f t="shared" si="16"/>
        <v>8.7796070610905622E-2</v>
      </c>
      <c r="W577" t="e">
        <f t="shared" si="17"/>
        <v>#N/A</v>
      </c>
    </row>
    <row r="578" spans="21:23" x14ac:dyDescent="0.3">
      <c r="U578">
        <v>1.75</v>
      </c>
      <c r="V578">
        <f t="shared" si="16"/>
        <v>8.6277318826511532E-2</v>
      </c>
      <c r="W578" t="e">
        <f t="shared" si="17"/>
        <v>#N/A</v>
      </c>
    </row>
    <row r="579" spans="21:23" x14ac:dyDescent="0.3">
      <c r="U579">
        <v>1.76</v>
      </c>
      <c r="V579">
        <f t="shared" si="16"/>
        <v>8.4776361308022227E-2</v>
      </c>
      <c r="W579" t="e">
        <f t="shared" si="17"/>
        <v>#N/A</v>
      </c>
    </row>
    <row r="580" spans="21:23" x14ac:dyDescent="0.3">
      <c r="U580">
        <v>1.77</v>
      </c>
      <c r="V580">
        <f t="shared" ref="V580:V643" si="18">_xlfn.NORM.S.DIST(U580,0)</f>
        <v>8.3293186055874463E-2</v>
      </c>
      <c r="W580" t="e">
        <f t="shared" ref="W580:W643" si="19">IF(U580&lt;=$B$2,V580,NA())</f>
        <v>#N/A</v>
      </c>
    </row>
    <row r="581" spans="21:23" x14ac:dyDescent="0.3">
      <c r="U581">
        <v>1.78</v>
      </c>
      <c r="V581">
        <f t="shared" si="18"/>
        <v>8.1827775992142804E-2</v>
      </c>
      <c r="W581" t="e">
        <f t="shared" si="19"/>
        <v>#N/A</v>
      </c>
    </row>
    <row r="582" spans="21:23" x14ac:dyDescent="0.3">
      <c r="U582">
        <v>1.79</v>
      </c>
      <c r="V582">
        <f t="shared" si="18"/>
        <v>8.038010905615417E-2</v>
      </c>
      <c r="W582" t="e">
        <f t="shared" si="19"/>
        <v>#N/A</v>
      </c>
    </row>
    <row r="583" spans="21:23" x14ac:dyDescent="0.3">
      <c r="U583">
        <v>1.8</v>
      </c>
      <c r="V583">
        <f t="shared" si="18"/>
        <v>7.8950158300894149E-2</v>
      </c>
      <c r="W583" t="e">
        <f t="shared" si="19"/>
        <v>#N/A</v>
      </c>
    </row>
    <row r="584" spans="21:23" x14ac:dyDescent="0.3">
      <c r="U584">
        <v>1.81</v>
      </c>
      <c r="V584">
        <f t="shared" si="18"/>
        <v>7.7537891990133986E-2</v>
      </c>
      <c r="W584" t="e">
        <f t="shared" si="19"/>
        <v>#N/A</v>
      </c>
    </row>
    <row r="585" spans="21:23" x14ac:dyDescent="0.3">
      <c r="U585">
        <v>1.82</v>
      </c>
      <c r="V585">
        <f t="shared" si="18"/>
        <v>7.6143273696207311E-2</v>
      </c>
      <c r="W585" t="e">
        <f t="shared" si="19"/>
        <v>#N/A</v>
      </c>
    </row>
    <row r="586" spans="21:23" x14ac:dyDescent="0.3">
      <c r="U586">
        <v>1.83</v>
      </c>
      <c r="V586">
        <f t="shared" si="18"/>
        <v>7.4766262398367603E-2</v>
      </c>
      <c r="W586" t="e">
        <f t="shared" si="19"/>
        <v>#N/A</v>
      </c>
    </row>
    <row r="587" spans="21:23" x14ac:dyDescent="0.3">
      <c r="U587">
        <v>1.84</v>
      </c>
      <c r="V587">
        <f t="shared" si="18"/>
        <v>7.3406812581656891E-2</v>
      </c>
      <c r="W587" t="e">
        <f t="shared" si="19"/>
        <v>#N/A</v>
      </c>
    </row>
    <row r="588" spans="21:23" x14ac:dyDescent="0.3">
      <c r="U588">
        <v>1.85</v>
      </c>
      <c r="V588">
        <f t="shared" si="18"/>
        <v>7.2064874336217985E-2</v>
      </c>
      <c r="W588" t="e">
        <f t="shared" si="19"/>
        <v>#N/A</v>
      </c>
    </row>
    <row r="589" spans="21:23" x14ac:dyDescent="0.3">
      <c r="U589">
        <v>1.86</v>
      </c>
      <c r="V589">
        <f t="shared" si="18"/>
        <v>7.074039345698338E-2</v>
      </c>
      <c r="W589" t="e">
        <f t="shared" si="19"/>
        <v>#N/A</v>
      </c>
    </row>
    <row r="590" spans="21:23" x14ac:dyDescent="0.3">
      <c r="U590">
        <v>1.87</v>
      </c>
      <c r="V590">
        <f t="shared" si="18"/>
        <v>6.9433311543674187E-2</v>
      </c>
      <c r="W590" t="e">
        <f t="shared" si="19"/>
        <v>#N/A</v>
      </c>
    </row>
    <row r="591" spans="21:23" x14ac:dyDescent="0.3">
      <c r="U591">
        <v>1.88</v>
      </c>
      <c r="V591">
        <f t="shared" si="18"/>
        <v>6.8143566101044578E-2</v>
      </c>
      <c r="W591" t="e">
        <f t="shared" si="19"/>
        <v>#N/A</v>
      </c>
    </row>
    <row r="592" spans="21:23" x14ac:dyDescent="0.3">
      <c r="U592">
        <v>1.89</v>
      </c>
      <c r="V592">
        <f t="shared" si="18"/>
        <v>6.6871090639307157E-2</v>
      </c>
      <c r="W592" t="e">
        <f t="shared" si="19"/>
        <v>#N/A</v>
      </c>
    </row>
    <row r="593" spans="21:23" x14ac:dyDescent="0.3">
      <c r="U593">
        <v>1.9</v>
      </c>
      <c r="V593">
        <f t="shared" si="18"/>
        <v>6.5615814774676595E-2</v>
      </c>
      <c r="W593" t="e">
        <f t="shared" si="19"/>
        <v>#N/A</v>
      </c>
    </row>
    <row r="594" spans="21:23" x14ac:dyDescent="0.3">
      <c r="U594">
        <v>1.91</v>
      </c>
      <c r="V594">
        <f t="shared" si="18"/>
        <v>6.4377664329969359E-2</v>
      </c>
      <c r="W594" t="e">
        <f t="shared" si="19"/>
        <v>#N/A</v>
      </c>
    </row>
    <row r="595" spans="21:23" x14ac:dyDescent="0.3">
      <c r="U595">
        <v>1.92</v>
      </c>
      <c r="V595">
        <f t="shared" si="18"/>
        <v>6.3156561435198655E-2</v>
      </c>
      <c r="W595" t="e">
        <f t="shared" si="19"/>
        <v>#N/A</v>
      </c>
    </row>
    <row r="596" spans="21:23" x14ac:dyDescent="0.3">
      <c r="U596">
        <v>1.93</v>
      </c>
      <c r="V596">
        <f t="shared" si="18"/>
        <v>6.1952424628105164E-2</v>
      </c>
      <c r="W596" t="e">
        <f t="shared" si="19"/>
        <v>#N/A</v>
      </c>
    </row>
    <row r="597" spans="21:23" x14ac:dyDescent="0.3">
      <c r="U597">
        <v>1.94</v>
      </c>
      <c r="V597">
        <f t="shared" si="18"/>
        <v>6.0765168954564776E-2</v>
      </c>
      <c r="W597" t="e">
        <f t="shared" si="19"/>
        <v>#N/A</v>
      </c>
    </row>
    <row r="598" spans="21:23" x14ac:dyDescent="0.3">
      <c r="U598">
        <v>1.95</v>
      </c>
      <c r="V598">
        <f t="shared" si="18"/>
        <v>5.9594706068816075E-2</v>
      </c>
      <c r="W598" t="e">
        <f t="shared" si="19"/>
        <v>#N/A</v>
      </c>
    </row>
    <row r="599" spans="21:23" x14ac:dyDescent="0.3">
      <c r="U599">
        <v>1.96</v>
      </c>
      <c r="V599">
        <f t="shared" si="18"/>
        <v>5.8440944333451469E-2</v>
      </c>
      <c r="W599" t="e">
        <f t="shared" si="19"/>
        <v>#N/A</v>
      </c>
    </row>
    <row r="600" spans="21:23" x14ac:dyDescent="0.3">
      <c r="U600">
        <v>1.97</v>
      </c>
      <c r="V600">
        <f t="shared" si="18"/>
        <v>5.7303788919117131E-2</v>
      </c>
      <c r="W600" t="e">
        <f t="shared" si="19"/>
        <v>#N/A</v>
      </c>
    </row>
    <row r="601" spans="21:23" x14ac:dyDescent="0.3">
      <c r="U601">
        <v>1.98</v>
      </c>
      <c r="V601">
        <f t="shared" si="18"/>
        <v>5.6183141903868049E-2</v>
      </c>
      <c r="W601" t="e">
        <f t="shared" si="19"/>
        <v>#N/A</v>
      </c>
    </row>
    <row r="602" spans="21:23" x14ac:dyDescent="0.3">
      <c r="U602">
        <v>1.99</v>
      </c>
      <c r="V602">
        <f t="shared" si="18"/>
        <v>5.5078902372125767E-2</v>
      </c>
      <c r="W602" t="e">
        <f t="shared" si="19"/>
        <v>#N/A</v>
      </c>
    </row>
    <row r="603" spans="21:23" x14ac:dyDescent="0.3">
      <c r="U603">
        <v>2</v>
      </c>
      <c r="V603">
        <f t="shared" si="18"/>
        <v>5.3990966513188063E-2</v>
      </c>
      <c r="W603" t="e">
        <f t="shared" si="19"/>
        <v>#N/A</v>
      </c>
    </row>
    <row r="604" spans="21:23" x14ac:dyDescent="0.3">
      <c r="U604">
        <v>2.0099999999999998</v>
      </c>
      <c r="V604">
        <f t="shared" si="18"/>
        <v>5.2919227719240312E-2</v>
      </c>
      <c r="W604" t="e">
        <f t="shared" si="19"/>
        <v>#N/A</v>
      </c>
    </row>
    <row r="605" spans="21:23" x14ac:dyDescent="0.3">
      <c r="U605">
        <v>2.02</v>
      </c>
      <c r="V605">
        <f t="shared" si="18"/>
        <v>5.1863576682820565E-2</v>
      </c>
      <c r="W605" t="e">
        <f t="shared" si="19"/>
        <v>#N/A</v>
      </c>
    </row>
    <row r="606" spans="21:23" x14ac:dyDescent="0.3">
      <c r="U606">
        <v>2.0299999999999998</v>
      </c>
      <c r="V606">
        <f t="shared" si="18"/>
        <v>5.0823901493691204E-2</v>
      </c>
      <c r="W606" t="e">
        <f t="shared" si="19"/>
        <v>#N/A</v>
      </c>
    </row>
    <row r="607" spans="21:23" x14ac:dyDescent="0.3">
      <c r="U607">
        <v>2.04</v>
      </c>
      <c r="V607">
        <f t="shared" si="18"/>
        <v>4.9800087735070775E-2</v>
      </c>
      <c r="W607" t="e">
        <f t="shared" si="19"/>
        <v>#N/A</v>
      </c>
    </row>
    <row r="608" spans="21:23" x14ac:dyDescent="0.3">
      <c r="U608">
        <v>2.0499999999999998</v>
      </c>
      <c r="V608">
        <f t="shared" si="18"/>
        <v>4.8792018579182764E-2</v>
      </c>
      <c r="W608" t="e">
        <f t="shared" si="19"/>
        <v>#N/A</v>
      </c>
    </row>
    <row r="609" spans="21:23" x14ac:dyDescent="0.3">
      <c r="U609">
        <v>2.06</v>
      </c>
      <c r="V609">
        <f t="shared" si="18"/>
        <v>4.7799574882077034E-2</v>
      </c>
      <c r="W609" t="e">
        <f t="shared" si="19"/>
        <v>#N/A</v>
      </c>
    </row>
    <row r="610" spans="21:23" x14ac:dyDescent="0.3">
      <c r="U610">
        <v>2.0699999999999998</v>
      </c>
      <c r="V610">
        <f t="shared" si="18"/>
        <v>4.6822635277683163E-2</v>
      </c>
      <c r="W610" t="e">
        <f t="shared" si="19"/>
        <v>#N/A</v>
      </c>
    </row>
    <row r="611" spans="21:23" x14ac:dyDescent="0.3">
      <c r="U611">
        <v>2.08</v>
      </c>
      <c r="V611">
        <f t="shared" si="18"/>
        <v>4.5861076271054887E-2</v>
      </c>
      <c r="W611" t="e">
        <f t="shared" si="19"/>
        <v>#N/A</v>
      </c>
    </row>
    <row r="612" spans="21:23" x14ac:dyDescent="0.3">
      <c r="U612">
        <v>2.09</v>
      </c>
      <c r="V612">
        <f t="shared" si="18"/>
        <v>4.49147723307671E-2</v>
      </c>
      <c r="W612" t="e">
        <f t="shared" si="19"/>
        <v>#N/A</v>
      </c>
    </row>
    <row r="613" spans="21:23" x14ac:dyDescent="0.3">
      <c r="U613">
        <v>2.1</v>
      </c>
      <c r="V613">
        <f t="shared" si="18"/>
        <v>4.3983595980427191E-2</v>
      </c>
      <c r="W613" t="e">
        <f t="shared" si="19"/>
        <v>#N/A</v>
      </c>
    </row>
    <row r="614" spans="21:23" x14ac:dyDescent="0.3">
      <c r="U614">
        <v>2.11</v>
      </c>
      <c r="V614">
        <f t="shared" si="18"/>
        <v>4.3067417889265734E-2</v>
      </c>
      <c r="W614" t="e">
        <f t="shared" si="19"/>
        <v>#N/A</v>
      </c>
    </row>
    <row r="615" spans="21:23" x14ac:dyDescent="0.3">
      <c r="U615">
        <v>2.12</v>
      </c>
      <c r="V615">
        <f t="shared" si="18"/>
        <v>4.2166106961770311E-2</v>
      </c>
      <c r="W615" t="e">
        <f t="shared" si="19"/>
        <v>#N/A</v>
      </c>
    </row>
    <row r="616" spans="21:23" x14ac:dyDescent="0.3">
      <c r="U616">
        <v>2.13</v>
      </c>
      <c r="V616">
        <f t="shared" si="18"/>
        <v>4.1279530426330417E-2</v>
      </c>
      <c r="W616" t="e">
        <f t="shared" si="19"/>
        <v>#N/A</v>
      </c>
    </row>
    <row r="617" spans="21:23" x14ac:dyDescent="0.3">
      <c r="U617">
        <v>2.14</v>
      </c>
      <c r="V617">
        <f t="shared" si="18"/>
        <v>4.0407553922860308E-2</v>
      </c>
      <c r="W617" t="e">
        <f t="shared" si="19"/>
        <v>#N/A</v>
      </c>
    </row>
    <row r="618" spans="21:23" x14ac:dyDescent="0.3">
      <c r="U618">
        <v>2.15</v>
      </c>
      <c r="V618">
        <f t="shared" si="18"/>
        <v>3.955004158937022E-2</v>
      </c>
      <c r="W618" t="e">
        <f t="shared" si="19"/>
        <v>#N/A</v>
      </c>
    </row>
    <row r="619" spans="21:23" x14ac:dyDescent="0.3">
      <c r="U619">
        <v>2.16</v>
      </c>
      <c r="V619">
        <f t="shared" si="18"/>
        <v>3.8706856147455608E-2</v>
      </c>
      <c r="W619" t="e">
        <f t="shared" si="19"/>
        <v>#N/A</v>
      </c>
    </row>
    <row r="620" spans="21:23" x14ac:dyDescent="0.3">
      <c r="U620">
        <v>2.17</v>
      </c>
      <c r="V620">
        <f t="shared" si="18"/>
        <v>3.7877858986677483E-2</v>
      </c>
      <c r="W620" t="e">
        <f t="shared" si="19"/>
        <v>#N/A</v>
      </c>
    </row>
    <row r="621" spans="21:23" x14ac:dyDescent="0.3">
      <c r="U621">
        <v>2.1800000000000002</v>
      </c>
      <c r="V621">
        <f t="shared" si="18"/>
        <v>3.7062910247806474E-2</v>
      </c>
      <c r="W621" t="e">
        <f t="shared" si="19"/>
        <v>#N/A</v>
      </c>
    </row>
    <row r="622" spans="21:23" x14ac:dyDescent="0.3">
      <c r="U622">
        <v>2.19</v>
      </c>
      <c r="V622">
        <f t="shared" si="18"/>
        <v>3.6261868904906222E-2</v>
      </c>
      <c r="W622" t="e">
        <f t="shared" si="19"/>
        <v>#N/A</v>
      </c>
    </row>
    <row r="623" spans="21:23" x14ac:dyDescent="0.3">
      <c r="U623">
        <v>2.2000000000000002</v>
      </c>
      <c r="V623">
        <f t="shared" si="18"/>
        <v>3.5474592846231424E-2</v>
      </c>
      <c r="W623" t="e">
        <f t="shared" si="19"/>
        <v>#N/A</v>
      </c>
    </row>
    <row r="624" spans="21:23" x14ac:dyDescent="0.3">
      <c r="U624">
        <v>2.21</v>
      </c>
      <c r="V624">
        <f t="shared" si="18"/>
        <v>3.470093895391882E-2</v>
      </c>
      <c r="W624" t="e">
        <f t="shared" si="19"/>
        <v>#N/A</v>
      </c>
    </row>
    <row r="625" spans="21:23" x14ac:dyDescent="0.3">
      <c r="U625">
        <v>2.2200000000000002</v>
      </c>
      <c r="V625">
        <f t="shared" si="18"/>
        <v>3.3940763182449186E-2</v>
      </c>
      <c r="W625" t="e">
        <f t="shared" si="19"/>
        <v>#N/A</v>
      </c>
    </row>
    <row r="626" spans="21:23" x14ac:dyDescent="0.3">
      <c r="U626">
        <v>2.23</v>
      </c>
      <c r="V626">
        <f t="shared" si="18"/>
        <v>3.3193920635861122E-2</v>
      </c>
      <c r="W626" t="e">
        <f t="shared" si="19"/>
        <v>#N/A</v>
      </c>
    </row>
    <row r="627" spans="21:23" x14ac:dyDescent="0.3">
      <c r="U627">
        <v>2.2400000000000002</v>
      </c>
      <c r="V627">
        <f t="shared" si="18"/>
        <v>3.2460265643697445E-2</v>
      </c>
      <c r="W627" t="e">
        <f t="shared" si="19"/>
        <v>#N/A</v>
      </c>
    </row>
    <row r="628" spans="21:23" x14ac:dyDescent="0.3">
      <c r="U628">
        <v>2.25</v>
      </c>
      <c r="V628">
        <f t="shared" si="18"/>
        <v>3.1739651835667418E-2</v>
      </c>
      <c r="W628" t="e">
        <f t="shared" si="19"/>
        <v>#N/A</v>
      </c>
    </row>
    <row r="629" spans="21:23" x14ac:dyDescent="0.3">
      <c r="U629">
        <v>2.2599999999999998</v>
      </c>
      <c r="V629">
        <f t="shared" si="18"/>
        <v>3.103193221500827E-2</v>
      </c>
      <c r="W629" t="e">
        <f t="shared" si="19"/>
        <v>#N/A</v>
      </c>
    </row>
    <row r="630" spans="21:23" x14ac:dyDescent="0.3">
      <c r="U630">
        <v>2.27</v>
      </c>
      <c r="V630">
        <f t="shared" si="18"/>
        <v>3.0336959230531636E-2</v>
      </c>
      <c r="W630" t="e">
        <f t="shared" si="19"/>
        <v>#N/A</v>
      </c>
    </row>
    <row r="631" spans="21:23" x14ac:dyDescent="0.3">
      <c r="U631">
        <v>2.2799999999999998</v>
      </c>
      <c r="V631">
        <f t="shared" si="18"/>
        <v>2.9654584847341278E-2</v>
      </c>
      <c r="W631" t="e">
        <f t="shared" si="19"/>
        <v>#N/A</v>
      </c>
    </row>
    <row r="632" spans="21:23" x14ac:dyDescent="0.3">
      <c r="U632">
        <v>2.29</v>
      </c>
      <c r="V632">
        <f t="shared" si="18"/>
        <v>2.8984660616209412E-2</v>
      </c>
      <c r="W632" t="e">
        <f t="shared" si="19"/>
        <v>#N/A</v>
      </c>
    </row>
    <row r="633" spans="21:23" x14ac:dyDescent="0.3">
      <c r="U633">
        <v>2.2999999999999998</v>
      </c>
      <c r="V633">
        <f t="shared" si="18"/>
        <v>2.8327037741601186E-2</v>
      </c>
      <c r="W633" t="e">
        <f t="shared" si="19"/>
        <v>#N/A</v>
      </c>
    </row>
    <row r="634" spans="21:23" x14ac:dyDescent="0.3">
      <c r="U634">
        <v>2.31</v>
      </c>
      <c r="V634">
        <f t="shared" si="18"/>
        <v>2.7681567148336573E-2</v>
      </c>
      <c r="W634" t="e">
        <f t="shared" si="19"/>
        <v>#N/A</v>
      </c>
    </row>
    <row r="635" spans="21:23" x14ac:dyDescent="0.3">
      <c r="U635">
        <v>2.3199999999999998</v>
      </c>
      <c r="V635">
        <f t="shared" si="18"/>
        <v>2.7048099546881785E-2</v>
      </c>
      <c r="W635" t="e">
        <f t="shared" si="19"/>
        <v>#N/A</v>
      </c>
    </row>
    <row r="636" spans="21:23" x14ac:dyDescent="0.3">
      <c r="U636">
        <v>2.33</v>
      </c>
      <c r="V636">
        <f t="shared" si="18"/>
        <v>2.6426485497261721E-2</v>
      </c>
      <c r="W636" t="e">
        <f t="shared" si="19"/>
        <v>#N/A</v>
      </c>
    </row>
    <row r="637" spans="21:23" x14ac:dyDescent="0.3">
      <c r="U637">
        <v>2.34</v>
      </c>
      <c r="V637">
        <f t="shared" si="18"/>
        <v>2.581657547158769E-2</v>
      </c>
      <c r="W637" t="e">
        <f t="shared" si="19"/>
        <v>#N/A</v>
      </c>
    </row>
    <row r="638" spans="21:23" x14ac:dyDescent="0.3">
      <c r="U638">
        <v>2.35</v>
      </c>
      <c r="V638">
        <f t="shared" si="18"/>
        <v>2.5218219915194382E-2</v>
      </c>
      <c r="W638" t="e">
        <f t="shared" si="19"/>
        <v>#N/A</v>
      </c>
    </row>
    <row r="639" spans="21:23" x14ac:dyDescent="0.3">
      <c r="U639">
        <v>2.36</v>
      </c>
      <c r="V639">
        <f t="shared" si="18"/>
        <v>2.4631269306382507E-2</v>
      </c>
      <c r="W639" t="e">
        <f t="shared" si="19"/>
        <v>#N/A</v>
      </c>
    </row>
    <row r="640" spans="21:23" x14ac:dyDescent="0.3">
      <c r="U640">
        <v>2.37</v>
      </c>
      <c r="V640">
        <f t="shared" si="18"/>
        <v>2.4055574214762971E-2</v>
      </c>
      <c r="W640" t="e">
        <f t="shared" si="19"/>
        <v>#N/A</v>
      </c>
    </row>
    <row r="641" spans="21:23" x14ac:dyDescent="0.3">
      <c r="U641">
        <v>2.38</v>
      </c>
      <c r="V641">
        <f t="shared" si="18"/>
        <v>2.3490985358201363E-2</v>
      </c>
      <c r="W641" t="e">
        <f t="shared" si="19"/>
        <v>#N/A</v>
      </c>
    </row>
    <row r="642" spans="21:23" x14ac:dyDescent="0.3">
      <c r="U642">
        <v>2.39</v>
      </c>
      <c r="V642">
        <f t="shared" si="18"/>
        <v>2.2937353658360693E-2</v>
      </c>
      <c r="W642" t="e">
        <f t="shared" si="19"/>
        <v>#N/A</v>
      </c>
    </row>
    <row r="643" spans="21:23" x14ac:dyDescent="0.3">
      <c r="U643">
        <v>2.4</v>
      </c>
      <c r="V643">
        <f t="shared" si="18"/>
        <v>2.2394530294842899E-2</v>
      </c>
      <c r="W643" t="e">
        <f t="shared" si="19"/>
        <v>#N/A</v>
      </c>
    </row>
    <row r="644" spans="21:23" x14ac:dyDescent="0.3">
      <c r="U644">
        <v>2.41</v>
      </c>
      <c r="V644">
        <f t="shared" ref="V644:V707" si="20">_xlfn.NORM.S.DIST(U644,0)</f>
        <v>2.1862366757929387E-2</v>
      </c>
      <c r="W644" t="e">
        <f t="shared" ref="W644:W707" si="21">IF(U644&lt;=$B$2,V644,NA())</f>
        <v>#N/A</v>
      </c>
    </row>
    <row r="645" spans="21:23" x14ac:dyDescent="0.3">
      <c r="U645">
        <v>2.42</v>
      </c>
      <c r="V645">
        <f t="shared" si="20"/>
        <v>2.1340714899922782E-2</v>
      </c>
      <c r="W645" t="e">
        <f t="shared" si="21"/>
        <v>#N/A</v>
      </c>
    </row>
    <row r="646" spans="21:23" x14ac:dyDescent="0.3">
      <c r="U646">
        <v>2.4300000000000002</v>
      </c>
      <c r="V646">
        <f t="shared" si="20"/>
        <v>2.0829426985092186E-2</v>
      </c>
      <c r="W646" t="e">
        <f t="shared" si="21"/>
        <v>#N/A</v>
      </c>
    </row>
    <row r="647" spans="21:23" x14ac:dyDescent="0.3">
      <c r="U647">
        <v>2.44</v>
      </c>
      <c r="V647">
        <f t="shared" si="20"/>
        <v>2.0328355738225837E-2</v>
      </c>
      <c r="W647" t="e">
        <f t="shared" si="21"/>
        <v>#N/A</v>
      </c>
    </row>
    <row r="648" spans="21:23" x14ac:dyDescent="0.3">
      <c r="U648">
        <v>2.4500000000000002</v>
      </c>
      <c r="V648">
        <f t="shared" si="20"/>
        <v>1.9837354391795313E-2</v>
      </c>
      <c r="W648" t="e">
        <f t="shared" si="21"/>
        <v>#N/A</v>
      </c>
    </row>
    <row r="649" spans="21:23" x14ac:dyDescent="0.3">
      <c r="U649">
        <v>2.46</v>
      </c>
      <c r="V649">
        <f t="shared" si="20"/>
        <v>1.9356276731736961E-2</v>
      </c>
      <c r="W649" t="e">
        <f t="shared" si="21"/>
        <v>#N/A</v>
      </c>
    </row>
    <row r="650" spans="21:23" x14ac:dyDescent="0.3">
      <c r="U650">
        <v>2.4700000000000002</v>
      </c>
      <c r="V650">
        <f t="shared" si="20"/>
        <v>1.8884977141856163E-2</v>
      </c>
      <c r="W650" t="e">
        <f t="shared" si="21"/>
        <v>#N/A</v>
      </c>
    </row>
    <row r="651" spans="21:23" x14ac:dyDescent="0.3">
      <c r="U651">
        <v>2.48</v>
      </c>
      <c r="V651">
        <f t="shared" si="20"/>
        <v>1.8423310646862048E-2</v>
      </c>
      <c r="W651" t="e">
        <f t="shared" si="21"/>
        <v>#N/A</v>
      </c>
    </row>
    <row r="652" spans="21:23" x14ac:dyDescent="0.3">
      <c r="U652">
        <v>2.4900000000000002</v>
      </c>
      <c r="V652">
        <f t="shared" si="20"/>
        <v>1.7971132954039633E-2</v>
      </c>
      <c r="W652" t="e">
        <f t="shared" si="21"/>
        <v>#N/A</v>
      </c>
    </row>
    <row r="653" spans="21:23" x14ac:dyDescent="0.3">
      <c r="U653">
        <v>2.5</v>
      </c>
      <c r="V653">
        <f t="shared" si="20"/>
        <v>1.752830049356854E-2</v>
      </c>
      <c r="W653" t="e">
        <f t="shared" si="21"/>
        <v>#N/A</v>
      </c>
    </row>
    <row r="654" spans="21:23" x14ac:dyDescent="0.3">
      <c r="U654">
        <v>2.5099999999999998</v>
      </c>
      <c r="V654">
        <f t="shared" si="20"/>
        <v>1.7094670457496956E-2</v>
      </c>
      <c r="W654" t="e">
        <f t="shared" si="21"/>
        <v>#N/A</v>
      </c>
    </row>
    <row r="655" spans="21:23" x14ac:dyDescent="0.3">
      <c r="U655">
        <v>2.52</v>
      </c>
      <c r="V655">
        <f t="shared" si="20"/>
        <v>1.6670100837381057E-2</v>
      </c>
      <c r="W655" t="e">
        <f t="shared" si="21"/>
        <v>#N/A</v>
      </c>
    </row>
    <row r="656" spans="21:23" x14ac:dyDescent="0.3">
      <c r="U656">
        <v>2.5299999999999998</v>
      </c>
      <c r="V656">
        <f t="shared" si="20"/>
        <v>1.6254450460600506E-2</v>
      </c>
      <c r="W656" t="e">
        <f t="shared" si="21"/>
        <v>#N/A</v>
      </c>
    </row>
    <row r="657" spans="21:23" x14ac:dyDescent="0.3">
      <c r="U657">
        <v>2.54</v>
      </c>
      <c r="V657">
        <f t="shared" si="20"/>
        <v>1.5847579025360818E-2</v>
      </c>
      <c r="W657" t="e">
        <f t="shared" si="21"/>
        <v>#N/A</v>
      </c>
    </row>
    <row r="658" spans="21:23" x14ac:dyDescent="0.3">
      <c r="U658">
        <v>2.5499999999999998</v>
      </c>
      <c r="V658">
        <f t="shared" si="20"/>
        <v>1.5449347134395174E-2</v>
      </c>
      <c r="W658" t="e">
        <f t="shared" si="21"/>
        <v>#N/A</v>
      </c>
    </row>
    <row r="659" spans="21:23" x14ac:dyDescent="0.3">
      <c r="U659">
        <v>2.56</v>
      </c>
      <c r="V659">
        <f t="shared" si="20"/>
        <v>1.5059616327377449E-2</v>
      </c>
      <c r="W659" t="e">
        <f t="shared" si="21"/>
        <v>#N/A</v>
      </c>
    </row>
    <row r="660" spans="21:23" x14ac:dyDescent="0.3">
      <c r="U660">
        <v>2.57</v>
      </c>
      <c r="V660">
        <f t="shared" si="20"/>
        <v>1.4678249112060044E-2</v>
      </c>
      <c r="W660" t="e">
        <f t="shared" si="21"/>
        <v>#N/A</v>
      </c>
    </row>
    <row r="661" spans="21:23" x14ac:dyDescent="0.3">
      <c r="U661">
        <v>2.58</v>
      </c>
      <c r="V661">
        <f t="shared" si="20"/>
        <v>1.430510899414969E-2</v>
      </c>
      <c r="W661" t="e">
        <f t="shared" si="21"/>
        <v>#N/A</v>
      </c>
    </row>
    <row r="662" spans="21:23" x14ac:dyDescent="0.3">
      <c r="U662">
        <v>2.59</v>
      </c>
      <c r="V662">
        <f t="shared" si="20"/>
        <v>1.3940060505935825E-2</v>
      </c>
      <c r="W662" t="e">
        <f t="shared" si="21"/>
        <v>#N/A</v>
      </c>
    </row>
    <row r="663" spans="21:23" x14ac:dyDescent="0.3">
      <c r="U663">
        <v>2.6</v>
      </c>
      <c r="V663">
        <f t="shared" si="20"/>
        <v>1.3582969233685613E-2</v>
      </c>
      <c r="W663" t="e">
        <f t="shared" si="21"/>
        <v>#N/A</v>
      </c>
    </row>
    <row r="664" spans="21:23" x14ac:dyDescent="0.3">
      <c r="U664">
        <v>2.61</v>
      </c>
      <c r="V664">
        <f t="shared" si="20"/>
        <v>1.3233701843821374E-2</v>
      </c>
      <c r="W664" t="e">
        <f t="shared" si="21"/>
        <v>#N/A</v>
      </c>
    </row>
    <row r="665" spans="21:23" x14ac:dyDescent="0.3">
      <c r="U665">
        <v>2.62</v>
      </c>
      <c r="V665">
        <f t="shared" si="20"/>
        <v>1.2892126107895304E-2</v>
      </c>
      <c r="W665" t="e">
        <f t="shared" si="21"/>
        <v>#N/A</v>
      </c>
    </row>
    <row r="666" spans="21:23" x14ac:dyDescent="0.3">
      <c r="U666">
        <v>2.63</v>
      </c>
      <c r="V666">
        <f t="shared" si="20"/>
        <v>1.2558110926378211E-2</v>
      </c>
      <c r="W666" t="e">
        <f t="shared" si="21"/>
        <v>#N/A</v>
      </c>
    </row>
    <row r="667" spans="21:23" x14ac:dyDescent="0.3">
      <c r="U667">
        <v>2.64</v>
      </c>
      <c r="V667">
        <f t="shared" si="20"/>
        <v>1.2231526351277971E-2</v>
      </c>
      <c r="W667" t="e">
        <f t="shared" si="21"/>
        <v>#N/A</v>
      </c>
    </row>
    <row r="668" spans="21:23" x14ac:dyDescent="0.3">
      <c r="U668">
        <v>2.65</v>
      </c>
      <c r="V668">
        <f t="shared" si="20"/>
        <v>1.1912243607605179E-2</v>
      </c>
      <c r="W668" t="e">
        <f t="shared" si="21"/>
        <v>#N/A</v>
      </c>
    </row>
    <row r="669" spans="21:23" x14ac:dyDescent="0.3">
      <c r="U669">
        <v>2.66</v>
      </c>
      <c r="V669">
        <f t="shared" si="20"/>
        <v>1.1600135113702561E-2</v>
      </c>
      <c r="W669" t="e">
        <f t="shared" si="21"/>
        <v>#N/A</v>
      </c>
    </row>
    <row r="670" spans="21:23" x14ac:dyDescent="0.3">
      <c r="U670">
        <v>2.67</v>
      </c>
      <c r="V670">
        <f t="shared" si="20"/>
        <v>1.1295074500456135E-2</v>
      </c>
      <c r="W670" t="e">
        <f t="shared" si="21"/>
        <v>#N/A</v>
      </c>
    </row>
    <row r="671" spans="21:23" x14ac:dyDescent="0.3">
      <c r="U671">
        <v>2.68</v>
      </c>
      <c r="V671">
        <f t="shared" si="20"/>
        <v>1.0996936629405572E-2</v>
      </c>
      <c r="W671" t="e">
        <f t="shared" si="21"/>
        <v>#N/A</v>
      </c>
    </row>
    <row r="672" spans="21:23" x14ac:dyDescent="0.3">
      <c r="U672">
        <v>2.69</v>
      </c>
      <c r="V672">
        <f t="shared" si="20"/>
        <v>1.0705597609772187E-2</v>
      </c>
      <c r="W672" t="e">
        <f t="shared" si="21"/>
        <v>#N/A</v>
      </c>
    </row>
    <row r="673" spans="21:23" x14ac:dyDescent="0.3">
      <c r="U673">
        <v>2.7</v>
      </c>
      <c r="V673">
        <f t="shared" si="20"/>
        <v>1.0420934814422592E-2</v>
      </c>
      <c r="W673" t="e">
        <f t="shared" si="21"/>
        <v>#N/A</v>
      </c>
    </row>
    <row r="674" spans="21:23" x14ac:dyDescent="0.3">
      <c r="U674">
        <v>2.71</v>
      </c>
      <c r="V674">
        <f t="shared" si="20"/>
        <v>1.0142826894787077E-2</v>
      </c>
      <c r="W674" t="e">
        <f t="shared" si="21"/>
        <v>#N/A</v>
      </c>
    </row>
    <row r="675" spans="21:23" x14ac:dyDescent="0.3">
      <c r="U675">
        <v>2.72</v>
      </c>
      <c r="V675">
        <f t="shared" si="20"/>
        <v>9.8711537947511301E-3</v>
      </c>
      <c r="W675" t="e">
        <f t="shared" si="21"/>
        <v>#N/A</v>
      </c>
    </row>
    <row r="676" spans="21:23" x14ac:dyDescent="0.3">
      <c r="U676">
        <v>2.73</v>
      </c>
      <c r="V676">
        <f t="shared" si="20"/>
        <v>9.6057967635395872E-3</v>
      </c>
      <c r="W676" t="e">
        <f t="shared" si="21"/>
        <v>#N/A</v>
      </c>
    </row>
    <row r="677" spans="21:23" x14ac:dyDescent="0.3">
      <c r="U677">
        <v>2.74</v>
      </c>
      <c r="V677">
        <f t="shared" si="20"/>
        <v>9.3466383676122835E-3</v>
      </c>
      <c r="W677" t="e">
        <f t="shared" si="21"/>
        <v>#N/A</v>
      </c>
    </row>
    <row r="678" spans="21:23" x14ac:dyDescent="0.3">
      <c r="U678">
        <v>2.75</v>
      </c>
      <c r="V678">
        <f t="shared" si="20"/>
        <v>9.0935625015910529E-3</v>
      </c>
      <c r="W678" t="e">
        <f t="shared" si="21"/>
        <v>#N/A</v>
      </c>
    </row>
    <row r="679" spans="21:23" x14ac:dyDescent="0.3">
      <c r="U679">
        <v>2.76</v>
      </c>
      <c r="V679">
        <f t="shared" si="20"/>
        <v>8.8464543982372315E-3</v>
      </c>
      <c r="W679" t="e">
        <f t="shared" si="21"/>
        <v>#N/A</v>
      </c>
    </row>
    <row r="680" spans="21:23" x14ac:dyDescent="0.3">
      <c r="U680">
        <v>2.77</v>
      </c>
      <c r="V680">
        <f t="shared" si="20"/>
        <v>8.6052006374996715E-3</v>
      </c>
      <c r="W680" t="e">
        <f t="shared" si="21"/>
        <v>#N/A</v>
      </c>
    </row>
    <row r="681" spans="21:23" x14ac:dyDescent="0.3">
      <c r="U681">
        <v>2.78</v>
      </c>
      <c r="V681">
        <f t="shared" si="20"/>
        <v>8.369689154653033E-3</v>
      </c>
      <c r="W681" t="e">
        <f t="shared" si="21"/>
        <v>#N/A</v>
      </c>
    </row>
    <row r="682" spans="21:23" x14ac:dyDescent="0.3">
      <c r="U682">
        <v>2.79</v>
      </c>
      <c r="V682">
        <f t="shared" si="20"/>
        <v>8.1398092475460215E-3</v>
      </c>
      <c r="W682" t="e">
        <f t="shared" si="21"/>
        <v>#N/A</v>
      </c>
    </row>
    <row r="683" spans="21:23" x14ac:dyDescent="0.3">
      <c r="U683">
        <v>2.8</v>
      </c>
      <c r="V683">
        <f t="shared" si="20"/>
        <v>7.9154515829799686E-3</v>
      </c>
      <c r="W683" t="e">
        <f t="shared" si="21"/>
        <v>#N/A</v>
      </c>
    </row>
    <row r="684" spans="21:23" x14ac:dyDescent="0.3">
      <c r="U684">
        <v>2.81</v>
      </c>
      <c r="V684">
        <f t="shared" si="20"/>
        <v>7.6965082022373218E-3</v>
      </c>
      <c r="W684" t="e">
        <f t="shared" si="21"/>
        <v>#N/A</v>
      </c>
    </row>
    <row r="685" spans="21:23" x14ac:dyDescent="0.3">
      <c r="U685">
        <v>2.82</v>
      </c>
      <c r="V685">
        <f t="shared" si="20"/>
        <v>7.4828725257805638E-3</v>
      </c>
      <c r="W685" t="e">
        <f t="shared" si="21"/>
        <v>#N/A</v>
      </c>
    </row>
    <row r="686" spans="21:23" x14ac:dyDescent="0.3">
      <c r="U686">
        <v>2.83</v>
      </c>
      <c r="V686">
        <f t="shared" si="20"/>
        <v>7.2744393571412182E-3</v>
      </c>
      <c r="W686" t="e">
        <f t="shared" si="21"/>
        <v>#N/A</v>
      </c>
    </row>
    <row r="687" spans="21:23" x14ac:dyDescent="0.3">
      <c r="U687">
        <v>2.84</v>
      </c>
      <c r="V687">
        <f t="shared" si="20"/>
        <v>7.0711048860194487E-3</v>
      </c>
      <c r="W687" t="e">
        <f t="shared" si="21"/>
        <v>#N/A</v>
      </c>
    </row>
    <row r="688" spans="21:23" x14ac:dyDescent="0.3">
      <c r="U688">
        <v>2.85</v>
      </c>
      <c r="V688">
        <f t="shared" si="20"/>
        <v>6.8727666906139712E-3</v>
      </c>
      <c r="W688" t="e">
        <f t="shared" si="21"/>
        <v>#N/A</v>
      </c>
    </row>
    <row r="689" spans="21:23" x14ac:dyDescent="0.3">
      <c r="U689">
        <v>2.86</v>
      </c>
      <c r="V689">
        <f t="shared" si="20"/>
        <v>6.6793237392026202E-3</v>
      </c>
      <c r="W689" t="e">
        <f t="shared" si="21"/>
        <v>#N/A</v>
      </c>
    </row>
    <row r="690" spans="21:23" x14ac:dyDescent="0.3">
      <c r="U690">
        <v>2.87</v>
      </c>
      <c r="V690">
        <f t="shared" si="20"/>
        <v>6.4906763909933643E-3</v>
      </c>
      <c r="W690" t="e">
        <f t="shared" si="21"/>
        <v>#N/A</v>
      </c>
    </row>
    <row r="691" spans="21:23" x14ac:dyDescent="0.3">
      <c r="U691">
        <v>2.88</v>
      </c>
      <c r="V691">
        <f t="shared" si="20"/>
        <v>6.3067263962659275E-3</v>
      </c>
      <c r="W691" t="e">
        <f t="shared" si="21"/>
        <v>#N/A</v>
      </c>
    </row>
    <row r="692" spans="21:23" x14ac:dyDescent="0.3">
      <c r="U692">
        <v>2.89</v>
      </c>
      <c r="V692">
        <f t="shared" si="20"/>
        <v>6.1273768958236873E-3</v>
      </c>
      <c r="W692" t="e">
        <f t="shared" si="21"/>
        <v>#N/A</v>
      </c>
    </row>
    <row r="693" spans="21:23" x14ac:dyDescent="0.3">
      <c r="U693">
        <v>2.9</v>
      </c>
      <c r="V693">
        <f t="shared" si="20"/>
        <v>5.9525324197758538E-3</v>
      </c>
      <c r="W693" t="e">
        <f t="shared" si="21"/>
        <v>#N/A</v>
      </c>
    </row>
    <row r="694" spans="21:23" x14ac:dyDescent="0.3">
      <c r="U694">
        <v>2.91</v>
      </c>
      <c r="V694">
        <f t="shared" si="20"/>
        <v>5.7820988856694729E-3</v>
      </c>
      <c r="W694" t="e">
        <f t="shared" si="21"/>
        <v>#N/A</v>
      </c>
    </row>
    <row r="695" spans="21:23" x14ac:dyDescent="0.3">
      <c r="U695">
        <v>2.92</v>
      </c>
      <c r="V695">
        <f t="shared" si="20"/>
        <v>5.615983595990969E-3</v>
      </c>
      <c r="W695" t="e">
        <f t="shared" si="21"/>
        <v>#N/A</v>
      </c>
    </row>
    <row r="696" spans="21:23" x14ac:dyDescent="0.3">
      <c r="U696">
        <v>2.93</v>
      </c>
      <c r="V696">
        <f t="shared" si="20"/>
        <v>5.4540952350565454E-3</v>
      </c>
      <c r="W696" t="e">
        <f t="shared" si="21"/>
        <v>#N/A</v>
      </c>
    </row>
    <row r="697" spans="21:23" x14ac:dyDescent="0.3">
      <c r="U697">
        <v>2.94</v>
      </c>
      <c r="V697">
        <f t="shared" si="20"/>
        <v>5.2963438653110201E-3</v>
      </c>
      <c r="W697" t="e">
        <f t="shared" si="21"/>
        <v>#N/A</v>
      </c>
    </row>
    <row r="698" spans="21:23" x14ac:dyDescent="0.3">
      <c r="U698">
        <v>2.95</v>
      </c>
      <c r="V698">
        <f t="shared" si="20"/>
        <v>5.1426409230539392E-3</v>
      </c>
      <c r="W698" t="e">
        <f t="shared" si="21"/>
        <v>#N/A</v>
      </c>
    </row>
    <row r="699" spans="21:23" x14ac:dyDescent="0.3">
      <c r="U699">
        <v>2.96</v>
      </c>
      <c r="V699">
        <f t="shared" si="20"/>
        <v>4.9928992136123763E-3</v>
      </c>
      <c r="W699" t="e">
        <f t="shared" si="21"/>
        <v>#N/A</v>
      </c>
    </row>
    <row r="700" spans="21:23" x14ac:dyDescent="0.3">
      <c r="U700">
        <v>2.97</v>
      </c>
      <c r="V700">
        <f t="shared" si="20"/>
        <v>4.847032905978944E-3</v>
      </c>
      <c r="W700" t="e">
        <f t="shared" si="21"/>
        <v>#N/A</v>
      </c>
    </row>
    <row r="701" spans="21:23" x14ac:dyDescent="0.3">
      <c r="U701">
        <v>2.98</v>
      </c>
      <c r="V701">
        <f t="shared" si="20"/>
        <v>4.7049575269339792E-3</v>
      </c>
      <c r="W701" t="e">
        <f t="shared" si="21"/>
        <v>#N/A</v>
      </c>
    </row>
    <row r="702" spans="21:23" x14ac:dyDescent="0.3">
      <c r="U702">
        <v>2.99</v>
      </c>
      <c r="V702">
        <f t="shared" si="20"/>
        <v>4.5665899546701444E-3</v>
      </c>
      <c r="W702" t="e">
        <f t="shared" si="21"/>
        <v>#N/A</v>
      </c>
    </row>
    <row r="703" spans="21:23" x14ac:dyDescent="0.3">
      <c r="U703">
        <v>3</v>
      </c>
      <c r="V703">
        <f t="shared" si="20"/>
        <v>4.4318484119380075E-3</v>
      </c>
      <c r="W703" t="e">
        <f t="shared" si="21"/>
        <v>#N/A</v>
      </c>
    </row>
    <row r="704" spans="21:23" x14ac:dyDescent="0.3">
      <c r="U704">
        <v>3.01</v>
      </c>
      <c r="V704">
        <f t="shared" si="20"/>
        <v>4.3006524587304498E-3</v>
      </c>
      <c r="W704" t="e">
        <f t="shared" si="21"/>
        <v>#N/A</v>
      </c>
    </row>
    <row r="705" spans="21:23" x14ac:dyDescent="0.3">
      <c r="U705">
        <v>3.02</v>
      </c>
      <c r="V705">
        <f t="shared" si="20"/>
        <v>4.1729229845239623E-3</v>
      </c>
      <c r="W705" t="e">
        <f t="shared" si="21"/>
        <v>#N/A</v>
      </c>
    </row>
    <row r="706" spans="21:23" x14ac:dyDescent="0.3">
      <c r="U706">
        <v>3.03</v>
      </c>
      <c r="V706">
        <f t="shared" si="20"/>
        <v>4.04858220009443E-3</v>
      </c>
      <c r="W706" t="e">
        <f t="shared" si="21"/>
        <v>#N/A</v>
      </c>
    </row>
    <row r="707" spans="21:23" x14ac:dyDescent="0.3">
      <c r="U707">
        <v>3.04</v>
      </c>
      <c r="V707">
        <f t="shared" si="20"/>
        <v>3.9275536289247789E-3</v>
      </c>
      <c r="W707" t="e">
        <f t="shared" si="21"/>
        <v>#N/A</v>
      </c>
    </row>
    <row r="708" spans="21:23" x14ac:dyDescent="0.3">
      <c r="U708">
        <v>3.05</v>
      </c>
      <c r="V708">
        <f t="shared" ref="V708:V771" si="22">_xlfn.NORM.S.DIST(U708,0)</f>
        <v>3.8097620982218104E-3</v>
      </c>
      <c r="W708" t="e">
        <f t="shared" ref="W708:W771" si="23">IF(U708&lt;=$B$2,V708,NA())</f>
        <v>#N/A</v>
      </c>
    </row>
    <row r="709" spans="21:23" x14ac:dyDescent="0.3">
      <c r="U709">
        <v>3.06</v>
      </c>
      <c r="V709">
        <f t="shared" si="22"/>
        <v>3.6951337295590349E-3</v>
      </c>
      <c r="W709" t="e">
        <f t="shared" si="23"/>
        <v>#N/A</v>
      </c>
    </row>
    <row r="710" spans="21:23" x14ac:dyDescent="0.3">
      <c r="U710">
        <v>3.07</v>
      </c>
      <c r="V710">
        <f t="shared" si="22"/>
        <v>3.5835959291623614E-3</v>
      </c>
      <c r="W710" t="e">
        <f t="shared" si="23"/>
        <v>#N/A</v>
      </c>
    </row>
    <row r="711" spans="21:23" x14ac:dyDescent="0.3">
      <c r="U711">
        <v>3.08</v>
      </c>
      <c r="V711">
        <f t="shared" si="22"/>
        <v>3.4750773778549375E-3</v>
      </c>
      <c r="W711" t="e">
        <f t="shared" si="23"/>
        <v>#N/A</v>
      </c>
    </row>
    <row r="712" spans="21:23" x14ac:dyDescent="0.3">
      <c r="U712">
        <v>3.09</v>
      </c>
      <c r="V712">
        <f t="shared" si="22"/>
        <v>3.3695080206774812E-3</v>
      </c>
      <c r="W712" t="e">
        <f t="shared" si="23"/>
        <v>#N/A</v>
      </c>
    </row>
    <row r="713" spans="21:23" x14ac:dyDescent="0.3">
      <c r="U713">
        <v>3.1</v>
      </c>
      <c r="V713">
        <f t="shared" si="22"/>
        <v>3.2668190561999182E-3</v>
      </c>
      <c r="W713" t="e">
        <f t="shared" si="23"/>
        <v>#N/A</v>
      </c>
    </row>
    <row r="714" spans="21:23" x14ac:dyDescent="0.3">
      <c r="U714">
        <v>3.11</v>
      </c>
      <c r="V714">
        <f t="shared" si="22"/>
        <v>3.1669429255400811E-3</v>
      </c>
      <c r="W714" t="e">
        <f t="shared" si="23"/>
        <v>#N/A</v>
      </c>
    </row>
    <row r="715" spans="21:23" x14ac:dyDescent="0.3">
      <c r="U715">
        <v>3.12</v>
      </c>
      <c r="V715">
        <f t="shared" si="22"/>
        <v>3.0698133011047403E-3</v>
      </c>
      <c r="W715" t="e">
        <f t="shared" si="23"/>
        <v>#N/A</v>
      </c>
    </row>
    <row r="716" spans="21:23" x14ac:dyDescent="0.3">
      <c r="U716">
        <v>3.13</v>
      </c>
      <c r="V716">
        <f t="shared" si="22"/>
        <v>2.9753650750682535E-3</v>
      </c>
      <c r="W716" t="e">
        <f t="shared" si="23"/>
        <v>#N/A</v>
      </c>
    </row>
    <row r="717" spans="21:23" x14ac:dyDescent="0.3">
      <c r="U717">
        <v>3.14</v>
      </c>
      <c r="V717">
        <f t="shared" si="22"/>
        <v>2.8835343476034392E-3</v>
      </c>
      <c r="W717" t="e">
        <f t="shared" si="23"/>
        <v>#N/A</v>
      </c>
    </row>
    <row r="718" spans="21:23" x14ac:dyDescent="0.3">
      <c r="U718">
        <v>3.15</v>
      </c>
      <c r="V718">
        <f t="shared" si="22"/>
        <v>2.7942584148794472E-3</v>
      </c>
      <c r="W718" t="e">
        <f t="shared" si="23"/>
        <v>#N/A</v>
      </c>
    </row>
    <row r="719" spans="21:23" x14ac:dyDescent="0.3">
      <c r="U719">
        <v>3.16</v>
      </c>
      <c r="V719">
        <f t="shared" si="22"/>
        <v>2.7074757568406999E-3</v>
      </c>
      <c r="W719" t="e">
        <f t="shared" si="23"/>
        <v>#N/A</v>
      </c>
    </row>
    <row r="720" spans="21:23" x14ac:dyDescent="0.3">
      <c r="U720">
        <v>3.17</v>
      </c>
      <c r="V720">
        <f t="shared" si="22"/>
        <v>2.6231260247810244E-3</v>
      </c>
      <c r="W720" t="e">
        <f t="shared" si="23"/>
        <v>#N/A</v>
      </c>
    </row>
    <row r="721" spans="21:23" x14ac:dyDescent="0.3">
      <c r="U721">
        <v>3.18</v>
      </c>
      <c r="V721">
        <f t="shared" si="22"/>
        <v>2.5411500287265214E-3</v>
      </c>
      <c r="W721" t="e">
        <f t="shared" si="23"/>
        <v>#N/A</v>
      </c>
    </row>
    <row r="722" spans="21:23" x14ac:dyDescent="0.3">
      <c r="U722">
        <v>3.19</v>
      </c>
      <c r="V722">
        <f t="shared" si="22"/>
        <v>2.4614897246407006E-3</v>
      </c>
      <c r="W722" t="e">
        <f t="shared" si="23"/>
        <v>#N/A</v>
      </c>
    </row>
    <row r="723" spans="21:23" x14ac:dyDescent="0.3">
      <c r="U723">
        <v>3.2</v>
      </c>
      <c r="V723">
        <f t="shared" si="22"/>
        <v>2.3840882014648404E-3</v>
      </c>
      <c r="W723" t="e">
        <f t="shared" si="23"/>
        <v>#N/A</v>
      </c>
    </row>
    <row r="724" spans="21:23" x14ac:dyDescent="0.3">
      <c r="U724">
        <v>3.21</v>
      </c>
      <c r="V724">
        <f t="shared" si="22"/>
        <v>2.3088896680064958E-3</v>
      </c>
      <c r="W724" t="e">
        <f t="shared" si="23"/>
        <v>#N/A</v>
      </c>
    </row>
    <row r="725" spans="21:23" x14ac:dyDescent="0.3">
      <c r="U725">
        <v>3.22</v>
      </c>
      <c r="V725">
        <f t="shared" si="22"/>
        <v>2.2358394396885385E-3</v>
      </c>
      <c r="W725" t="e">
        <f t="shared" si="23"/>
        <v>#N/A</v>
      </c>
    </row>
    <row r="726" spans="21:23" x14ac:dyDescent="0.3">
      <c r="U726">
        <v>3.23</v>
      </c>
      <c r="V726">
        <f t="shared" si="22"/>
        <v>2.164883925171062E-3</v>
      </c>
      <c r="W726" t="e">
        <f t="shared" si="23"/>
        <v>#N/A</v>
      </c>
    </row>
    <row r="727" spans="21:23" x14ac:dyDescent="0.3">
      <c r="U727">
        <v>3.24</v>
      </c>
      <c r="V727">
        <f t="shared" si="22"/>
        <v>2.0959706128579419E-3</v>
      </c>
      <c r="W727" t="e">
        <f t="shared" si="23"/>
        <v>#N/A</v>
      </c>
    </row>
    <row r="728" spans="21:23" x14ac:dyDescent="0.3">
      <c r="U728">
        <v>3.25</v>
      </c>
      <c r="V728">
        <f t="shared" si="22"/>
        <v>2.0290480572997681E-3</v>
      </c>
      <c r="W728" t="e">
        <f t="shared" si="23"/>
        <v>#N/A</v>
      </c>
    </row>
    <row r="729" spans="21:23" x14ac:dyDescent="0.3">
      <c r="U729">
        <v>3.26</v>
      </c>
      <c r="V729">
        <f t="shared" si="22"/>
        <v>1.9640658655043761E-3</v>
      </c>
      <c r="W729" t="e">
        <f t="shared" si="23"/>
        <v>#N/A</v>
      </c>
    </row>
    <row r="730" spans="21:23" x14ac:dyDescent="0.3">
      <c r="U730">
        <v>3.27</v>
      </c>
      <c r="V730">
        <f t="shared" si="22"/>
        <v>1.9009746831660803E-3</v>
      </c>
      <c r="W730" t="e">
        <f t="shared" si="23"/>
        <v>#N/A</v>
      </c>
    </row>
    <row r="731" spans="21:23" x14ac:dyDescent="0.3">
      <c r="U731">
        <v>3.28</v>
      </c>
      <c r="V731">
        <f t="shared" si="22"/>
        <v>1.839726180824281E-3</v>
      </c>
      <c r="W731" t="e">
        <f t="shared" si="23"/>
        <v>#N/A</v>
      </c>
    </row>
    <row r="732" spans="21:23" x14ac:dyDescent="0.3">
      <c r="U732">
        <v>3.29</v>
      </c>
      <c r="V732">
        <f t="shared" si="22"/>
        <v>1.7802730399618786E-3</v>
      </c>
      <c r="W732" t="e">
        <f t="shared" si="23"/>
        <v>#N/A</v>
      </c>
    </row>
    <row r="733" spans="21:23" x14ac:dyDescent="0.3">
      <c r="U733">
        <v>3.3</v>
      </c>
      <c r="V733">
        <f t="shared" si="22"/>
        <v>1.7225689390536812E-3</v>
      </c>
      <c r="W733" t="e">
        <f t="shared" si="23"/>
        <v>#N/A</v>
      </c>
    </row>
    <row r="734" spans="21:23" x14ac:dyDescent="0.3">
      <c r="U734">
        <v>3.31</v>
      </c>
      <c r="V734">
        <f t="shared" si="22"/>
        <v>1.6665685395745797E-3</v>
      </c>
      <c r="W734" t="e">
        <f t="shared" si="23"/>
        <v>#N/A</v>
      </c>
    </row>
    <row r="735" spans="21:23" x14ac:dyDescent="0.3">
      <c r="U735">
        <v>3.32</v>
      </c>
      <c r="V735">
        <f t="shared" si="22"/>
        <v>1.6122274719771244E-3</v>
      </c>
      <c r="W735" t="e">
        <f t="shared" si="23"/>
        <v>#N/A</v>
      </c>
    </row>
    <row r="736" spans="21:23" x14ac:dyDescent="0.3">
      <c r="U736">
        <v>3.33</v>
      </c>
      <c r="V736">
        <f t="shared" si="22"/>
        <v>1.5595023216476915E-3</v>
      </c>
      <c r="W736" t="e">
        <f t="shared" si="23"/>
        <v>#N/A</v>
      </c>
    </row>
    <row r="737" spans="21:23" x14ac:dyDescent="0.3">
      <c r="U737">
        <v>3.34</v>
      </c>
      <c r="V737">
        <f t="shared" si="22"/>
        <v>1.5083506148503073E-3</v>
      </c>
      <c r="W737" t="e">
        <f t="shared" si="23"/>
        <v>#N/A</v>
      </c>
    </row>
    <row r="738" spans="21:23" x14ac:dyDescent="0.3">
      <c r="U738">
        <v>3.35</v>
      </c>
      <c r="V738">
        <f t="shared" si="22"/>
        <v>1.4587308046667459E-3</v>
      </c>
      <c r="W738" t="e">
        <f t="shared" si="23"/>
        <v>#N/A</v>
      </c>
    </row>
    <row r="739" spans="21:23" x14ac:dyDescent="0.3">
      <c r="U739">
        <v>3.36</v>
      </c>
      <c r="V739">
        <f t="shared" si="22"/>
        <v>1.4106022569413848E-3</v>
      </c>
      <c r="W739" t="e">
        <f t="shared" si="23"/>
        <v>#N/A</v>
      </c>
    </row>
    <row r="740" spans="21:23" x14ac:dyDescent="0.3">
      <c r="U740">
        <v>3.37</v>
      </c>
      <c r="V740">
        <f t="shared" si="22"/>
        <v>1.3639252362389036E-3</v>
      </c>
      <c r="W740" t="e">
        <f t="shared" si="23"/>
        <v>#N/A</v>
      </c>
    </row>
    <row r="741" spans="21:23" x14ac:dyDescent="0.3">
      <c r="U741">
        <v>3.38</v>
      </c>
      <c r="V741">
        <f t="shared" si="22"/>
        <v>1.3186608918227423E-3</v>
      </c>
      <c r="W741" t="e">
        <f t="shared" si="23"/>
        <v>#N/A</v>
      </c>
    </row>
    <row r="742" spans="21:23" x14ac:dyDescent="0.3">
      <c r="U742">
        <v>3.39</v>
      </c>
      <c r="V742">
        <f t="shared" si="22"/>
        <v>1.2747712436618327E-3</v>
      </c>
      <c r="W742" t="e">
        <f t="shared" si="23"/>
        <v>#N/A</v>
      </c>
    </row>
    <row r="743" spans="21:23" x14ac:dyDescent="0.3">
      <c r="U743">
        <v>3.4</v>
      </c>
      <c r="V743">
        <f t="shared" si="22"/>
        <v>1.2322191684730199E-3</v>
      </c>
      <c r="W743" t="e">
        <f t="shared" si="23"/>
        <v>#N/A</v>
      </c>
    </row>
    <row r="744" spans="21:23" x14ac:dyDescent="0.3">
      <c r="U744">
        <v>3.41</v>
      </c>
      <c r="V744">
        <f t="shared" si="22"/>
        <v>1.1909683858061166E-3</v>
      </c>
      <c r="W744" t="e">
        <f t="shared" si="23"/>
        <v>#N/A</v>
      </c>
    </row>
    <row r="745" spans="21:23" x14ac:dyDescent="0.3">
      <c r="U745">
        <v>3.42</v>
      </c>
      <c r="V745">
        <f t="shared" si="22"/>
        <v>1.1509834441784845E-3</v>
      </c>
      <c r="W745" t="e">
        <f t="shared" si="23"/>
        <v>#N/A</v>
      </c>
    </row>
    <row r="746" spans="21:23" x14ac:dyDescent="0.3">
      <c r="U746">
        <v>3.43</v>
      </c>
      <c r="V746">
        <f t="shared" si="22"/>
        <v>1.1122297072655649E-3</v>
      </c>
      <c r="W746" t="e">
        <f t="shared" si="23"/>
        <v>#N/A</v>
      </c>
    </row>
    <row r="747" spans="21:23" x14ac:dyDescent="0.3">
      <c r="U747">
        <v>3.44</v>
      </c>
      <c r="V747">
        <f t="shared" si="22"/>
        <v>1.0746733401537356E-3</v>
      </c>
      <c r="W747" t="e">
        <f t="shared" si="23"/>
        <v>#N/A</v>
      </c>
    </row>
    <row r="748" spans="21:23" x14ac:dyDescent="0.3">
      <c r="U748">
        <v>3.45</v>
      </c>
      <c r="V748">
        <f t="shared" si="22"/>
        <v>1.0382812956614103E-3</v>
      </c>
      <c r="W748" t="e">
        <f t="shared" si="23"/>
        <v>#N/A</v>
      </c>
    </row>
    <row r="749" spans="21:23" x14ac:dyDescent="0.3">
      <c r="U749">
        <v>3.46</v>
      </c>
      <c r="V749">
        <f t="shared" si="22"/>
        <v>1.0030213007342376E-3</v>
      </c>
      <c r="W749" t="e">
        <f t="shared" si="23"/>
        <v>#N/A</v>
      </c>
    </row>
    <row r="750" spans="21:23" x14ac:dyDescent="0.3">
      <c r="U750">
        <v>3.47</v>
      </c>
      <c r="V750">
        <f t="shared" si="22"/>
        <v>9.6886184291984591E-4</v>
      </c>
      <c r="W750" t="e">
        <f t="shared" si="23"/>
        <v>#N/A</v>
      </c>
    </row>
    <row r="751" spans="21:23" x14ac:dyDescent="0.3">
      <c r="U751">
        <v>3.48</v>
      </c>
      <c r="V751">
        <f t="shared" si="22"/>
        <v>9.3577215692747977E-4</v>
      </c>
      <c r="W751" t="e">
        <f t="shared" si="23"/>
        <v>#N/A</v>
      </c>
    </row>
    <row r="752" spans="21:23" x14ac:dyDescent="0.3">
      <c r="U752">
        <v>3.49</v>
      </c>
      <c r="V752">
        <f t="shared" si="22"/>
        <v>9.0372221127752448E-4</v>
      </c>
      <c r="W752" t="e">
        <f t="shared" si="23"/>
        <v>#N/A</v>
      </c>
    </row>
    <row r="753" spans="21:23" x14ac:dyDescent="0.3">
      <c r="U753">
        <v>3.5</v>
      </c>
      <c r="V753">
        <f t="shared" si="22"/>
        <v>8.7268269504576015E-4</v>
      </c>
      <c r="W753" t="e">
        <f t="shared" si="23"/>
        <v>#N/A</v>
      </c>
    </row>
    <row r="754" spans="21:23" x14ac:dyDescent="0.3">
      <c r="U754">
        <v>3.51</v>
      </c>
      <c r="V754">
        <f t="shared" si="22"/>
        <v>8.4262500470690268E-4</v>
      </c>
      <c r="W754" t="e">
        <f t="shared" si="23"/>
        <v>#N/A</v>
      </c>
    </row>
    <row r="755" spans="21:23" x14ac:dyDescent="0.3">
      <c r="U755">
        <v>3.52</v>
      </c>
      <c r="V755">
        <f t="shared" si="22"/>
        <v>8.1352123108180841E-4</v>
      </c>
      <c r="W755" t="e">
        <f t="shared" si="23"/>
        <v>#N/A</v>
      </c>
    </row>
    <row r="756" spans="21:23" x14ac:dyDescent="0.3">
      <c r="U756">
        <v>3.53</v>
      </c>
      <c r="V756">
        <f t="shared" si="22"/>
        <v>7.8534414639246997E-4</v>
      </c>
      <c r="W756" t="e">
        <f t="shared" si="23"/>
        <v>#N/A</v>
      </c>
    </row>
    <row r="757" spans="21:23" x14ac:dyDescent="0.3">
      <c r="U757">
        <v>3.54</v>
      </c>
      <c r="V757">
        <f t="shared" si="22"/>
        <v>7.580671914287103E-4</v>
      </c>
      <c r="W757" t="e">
        <f t="shared" si="23"/>
        <v>#N/A</v>
      </c>
    </row>
    <row r="758" spans="21:23" x14ac:dyDescent="0.3">
      <c r="U758">
        <v>3.55</v>
      </c>
      <c r="V758">
        <f t="shared" si="22"/>
        <v>7.3166446283031089E-4</v>
      </c>
      <c r="W758" t="e">
        <f t="shared" si="23"/>
        <v>#N/A</v>
      </c>
    </row>
    <row r="759" spans="21:23" x14ac:dyDescent="0.3">
      <c r="U759">
        <v>3.56</v>
      </c>
      <c r="V759">
        <f t="shared" si="22"/>
        <v>7.061107004880362E-4</v>
      </c>
      <c r="W759" t="e">
        <f t="shared" si="23"/>
        <v>#N/A</v>
      </c>
    </row>
    <row r="760" spans="21:23" x14ac:dyDescent="0.3">
      <c r="U760">
        <v>3.57</v>
      </c>
      <c r="V760">
        <f t="shared" si="22"/>
        <v>6.8138127506689212E-4</v>
      </c>
      <c r="W760" t="e">
        <f t="shared" si="23"/>
        <v>#N/A</v>
      </c>
    </row>
    <row r="761" spans="21:23" x14ac:dyDescent="0.3">
      <c r="U761">
        <v>3.58</v>
      </c>
      <c r="V761">
        <f t="shared" si="22"/>
        <v>6.5745217565467645E-4</v>
      </c>
      <c r="W761" t="e">
        <f t="shared" si="23"/>
        <v>#N/A</v>
      </c>
    </row>
    <row r="762" spans="21:23" x14ac:dyDescent="0.3">
      <c r="U762">
        <v>3.59</v>
      </c>
      <c r="V762">
        <f t="shared" si="22"/>
        <v>6.342999975387576E-4</v>
      </c>
      <c r="W762" t="e">
        <f t="shared" si="23"/>
        <v>#N/A</v>
      </c>
    </row>
    <row r="763" spans="21:23" x14ac:dyDescent="0.3">
      <c r="U763">
        <v>3.6</v>
      </c>
      <c r="V763">
        <f t="shared" si="22"/>
        <v>6.119019301137719E-4</v>
      </c>
      <c r="W763" t="e">
        <f t="shared" si="23"/>
        <v>#N/A</v>
      </c>
    </row>
    <row r="764" spans="21:23" x14ac:dyDescent="0.3">
      <c r="U764">
        <v>3.61</v>
      </c>
      <c r="V764">
        <f t="shared" si="22"/>
        <v>5.9023574492278561E-4</v>
      </c>
      <c r="W764" t="e">
        <f t="shared" si="23"/>
        <v>#N/A</v>
      </c>
    </row>
    <row r="765" spans="21:23" x14ac:dyDescent="0.3">
      <c r="U765">
        <v>3.62</v>
      </c>
      <c r="V765">
        <f t="shared" si="22"/>
        <v>5.6927978383425261E-4</v>
      </c>
      <c r="W765" t="e">
        <f t="shared" si="23"/>
        <v>#N/A</v>
      </c>
    </row>
    <row r="766" spans="21:23" x14ac:dyDescent="0.3">
      <c r="U766">
        <v>3.63</v>
      </c>
      <c r="V766">
        <f t="shared" si="22"/>
        <v>5.490129473569587E-4</v>
      </c>
      <c r="W766" t="e">
        <f t="shared" si="23"/>
        <v>#N/A</v>
      </c>
    </row>
    <row r="767" spans="21:23" x14ac:dyDescent="0.3">
      <c r="U767">
        <v>3.64</v>
      </c>
      <c r="V767">
        <f t="shared" si="22"/>
        <v>5.2941468309493475E-4</v>
      </c>
      <c r="W767" t="e">
        <f t="shared" si="23"/>
        <v>#N/A</v>
      </c>
    </row>
    <row r="768" spans="21:23" x14ac:dyDescent="0.3">
      <c r="U768">
        <v>3.65</v>
      </c>
      <c r="V768">
        <f t="shared" si="22"/>
        <v>5.104649743441856E-4</v>
      </c>
      <c r="W768" t="e">
        <f t="shared" si="23"/>
        <v>#N/A</v>
      </c>
    </row>
    <row r="769" spans="21:23" x14ac:dyDescent="0.3">
      <c r="U769">
        <v>3.66</v>
      </c>
      <c r="V769">
        <f t="shared" si="22"/>
        <v>4.9214432883289312E-4</v>
      </c>
      <c r="W769" t="e">
        <f t="shared" si="23"/>
        <v>#N/A</v>
      </c>
    </row>
    <row r="770" spans="21:23" x14ac:dyDescent="0.3">
      <c r="U770">
        <v>3.67</v>
      </c>
      <c r="V770">
        <f t="shared" si="22"/>
        <v>4.7443376760662064E-4</v>
      </c>
      <c r="W770" t="e">
        <f t="shared" si="23"/>
        <v>#N/A</v>
      </c>
    </row>
    <row r="771" spans="21:23" x14ac:dyDescent="0.3">
      <c r="U771">
        <v>3.68</v>
      </c>
      <c r="V771">
        <f t="shared" si="22"/>
        <v>4.5731481405985675E-4</v>
      </c>
      <c r="W771" t="e">
        <f t="shared" si="23"/>
        <v>#N/A</v>
      </c>
    </row>
    <row r="772" spans="21:23" x14ac:dyDescent="0.3">
      <c r="U772">
        <v>3.69</v>
      </c>
      <c r="V772">
        <f t="shared" ref="V772:V803" si="24">_xlfn.NORM.S.DIST(U772,0)</f>
        <v>4.4076948311513252E-4</v>
      </c>
      <c r="W772" t="e">
        <f t="shared" ref="W772:W803" si="25">IF(U772&lt;=$B$2,V772,NA())</f>
        <v>#N/A</v>
      </c>
    </row>
    <row r="773" spans="21:23" x14ac:dyDescent="0.3">
      <c r="U773">
        <v>3.7</v>
      </c>
      <c r="V773">
        <f t="shared" si="24"/>
        <v>4.2478027055075143E-4</v>
      </c>
      <c r="W773" t="e">
        <f t="shared" si="25"/>
        <v>#N/A</v>
      </c>
    </row>
    <row r="774" spans="21:23" x14ac:dyDescent="0.3">
      <c r="U774">
        <v>3.71</v>
      </c>
      <c r="V774">
        <f t="shared" si="24"/>
        <v>4.0933014247807883E-4</v>
      </c>
      <c r="W774" t="e">
        <f t="shared" si="25"/>
        <v>#N/A</v>
      </c>
    </row>
    <row r="775" spans="21:23" x14ac:dyDescent="0.3">
      <c r="U775">
        <v>3.72</v>
      </c>
      <c r="V775">
        <f t="shared" si="24"/>
        <v>3.9440252496915622E-4</v>
      </c>
      <c r="W775" t="e">
        <f t="shared" si="25"/>
        <v>#N/A</v>
      </c>
    </row>
    <row r="776" spans="21:23" x14ac:dyDescent="0.3">
      <c r="U776">
        <v>3.73</v>
      </c>
      <c r="V776">
        <f t="shared" si="24"/>
        <v>3.7998129383532141E-4</v>
      </c>
      <c r="W776" t="e">
        <f t="shared" si="25"/>
        <v>#N/A</v>
      </c>
    </row>
    <row r="777" spans="21:23" x14ac:dyDescent="0.3">
      <c r="U777">
        <v>3.74</v>
      </c>
      <c r="V777">
        <f t="shared" si="24"/>
        <v>3.6605076455733496E-4</v>
      </c>
      <c r="W777" t="e">
        <f t="shared" si="25"/>
        <v>#N/A</v>
      </c>
    </row>
    <row r="778" spans="21:23" x14ac:dyDescent="0.3">
      <c r="U778">
        <v>3.75</v>
      </c>
      <c r="V778">
        <f t="shared" si="24"/>
        <v>3.5259568236744541E-4</v>
      </c>
      <c r="W778" t="e">
        <f t="shared" si="25"/>
        <v>#N/A</v>
      </c>
    </row>
    <row r="779" spans="21:23" x14ac:dyDescent="0.3">
      <c r="U779">
        <v>3.76</v>
      </c>
      <c r="V779">
        <f t="shared" si="24"/>
        <v>3.3960121248365478E-4</v>
      </c>
      <c r="W779" t="e">
        <f t="shared" si="25"/>
        <v>#N/A</v>
      </c>
    </row>
    <row r="780" spans="21:23" x14ac:dyDescent="0.3">
      <c r="U780">
        <v>3.77</v>
      </c>
      <c r="V780">
        <f t="shared" si="24"/>
        <v>3.2705293049637498E-4</v>
      </c>
      <c r="W780" t="e">
        <f t="shared" si="25"/>
        <v>#N/A</v>
      </c>
    </row>
    <row r="781" spans="21:23" x14ac:dyDescent="0.3">
      <c r="U781">
        <v>3.78</v>
      </c>
      <c r="V781">
        <f t="shared" si="24"/>
        <v>3.1493681290752188E-4</v>
      </c>
      <c r="W781" t="e">
        <f t="shared" si="25"/>
        <v>#N/A</v>
      </c>
    </row>
    <row r="782" spans="21:23" x14ac:dyDescent="0.3">
      <c r="U782">
        <v>3.79</v>
      </c>
      <c r="V782">
        <f t="shared" si="24"/>
        <v>3.0323922782200417E-4</v>
      </c>
      <c r="W782" t="e">
        <f t="shared" si="25"/>
        <v>#N/A</v>
      </c>
    </row>
    <row r="783" spans="21:23" x14ac:dyDescent="0.3">
      <c r="U783">
        <v>3.8</v>
      </c>
      <c r="V783">
        <f t="shared" si="24"/>
        <v>2.9194692579146027E-4</v>
      </c>
      <c r="W783" t="e">
        <f t="shared" si="25"/>
        <v>#N/A</v>
      </c>
    </row>
    <row r="784" spans="21:23" x14ac:dyDescent="0.3">
      <c r="U784">
        <v>3.81</v>
      </c>
      <c r="V784">
        <f t="shared" si="24"/>
        <v>2.8104703080998632E-4</v>
      </c>
      <c r="W784" t="e">
        <f t="shared" si="25"/>
        <v>#N/A</v>
      </c>
    </row>
    <row r="785" spans="21:23" x14ac:dyDescent="0.3">
      <c r="U785">
        <v>3.82</v>
      </c>
      <c r="V785">
        <f t="shared" si="24"/>
        <v>2.70527031461521E-4</v>
      </c>
      <c r="W785" t="e">
        <f t="shared" si="25"/>
        <v>#N/A</v>
      </c>
    </row>
    <row r="786" spans="21:23" x14ac:dyDescent="0.3">
      <c r="U786">
        <v>3.83</v>
      </c>
      <c r="V786">
        <f t="shared" si="24"/>
        <v>2.6037477221844247E-4</v>
      </c>
      <c r="W786" t="e">
        <f t="shared" si="25"/>
        <v>#N/A</v>
      </c>
    </row>
    <row r="787" spans="21:23" x14ac:dyDescent="0.3">
      <c r="U787">
        <v>3.84</v>
      </c>
      <c r="V787">
        <f t="shared" si="24"/>
        <v>2.5057844489086075E-4</v>
      </c>
      <c r="W787" t="e">
        <f t="shared" si="25"/>
        <v>#N/A</v>
      </c>
    </row>
    <row r="788" spans="21:23" x14ac:dyDescent="0.3">
      <c r="U788">
        <v>3.85</v>
      </c>
      <c r="V788">
        <f t="shared" si="24"/>
        <v>2.4112658022599324E-4</v>
      </c>
      <c r="W788" t="e">
        <f t="shared" si="25"/>
        <v>#N/A</v>
      </c>
    </row>
    <row r="789" spans="21:23" x14ac:dyDescent="0.3">
      <c r="U789">
        <v>3.86</v>
      </c>
      <c r="V789">
        <f t="shared" si="24"/>
        <v>2.3200803965694238E-4</v>
      </c>
      <c r="W789" t="e">
        <f t="shared" si="25"/>
        <v>#N/A</v>
      </c>
    </row>
    <row r="790" spans="21:23" x14ac:dyDescent="0.3">
      <c r="U790">
        <v>3.87</v>
      </c>
      <c r="V790">
        <f t="shared" si="24"/>
        <v>2.2321200720010206E-4</v>
      </c>
      <c r="W790" t="e">
        <f t="shared" si="25"/>
        <v>#N/A</v>
      </c>
    </row>
    <row r="791" spans="21:23" x14ac:dyDescent="0.3">
      <c r="U791">
        <v>3.88</v>
      </c>
      <c r="V791">
        <f t="shared" si="24"/>
        <v>2.1472798150036704E-4</v>
      </c>
      <c r="W791" t="e">
        <f t="shared" si="25"/>
        <v>#N/A</v>
      </c>
    </row>
    <row r="792" spans="21:23" x14ac:dyDescent="0.3">
      <c r="U792">
        <v>3.89</v>
      </c>
      <c r="V792">
        <f t="shared" si="24"/>
        <v>2.0654576802322548E-4</v>
      </c>
      <c r="W792" t="e">
        <f t="shared" si="25"/>
        <v>#N/A</v>
      </c>
    </row>
    <row r="793" spans="21:23" x14ac:dyDescent="0.3">
      <c r="U793">
        <v>3.9</v>
      </c>
      <c r="V793">
        <f t="shared" si="24"/>
        <v>1.9865547139277272E-4</v>
      </c>
      <c r="W793" t="e">
        <f t="shared" si="25"/>
        <v>#N/A</v>
      </c>
    </row>
    <row r="794" spans="21:23" x14ac:dyDescent="0.3">
      <c r="U794">
        <v>3.91</v>
      </c>
      <c r="V794">
        <f t="shared" si="24"/>
        <v>1.9104748787459762E-4</v>
      </c>
      <c r="W794" t="e">
        <f t="shared" si="25"/>
        <v>#N/A</v>
      </c>
    </row>
    <row r="795" spans="21:23" x14ac:dyDescent="0.3">
      <c r="U795">
        <v>3.92</v>
      </c>
      <c r="V795">
        <f t="shared" si="24"/>
        <v>1.8371249800245711E-4</v>
      </c>
      <c r="W795" t="e">
        <f t="shared" si="25"/>
        <v>#N/A</v>
      </c>
    </row>
    <row r="796" spans="21:23" x14ac:dyDescent="0.3">
      <c r="U796">
        <v>3.93</v>
      </c>
      <c r="V796">
        <f t="shared" si="24"/>
        <v>1.7664145934757092E-4</v>
      </c>
      <c r="W796" t="e">
        <f t="shared" si="25"/>
        <v>#N/A</v>
      </c>
    </row>
    <row r="797" spans="21:23" x14ac:dyDescent="0.3">
      <c r="U797">
        <v>3.94</v>
      </c>
      <c r="V797">
        <f t="shared" si="24"/>
        <v>1.6982559942934359E-4</v>
      </c>
      <c r="W797" t="e">
        <f t="shared" si="25"/>
        <v>#N/A</v>
      </c>
    </row>
    <row r="798" spans="21:23" x14ac:dyDescent="0.3">
      <c r="U798">
        <v>3.95</v>
      </c>
      <c r="V798">
        <f t="shared" si="24"/>
        <v>1.6325640876624199E-4</v>
      </c>
      <c r="W798" t="e">
        <f t="shared" si="25"/>
        <v>#N/A</v>
      </c>
    </row>
    <row r="799" spans="21:23" x14ac:dyDescent="0.3">
      <c r="U799">
        <v>3.96</v>
      </c>
      <c r="V799">
        <f t="shared" si="24"/>
        <v>1.5692563406553226E-4</v>
      </c>
      <c r="W799" t="e">
        <f t="shared" si="25"/>
        <v>#N/A</v>
      </c>
    </row>
    <row r="800" spans="21:23" x14ac:dyDescent="0.3">
      <c r="U800">
        <v>3.97</v>
      </c>
      <c r="V800">
        <f t="shared" si="24"/>
        <v>1.508252715505178E-4</v>
      </c>
      <c r="W800" t="e">
        <f t="shared" si="25"/>
        <v>#N/A</v>
      </c>
    </row>
    <row r="801" spans="21:23" x14ac:dyDescent="0.3">
      <c r="U801">
        <v>3.98</v>
      </c>
      <c r="V801">
        <f t="shared" si="24"/>
        <v>1.4494756042389106E-4</v>
      </c>
      <c r="W801" t="e">
        <f t="shared" si="25"/>
        <v>#N/A</v>
      </c>
    </row>
    <row r="802" spans="21:23" x14ac:dyDescent="0.3">
      <c r="U802">
        <v>3.99</v>
      </c>
      <c r="V802">
        <f t="shared" si="24"/>
        <v>1.3928497646575994E-4</v>
      </c>
      <c r="W802" t="e">
        <f t="shared" si="25"/>
        <v>#N/A</v>
      </c>
    </row>
    <row r="803" spans="21:23" x14ac:dyDescent="0.3">
      <c r="U803">
        <v>4</v>
      </c>
      <c r="V803">
        <f t="shared" si="24"/>
        <v>1.3383022576488537E-4</v>
      </c>
      <c r="W803" t="e">
        <f t="shared" si="25"/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803"/>
  <sheetViews>
    <sheetView workbookViewId="0">
      <selection activeCell="C2" sqref="C2"/>
    </sheetView>
  </sheetViews>
  <sheetFormatPr defaultRowHeight="14.4" x14ac:dyDescent="0.3"/>
  <cols>
    <col min="2" max="2" width="12.6640625" customWidth="1"/>
    <col min="22" max="22" width="12" bestFit="1" customWidth="1"/>
  </cols>
  <sheetData>
    <row r="1" spans="1:25" ht="16.2" x14ac:dyDescent="0.3">
      <c r="A1" s="4" t="s">
        <v>8</v>
      </c>
      <c r="B1" s="5" t="s">
        <v>9</v>
      </c>
    </row>
    <row r="2" spans="1:25" ht="19.2" x14ac:dyDescent="0.45">
      <c r="A2" s="7">
        <v>0.95</v>
      </c>
      <c r="B2" s="6">
        <f>_xlfn.NORM.S.INV((1+A2)/2)</f>
        <v>1.9599639845400536</v>
      </c>
      <c r="I2" s="11" t="s">
        <v>18</v>
      </c>
      <c r="T2" t="s">
        <v>10</v>
      </c>
      <c r="U2" t="s">
        <v>0</v>
      </c>
      <c r="V2" t="s">
        <v>4</v>
      </c>
      <c r="W2" t="s">
        <v>11</v>
      </c>
      <c r="X2" t="s">
        <v>12</v>
      </c>
      <c r="Y2">
        <v>0</v>
      </c>
    </row>
    <row r="3" spans="1:25" x14ac:dyDescent="0.3">
      <c r="T3" t="e">
        <f>IF(ROUND($B$2,2)=ABS(U3),0,NA())</f>
        <v>#N/A</v>
      </c>
      <c r="U3">
        <v>-4</v>
      </c>
      <c r="V3">
        <f>_xlfn.NORM.S.DIST(U3,0)</f>
        <v>1.3383022576488537E-4</v>
      </c>
      <c r="W3" t="e">
        <f>IF(ABS(U3)&lt;=$B$2,V3,NA())</f>
        <v>#N/A</v>
      </c>
    </row>
    <row r="4" spans="1:25" ht="19.2" x14ac:dyDescent="0.45">
      <c r="I4" s="11" t="s">
        <v>19</v>
      </c>
      <c r="T4" t="e">
        <f t="shared" ref="T4:T67" si="0">IF(ROUND($B$2,2)=ABS(U4),0,NA())</f>
        <v>#N/A</v>
      </c>
      <c r="U4">
        <v>-3.99</v>
      </c>
      <c r="V4">
        <f t="shared" ref="V4:V67" si="1">_xlfn.NORM.S.DIST(U4,0)</f>
        <v>1.3928497646575994E-4</v>
      </c>
      <c r="W4" t="e">
        <f t="shared" ref="W4:W67" si="2">IF(ABS(U4)&lt;=$B$2,V4,NA())</f>
        <v>#N/A</v>
      </c>
    </row>
    <row r="5" spans="1:25" x14ac:dyDescent="0.3">
      <c r="T5" t="e">
        <f t="shared" si="0"/>
        <v>#N/A</v>
      </c>
      <c r="U5">
        <v>-3.98</v>
      </c>
      <c r="V5">
        <f t="shared" si="1"/>
        <v>1.4494756042389106E-4</v>
      </c>
      <c r="W5" t="e">
        <f t="shared" si="2"/>
        <v>#N/A</v>
      </c>
    </row>
    <row r="6" spans="1:25" x14ac:dyDescent="0.3">
      <c r="T6" t="e">
        <f t="shared" si="0"/>
        <v>#N/A</v>
      </c>
      <c r="U6">
        <v>-3.97</v>
      </c>
      <c r="V6">
        <f t="shared" si="1"/>
        <v>1.508252715505178E-4</v>
      </c>
      <c r="W6" t="e">
        <f t="shared" si="2"/>
        <v>#N/A</v>
      </c>
    </row>
    <row r="7" spans="1:25" x14ac:dyDescent="0.3">
      <c r="T7" t="e">
        <f t="shared" si="0"/>
        <v>#N/A</v>
      </c>
      <c r="U7">
        <v>-3.96</v>
      </c>
      <c r="V7">
        <f t="shared" si="1"/>
        <v>1.5692563406553226E-4</v>
      </c>
      <c r="W7" t="e">
        <f t="shared" si="2"/>
        <v>#N/A</v>
      </c>
    </row>
    <row r="8" spans="1:25" x14ac:dyDescent="0.3">
      <c r="T8" t="e">
        <f t="shared" si="0"/>
        <v>#N/A</v>
      </c>
      <c r="U8">
        <v>-3.95</v>
      </c>
      <c r="V8">
        <f t="shared" si="1"/>
        <v>1.6325640876624199E-4</v>
      </c>
      <c r="W8" t="e">
        <f t="shared" si="2"/>
        <v>#N/A</v>
      </c>
    </row>
    <row r="9" spans="1:25" x14ac:dyDescent="0.3">
      <c r="T9" t="e">
        <f t="shared" si="0"/>
        <v>#N/A</v>
      </c>
      <c r="U9">
        <v>-3.94</v>
      </c>
      <c r="V9">
        <f t="shared" si="1"/>
        <v>1.6982559942934359E-4</v>
      </c>
      <c r="W9" t="e">
        <f t="shared" si="2"/>
        <v>#N/A</v>
      </c>
    </row>
    <row r="10" spans="1:25" x14ac:dyDescent="0.3">
      <c r="T10" t="e">
        <f t="shared" si="0"/>
        <v>#N/A</v>
      </c>
      <c r="U10">
        <v>-3.93</v>
      </c>
      <c r="V10">
        <f t="shared" si="1"/>
        <v>1.7664145934757092E-4</v>
      </c>
      <c r="W10" t="e">
        <f t="shared" si="2"/>
        <v>#N/A</v>
      </c>
    </row>
    <row r="11" spans="1:25" x14ac:dyDescent="0.3">
      <c r="T11" t="e">
        <f t="shared" si="0"/>
        <v>#N/A</v>
      </c>
      <c r="U11">
        <v>-3.92</v>
      </c>
      <c r="V11">
        <f t="shared" si="1"/>
        <v>1.8371249800245711E-4</v>
      </c>
      <c r="W11" t="e">
        <f t="shared" si="2"/>
        <v>#N/A</v>
      </c>
    </row>
    <row r="12" spans="1:25" x14ac:dyDescent="0.3">
      <c r="T12" t="e">
        <f t="shared" si="0"/>
        <v>#N/A</v>
      </c>
      <c r="U12">
        <v>-3.91</v>
      </c>
      <c r="V12">
        <f t="shared" si="1"/>
        <v>1.9104748787459762E-4</v>
      </c>
      <c r="W12" t="e">
        <f t="shared" si="2"/>
        <v>#N/A</v>
      </c>
    </row>
    <row r="13" spans="1:25" x14ac:dyDescent="0.3">
      <c r="T13" t="e">
        <f t="shared" si="0"/>
        <v>#N/A</v>
      </c>
      <c r="U13">
        <v>-3.9</v>
      </c>
      <c r="V13">
        <f t="shared" si="1"/>
        <v>1.9865547139277272E-4</v>
      </c>
      <c r="W13" t="e">
        <f t="shared" si="2"/>
        <v>#N/A</v>
      </c>
    </row>
    <row r="14" spans="1:25" x14ac:dyDescent="0.3">
      <c r="T14" t="e">
        <f t="shared" si="0"/>
        <v>#N/A</v>
      </c>
      <c r="U14">
        <v>-3.89</v>
      </c>
      <c r="V14">
        <f t="shared" si="1"/>
        <v>2.0654576802322548E-4</v>
      </c>
      <c r="W14" t="e">
        <f t="shared" si="2"/>
        <v>#N/A</v>
      </c>
    </row>
    <row r="15" spans="1:25" x14ac:dyDescent="0.3">
      <c r="T15" t="e">
        <f t="shared" si="0"/>
        <v>#N/A</v>
      </c>
      <c r="U15">
        <v>-3.88</v>
      </c>
      <c r="V15">
        <f t="shared" si="1"/>
        <v>2.1472798150036704E-4</v>
      </c>
      <c r="W15" t="e">
        <f t="shared" si="2"/>
        <v>#N/A</v>
      </c>
    </row>
    <row r="16" spans="1:25" x14ac:dyDescent="0.3">
      <c r="T16" t="e">
        <f t="shared" si="0"/>
        <v>#N/A</v>
      </c>
      <c r="U16">
        <v>-3.87</v>
      </c>
      <c r="V16">
        <f t="shared" si="1"/>
        <v>2.2321200720010206E-4</v>
      </c>
      <c r="W16" t="e">
        <f t="shared" si="2"/>
        <v>#N/A</v>
      </c>
    </row>
    <row r="17" spans="20:23" x14ac:dyDescent="0.3">
      <c r="T17" t="e">
        <f t="shared" si="0"/>
        <v>#N/A</v>
      </c>
      <c r="U17">
        <v>-3.86</v>
      </c>
      <c r="V17">
        <f t="shared" si="1"/>
        <v>2.3200803965694238E-4</v>
      </c>
      <c r="W17" t="e">
        <f t="shared" si="2"/>
        <v>#N/A</v>
      </c>
    </row>
    <row r="18" spans="20:23" x14ac:dyDescent="0.3">
      <c r="T18" t="e">
        <f t="shared" si="0"/>
        <v>#N/A</v>
      </c>
      <c r="U18">
        <v>-3.85</v>
      </c>
      <c r="V18">
        <f t="shared" si="1"/>
        <v>2.4112658022599324E-4</v>
      </c>
      <c r="W18" t="e">
        <f t="shared" si="2"/>
        <v>#N/A</v>
      </c>
    </row>
    <row r="19" spans="20:23" x14ac:dyDescent="0.3">
      <c r="T19" t="e">
        <f t="shared" si="0"/>
        <v>#N/A</v>
      </c>
      <c r="U19">
        <v>-3.84</v>
      </c>
      <c r="V19">
        <f t="shared" si="1"/>
        <v>2.5057844489086075E-4</v>
      </c>
      <c r="W19" t="e">
        <f t="shared" si="2"/>
        <v>#N/A</v>
      </c>
    </row>
    <row r="20" spans="20:23" x14ac:dyDescent="0.3">
      <c r="T20" t="e">
        <f t="shared" si="0"/>
        <v>#N/A</v>
      </c>
      <c r="U20">
        <v>-3.83</v>
      </c>
      <c r="V20">
        <f t="shared" si="1"/>
        <v>2.6037477221844247E-4</v>
      </c>
      <c r="W20" t="e">
        <f t="shared" si="2"/>
        <v>#N/A</v>
      </c>
    </row>
    <row r="21" spans="20:23" x14ac:dyDescent="0.3">
      <c r="T21" t="e">
        <f t="shared" si="0"/>
        <v>#N/A</v>
      </c>
      <c r="U21">
        <v>-3.82</v>
      </c>
      <c r="V21">
        <f t="shared" si="1"/>
        <v>2.70527031461521E-4</v>
      </c>
      <c r="W21" t="e">
        <f t="shared" si="2"/>
        <v>#N/A</v>
      </c>
    </row>
    <row r="22" spans="20:23" x14ac:dyDescent="0.3">
      <c r="T22" t="e">
        <f t="shared" si="0"/>
        <v>#N/A</v>
      </c>
      <c r="U22">
        <v>-3.81</v>
      </c>
      <c r="V22">
        <f t="shared" si="1"/>
        <v>2.8104703080998632E-4</v>
      </c>
      <c r="W22" t="e">
        <f t="shared" si="2"/>
        <v>#N/A</v>
      </c>
    </row>
    <row r="23" spans="20:23" x14ac:dyDescent="0.3">
      <c r="T23" t="e">
        <f t="shared" si="0"/>
        <v>#N/A</v>
      </c>
      <c r="U23">
        <v>-3.8</v>
      </c>
      <c r="V23">
        <f t="shared" si="1"/>
        <v>2.9194692579146027E-4</v>
      </c>
      <c r="W23" t="e">
        <f t="shared" si="2"/>
        <v>#N/A</v>
      </c>
    </row>
    <row r="24" spans="20:23" x14ac:dyDescent="0.3">
      <c r="T24" t="e">
        <f t="shared" si="0"/>
        <v>#N/A</v>
      </c>
      <c r="U24">
        <v>-3.79</v>
      </c>
      <c r="V24">
        <f t="shared" si="1"/>
        <v>3.0323922782200417E-4</v>
      </c>
      <c r="W24" t="e">
        <f t="shared" si="2"/>
        <v>#N/A</v>
      </c>
    </row>
    <row r="25" spans="20:23" x14ac:dyDescent="0.3">
      <c r="T25" t="e">
        <f t="shared" si="0"/>
        <v>#N/A</v>
      </c>
      <c r="U25">
        <v>-3.78</v>
      </c>
      <c r="V25">
        <f t="shared" si="1"/>
        <v>3.1493681290752188E-4</v>
      </c>
      <c r="W25" t="e">
        <f t="shared" si="2"/>
        <v>#N/A</v>
      </c>
    </row>
    <row r="26" spans="20:23" x14ac:dyDescent="0.3">
      <c r="T26" t="e">
        <f t="shared" si="0"/>
        <v>#N/A</v>
      </c>
      <c r="U26">
        <v>-3.77</v>
      </c>
      <c r="V26">
        <f t="shared" si="1"/>
        <v>3.2705293049637498E-4</v>
      </c>
      <c r="W26" t="e">
        <f t="shared" si="2"/>
        <v>#N/A</v>
      </c>
    </row>
    <row r="27" spans="20:23" x14ac:dyDescent="0.3">
      <c r="T27" t="e">
        <f t="shared" si="0"/>
        <v>#N/A</v>
      </c>
      <c r="U27">
        <v>-3.76</v>
      </c>
      <c r="V27">
        <f t="shared" si="1"/>
        <v>3.3960121248365478E-4</v>
      </c>
      <c r="W27" t="e">
        <f t="shared" si="2"/>
        <v>#N/A</v>
      </c>
    </row>
    <row r="28" spans="20:23" x14ac:dyDescent="0.3">
      <c r="T28" t="e">
        <f t="shared" si="0"/>
        <v>#N/A</v>
      </c>
      <c r="U28">
        <v>-3.75</v>
      </c>
      <c r="V28">
        <f t="shared" si="1"/>
        <v>3.5259568236744541E-4</v>
      </c>
      <c r="W28" t="e">
        <f t="shared" si="2"/>
        <v>#N/A</v>
      </c>
    </row>
    <row r="29" spans="20:23" x14ac:dyDescent="0.3">
      <c r="T29" t="e">
        <f t="shared" si="0"/>
        <v>#N/A</v>
      </c>
      <c r="U29">
        <v>-3.74</v>
      </c>
      <c r="V29">
        <f t="shared" si="1"/>
        <v>3.6605076455733496E-4</v>
      </c>
      <c r="W29" t="e">
        <f t="shared" si="2"/>
        <v>#N/A</v>
      </c>
    </row>
    <row r="30" spans="20:23" x14ac:dyDescent="0.3">
      <c r="T30" t="e">
        <f t="shared" si="0"/>
        <v>#N/A</v>
      </c>
      <c r="U30">
        <v>-3.73</v>
      </c>
      <c r="V30">
        <f t="shared" si="1"/>
        <v>3.7998129383532141E-4</v>
      </c>
      <c r="W30" t="e">
        <f t="shared" si="2"/>
        <v>#N/A</v>
      </c>
    </row>
    <row r="31" spans="20:23" x14ac:dyDescent="0.3">
      <c r="T31" t="e">
        <f t="shared" si="0"/>
        <v>#N/A</v>
      </c>
      <c r="U31">
        <v>-3.72</v>
      </c>
      <c r="V31">
        <f t="shared" si="1"/>
        <v>3.9440252496915622E-4</v>
      </c>
      <c r="W31" t="e">
        <f t="shared" si="2"/>
        <v>#N/A</v>
      </c>
    </row>
    <row r="32" spans="20:23" x14ac:dyDescent="0.3">
      <c r="T32" t="e">
        <f t="shared" si="0"/>
        <v>#N/A</v>
      </c>
      <c r="U32">
        <v>-3.71</v>
      </c>
      <c r="V32">
        <f t="shared" si="1"/>
        <v>4.0933014247807883E-4</v>
      </c>
      <c r="W32" t="e">
        <f t="shared" si="2"/>
        <v>#N/A</v>
      </c>
    </row>
    <row r="33" spans="20:23" x14ac:dyDescent="0.3">
      <c r="T33" t="e">
        <f t="shared" si="0"/>
        <v>#N/A</v>
      </c>
      <c r="U33">
        <v>-3.7</v>
      </c>
      <c r="V33">
        <f t="shared" si="1"/>
        <v>4.2478027055075143E-4</v>
      </c>
      <c r="W33" t="e">
        <f t="shared" si="2"/>
        <v>#N/A</v>
      </c>
    </row>
    <row r="34" spans="20:23" x14ac:dyDescent="0.3">
      <c r="T34" t="e">
        <f t="shared" si="0"/>
        <v>#N/A</v>
      </c>
      <c r="U34">
        <v>-3.69</v>
      </c>
      <c r="V34">
        <f t="shared" si="1"/>
        <v>4.4076948311513252E-4</v>
      </c>
      <c r="W34" t="e">
        <f t="shared" si="2"/>
        <v>#N/A</v>
      </c>
    </row>
    <row r="35" spans="20:23" x14ac:dyDescent="0.3">
      <c r="T35" t="e">
        <f t="shared" si="0"/>
        <v>#N/A</v>
      </c>
      <c r="U35">
        <v>-3.68</v>
      </c>
      <c r="V35">
        <f t="shared" si="1"/>
        <v>4.5731481405985675E-4</v>
      </c>
      <c r="W35" t="e">
        <f t="shared" si="2"/>
        <v>#N/A</v>
      </c>
    </row>
    <row r="36" spans="20:23" x14ac:dyDescent="0.3">
      <c r="T36" t="e">
        <f t="shared" si="0"/>
        <v>#N/A</v>
      </c>
      <c r="U36">
        <v>-3.67</v>
      </c>
      <c r="V36">
        <f t="shared" si="1"/>
        <v>4.7443376760662064E-4</v>
      </c>
      <c r="W36" t="e">
        <f t="shared" si="2"/>
        <v>#N/A</v>
      </c>
    </row>
    <row r="37" spans="20:23" x14ac:dyDescent="0.3">
      <c r="T37" t="e">
        <f t="shared" si="0"/>
        <v>#N/A</v>
      </c>
      <c r="U37">
        <v>-3.66</v>
      </c>
      <c r="V37">
        <f t="shared" si="1"/>
        <v>4.9214432883289312E-4</v>
      </c>
      <c r="W37" t="e">
        <f t="shared" si="2"/>
        <v>#N/A</v>
      </c>
    </row>
    <row r="38" spans="20:23" x14ac:dyDescent="0.3">
      <c r="T38" t="e">
        <f t="shared" si="0"/>
        <v>#N/A</v>
      </c>
      <c r="U38">
        <v>-3.65</v>
      </c>
      <c r="V38">
        <f t="shared" si="1"/>
        <v>5.104649743441856E-4</v>
      </c>
      <c r="W38" t="e">
        <f t="shared" si="2"/>
        <v>#N/A</v>
      </c>
    </row>
    <row r="39" spans="20:23" x14ac:dyDescent="0.3">
      <c r="T39" t="e">
        <f t="shared" si="0"/>
        <v>#N/A</v>
      </c>
      <c r="U39">
        <v>-3.64</v>
      </c>
      <c r="V39">
        <f t="shared" si="1"/>
        <v>5.2941468309493475E-4</v>
      </c>
      <c r="W39" t="e">
        <f t="shared" si="2"/>
        <v>#N/A</v>
      </c>
    </row>
    <row r="40" spans="20:23" x14ac:dyDescent="0.3">
      <c r="T40" t="e">
        <f t="shared" si="0"/>
        <v>#N/A</v>
      </c>
      <c r="U40">
        <v>-3.63</v>
      </c>
      <c r="V40">
        <f t="shared" si="1"/>
        <v>5.490129473569587E-4</v>
      </c>
      <c r="W40" t="e">
        <f t="shared" si="2"/>
        <v>#N/A</v>
      </c>
    </row>
    <row r="41" spans="20:23" x14ac:dyDescent="0.3">
      <c r="T41" t="e">
        <f t="shared" si="0"/>
        <v>#N/A</v>
      </c>
      <c r="U41">
        <v>-3.62</v>
      </c>
      <c r="V41">
        <f t="shared" si="1"/>
        <v>5.6927978383425261E-4</v>
      </c>
      <c r="W41" t="e">
        <f t="shared" si="2"/>
        <v>#N/A</v>
      </c>
    </row>
    <row r="42" spans="20:23" x14ac:dyDescent="0.3">
      <c r="T42" t="e">
        <f t="shared" si="0"/>
        <v>#N/A</v>
      </c>
      <c r="U42">
        <v>-3.61</v>
      </c>
      <c r="V42">
        <f t="shared" si="1"/>
        <v>5.9023574492278561E-4</v>
      </c>
      <c r="W42" t="e">
        <f t="shared" si="2"/>
        <v>#N/A</v>
      </c>
    </row>
    <row r="43" spans="20:23" x14ac:dyDescent="0.3">
      <c r="T43" t="e">
        <f t="shared" si="0"/>
        <v>#N/A</v>
      </c>
      <c r="U43">
        <v>-3.6</v>
      </c>
      <c r="V43">
        <f t="shared" si="1"/>
        <v>6.119019301137719E-4</v>
      </c>
      <c r="W43" t="e">
        <f t="shared" si="2"/>
        <v>#N/A</v>
      </c>
    </row>
    <row r="44" spans="20:23" x14ac:dyDescent="0.3">
      <c r="T44" t="e">
        <f t="shared" si="0"/>
        <v>#N/A</v>
      </c>
      <c r="U44">
        <v>-3.59</v>
      </c>
      <c r="V44">
        <f t="shared" si="1"/>
        <v>6.342999975387576E-4</v>
      </c>
      <c r="W44" t="e">
        <f t="shared" si="2"/>
        <v>#N/A</v>
      </c>
    </row>
    <row r="45" spans="20:23" x14ac:dyDescent="0.3">
      <c r="T45" t="e">
        <f t="shared" si="0"/>
        <v>#N/A</v>
      </c>
      <c r="U45">
        <v>-3.58</v>
      </c>
      <c r="V45">
        <f t="shared" si="1"/>
        <v>6.5745217565467645E-4</v>
      </c>
      <c r="W45" t="e">
        <f t="shared" si="2"/>
        <v>#N/A</v>
      </c>
    </row>
    <row r="46" spans="20:23" x14ac:dyDescent="0.3">
      <c r="T46" t="e">
        <f t="shared" si="0"/>
        <v>#N/A</v>
      </c>
      <c r="U46">
        <v>-3.57</v>
      </c>
      <c r="V46">
        <f t="shared" si="1"/>
        <v>6.8138127506689212E-4</v>
      </c>
      <c r="W46" t="e">
        <f t="shared" si="2"/>
        <v>#N/A</v>
      </c>
    </row>
    <row r="47" spans="20:23" x14ac:dyDescent="0.3">
      <c r="T47" t="e">
        <f t="shared" si="0"/>
        <v>#N/A</v>
      </c>
      <c r="U47">
        <v>-3.56</v>
      </c>
      <c r="V47">
        <f t="shared" si="1"/>
        <v>7.061107004880362E-4</v>
      </c>
      <c r="W47" t="e">
        <f t="shared" si="2"/>
        <v>#N/A</v>
      </c>
    </row>
    <row r="48" spans="20:23" x14ac:dyDescent="0.3">
      <c r="T48" t="e">
        <f t="shared" si="0"/>
        <v>#N/A</v>
      </c>
      <c r="U48">
        <v>-3.55</v>
      </c>
      <c r="V48">
        <f t="shared" si="1"/>
        <v>7.3166446283031089E-4</v>
      </c>
      <c r="W48" t="e">
        <f t="shared" si="2"/>
        <v>#N/A</v>
      </c>
    </row>
    <row r="49" spans="20:23" x14ac:dyDescent="0.3">
      <c r="T49" t="e">
        <f t="shared" si="0"/>
        <v>#N/A</v>
      </c>
      <c r="U49">
        <v>-3.54</v>
      </c>
      <c r="V49">
        <f t="shared" si="1"/>
        <v>7.580671914287103E-4</v>
      </c>
      <c r="W49" t="e">
        <f t="shared" si="2"/>
        <v>#N/A</v>
      </c>
    </row>
    <row r="50" spans="20:23" x14ac:dyDescent="0.3">
      <c r="T50" t="e">
        <f t="shared" si="0"/>
        <v>#N/A</v>
      </c>
      <c r="U50">
        <v>-3.53</v>
      </c>
      <c r="V50">
        <f t="shared" si="1"/>
        <v>7.8534414639246997E-4</v>
      </c>
      <c r="W50" t="e">
        <f t="shared" si="2"/>
        <v>#N/A</v>
      </c>
    </row>
    <row r="51" spans="20:23" x14ac:dyDescent="0.3">
      <c r="T51" t="e">
        <f t="shared" si="0"/>
        <v>#N/A</v>
      </c>
      <c r="U51">
        <v>-3.52</v>
      </c>
      <c r="V51">
        <f t="shared" si="1"/>
        <v>8.1352123108180841E-4</v>
      </c>
      <c r="W51" t="e">
        <f t="shared" si="2"/>
        <v>#N/A</v>
      </c>
    </row>
    <row r="52" spans="20:23" x14ac:dyDescent="0.3">
      <c r="T52" t="e">
        <f t="shared" si="0"/>
        <v>#N/A</v>
      </c>
      <c r="U52">
        <v>-3.51</v>
      </c>
      <c r="V52">
        <f t="shared" si="1"/>
        <v>8.4262500470690268E-4</v>
      </c>
      <c r="W52" t="e">
        <f t="shared" si="2"/>
        <v>#N/A</v>
      </c>
    </row>
    <row r="53" spans="20:23" x14ac:dyDescent="0.3">
      <c r="T53" t="e">
        <f t="shared" si="0"/>
        <v>#N/A</v>
      </c>
      <c r="U53">
        <v>-3.5</v>
      </c>
      <c r="V53">
        <f t="shared" si="1"/>
        <v>8.7268269504576015E-4</v>
      </c>
      <c r="W53" t="e">
        <f t="shared" si="2"/>
        <v>#N/A</v>
      </c>
    </row>
    <row r="54" spans="20:23" x14ac:dyDescent="0.3">
      <c r="T54" t="e">
        <f t="shared" si="0"/>
        <v>#N/A</v>
      </c>
      <c r="U54">
        <v>-3.49</v>
      </c>
      <c r="V54">
        <f t="shared" si="1"/>
        <v>9.0372221127752448E-4</v>
      </c>
      <c r="W54" t="e">
        <f t="shared" si="2"/>
        <v>#N/A</v>
      </c>
    </row>
    <row r="55" spans="20:23" x14ac:dyDescent="0.3">
      <c r="T55" t="e">
        <f t="shared" si="0"/>
        <v>#N/A</v>
      </c>
      <c r="U55">
        <v>-3.48</v>
      </c>
      <c r="V55">
        <f t="shared" si="1"/>
        <v>9.3577215692747977E-4</v>
      </c>
      <c r="W55" t="e">
        <f t="shared" si="2"/>
        <v>#N/A</v>
      </c>
    </row>
    <row r="56" spans="20:23" x14ac:dyDescent="0.3">
      <c r="T56" t="e">
        <f t="shared" si="0"/>
        <v>#N/A</v>
      </c>
      <c r="U56">
        <v>-3.47</v>
      </c>
      <c r="V56">
        <f t="shared" si="1"/>
        <v>9.6886184291984591E-4</v>
      </c>
      <c r="W56" t="e">
        <f t="shared" si="2"/>
        <v>#N/A</v>
      </c>
    </row>
    <row r="57" spans="20:23" x14ac:dyDescent="0.3">
      <c r="T57" t="e">
        <f t="shared" si="0"/>
        <v>#N/A</v>
      </c>
      <c r="U57">
        <v>-3.46</v>
      </c>
      <c r="V57">
        <f t="shared" si="1"/>
        <v>1.0030213007342376E-3</v>
      </c>
      <c r="W57" t="e">
        <f t="shared" si="2"/>
        <v>#N/A</v>
      </c>
    </row>
    <row r="58" spans="20:23" x14ac:dyDescent="0.3">
      <c r="T58" t="e">
        <f t="shared" si="0"/>
        <v>#N/A</v>
      </c>
      <c r="U58">
        <v>-3.45</v>
      </c>
      <c r="V58">
        <f t="shared" si="1"/>
        <v>1.0382812956614103E-3</v>
      </c>
      <c r="W58" t="e">
        <f t="shared" si="2"/>
        <v>#N/A</v>
      </c>
    </row>
    <row r="59" spans="20:23" x14ac:dyDescent="0.3">
      <c r="T59" t="e">
        <f t="shared" si="0"/>
        <v>#N/A</v>
      </c>
      <c r="U59">
        <v>-3.44</v>
      </c>
      <c r="V59">
        <f t="shared" si="1"/>
        <v>1.0746733401537356E-3</v>
      </c>
      <c r="W59" t="e">
        <f t="shared" si="2"/>
        <v>#N/A</v>
      </c>
    </row>
    <row r="60" spans="20:23" x14ac:dyDescent="0.3">
      <c r="T60" t="e">
        <f t="shared" si="0"/>
        <v>#N/A</v>
      </c>
      <c r="U60">
        <v>-3.43</v>
      </c>
      <c r="V60">
        <f t="shared" si="1"/>
        <v>1.1122297072655649E-3</v>
      </c>
      <c r="W60" t="e">
        <f t="shared" si="2"/>
        <v>#N/A</v>
      </c>
    </row>
    <row r="61" spans="20:23" x14ac:dyDescent="0.3">
      <c r="T61" t="e">
        <f t="shared" si="0"/>
        <v>#N/A</v>
      </c>
      <c r="U61">
        <v>-3.42</v>
      </c>
      <c r="V61">
        <f t="shared" si="1"/>
        <v>1.1509834441784845E-3</v>
      </c>
      <c r="W61" t="e">
        <f t="shared" si="2"/>
        <v>#N/A</v>
      </c>
    </row>
    <row r="62" spans="20:23" x14ac:dyDescent="0.3">
      <c r="T62" t="e">
        <f t="shared" si="0"/>
        <v>#N/A</v>
      </c>
      <c r="U62">
        <v>-3.41</v>
      </c>
      <c r="V62">
        <f t="shared" si="1"/>
        <v>1.1909683858061166E-3</v>
      </c>
      <c r="W62" t="e">
        <f t="shared" si="2"/>
        <v>#N/A</v>
      </c>
    </row>
    <row r="63" spans="20:23" x14ac:dyDescent="0.3">
      <c r="T63" t="e">
        <f t="shared" si="0"/>
        <v>#N/A</v>
      </c>
      <c r="U63">
        <v>-3.4</v>
      </c>
      <c r="V63">
        <f t="shared" si="1"/>
        <v>1.2322191684730199E-3</v>
      </c>
      <c r="W63" t="e">
        <f t="shared" si="2"/>
        <v>#N/A</v>
      </c>
    </row>
    <row r="64" spans="20:23" x14ac:dyDescent="0.3">
      <c r="T64" t="e">
        <f t="shared" si="0"/>
        <v>#N/A</v>
      </c>
      <c r="U64">
        <v>-3.39</v>
      </c>
      <c r="V64">
        <f t="shared" si="1"/>
        <v>1.2747712436618327E-3</v>
      </c>
      <c r="W64" t="e">
        <f t="shared" si="2"/>
        <v>#N/A</v>
      </c>
    </row>
    <row r="65" spans="20:23" x14ac:dyDescent="0.3">
      <c r="T65" t="e">
        <f t="shared" si="0"/>
        <v>#N/A</v>
      </c>
      <c r="U65">
        <v>-3.38</v>
      </c>
      <c r="V65">
        <f t="shared" si="1"/>
        <v>1.3186608918227423E-3</v>
      </c>
      <c r="W65" t="e">
        <f t="shared" si="2"/>
        <v>#N/A</v>
      </c>
    </row>
    <row r="66" spans="20:23" x14ac:dyDescent="0.3">
      <c r="T66" t="e">
        <f t="shared" si="0"/>
        <v>#N/A</v>
      </c>
      <c r="U66">
        <v>-3.37</v>
      </c>
      <c r="V66">
        <f t="shared" si="1"/>
        <v>1.3639252362389036E-3</v>
      </c>
      <c r="W66" t="e">
        <f t="shared" si="2"/>
        <v>#N/A</v>
      </c>
    </row>
    <row r="67" spans="20:23" x14ac:dyDescent="0.3">
      <c r="T67" t="e">
        <f t="shared" si="0"/>
        <v>#N/A</v>
      </c>
      <c r="U67">
        <v>-3.36</v>
      </c>
      <c r="V67">
        <f t="shared" si="1"/>
        <v>1.4106022569413848E-3</v>
      </c>
      <c r="W67" t="e">
        <f t="shared" si="2"/>
        <v>#N/A</v>
      </c>
    </row>
    <row r="68" spans="20:23" x14ac:dyDescent="0.3">
      <c r="T68" t="e">
        <f t="shared" ref="T68:T131" si="3">IF(ROUND($B$2,2)=ABS(U68),0,NA())</f>
        <v>#N/A</v>
      </c>
      <c r="U68">
        <v>-3.35</v>
      </c>
      <c r="V68">
        <f t="shared" ref="V68:V131" si="4">_xlfn.NORM.S.DIST(U68,0)</f>
        <v>1.4587308046667459E-3</v>
      </c>
      <c r="W68" t="e">
        <f t="shared" ref="W68:W131" si="5">IF(ABS(U68)&lt;=$B$2,V68,NA())</f>
        <v>#N/A</v>
      </c>
    </row>
    <row r="69" spans="20:23" x14ac:dyDescent="0.3">
      <c r="T69" t="e">
        <f t="shared" si="3"/>
        <v>#N/A</v>
      </c>
      <c r="U69">
        <v>-3.34</v>
      </c>
      <c r="V69">
        <f t="shared" si="4"/>
        <v>1.5083506148503073E-3</v>
      </c>
      <c r="W69" t="e">
        <f t="shared" si="5"/>
        <v>#N/A</v>
      </c>
    </row>
    <row r="70" spans="20:23" x14ac:dyDescent="0.3">
      <c r="T70" t="e">
        <f t="shared" si="3"/>
        <v>#N/A</v>
      </c>
      <c r="U70">
        <v>-3.33</v>
      </c>
      <c r="V70">
        <f t="shared" si="4"/>
        <v>1.5595023216476915E-3</v>
      </c>
      <c r="W70" t="e">
        <f t="shared" si="5"/>
        <v>#N/A</v>
      </c>
    </row>
    <row r="71" spans="20:23" x14ac:dyDescent="0.3">
      <c r="T71" t="e">
        <f t="shared" si="3"/>
        <v>#N/A</v>
      </c>
      <c r="U71">
        <v>-3.32</v>
      </c>
      <c r="V71">
        <f t="shared" si="4"/>
        <v>1.6122274719771244E-3</v>
      </c>
      <c r="W71" t="e">
        <f t="shared" si="5"/>
        <v>#N/A</v>
      </c>
    </row>
    <row r="72" spans="20:23" x14ac:dyDescent="0.3">
      <c r="T72" t="e">
        <f t="shared" si="3"/>
        <v>#N/A</v>
      </c>
      <c r="U72">
        <v>-3.31</v>
      </c>
      <c r="V72">
        <f t="shared" si="4"/>
        <v>1.6665685395745797E-3</v>
      </c>
      <c r="W72" t="e">
        <f t="shared" si="5"/>
        <v>#N/A</v>
      </c>
    </row>
    <row r="73" spans="20:23" x14ac:dyDescent="0.3">
      <c r="T73" t="e">
        <f t="shared" si="3"/>
        <v>#N/A</v>
      </c>
      <c r="U73">
        <v>-3.3</v>
      </c>
      <c r="V73">
        <f t="shared" si="4"/>
        <v>1.7225689390536812E-3</v>
      </c>
      <c r="W73" t="e">
        <f t="shared" si="5"/>
        <v>#N/A</v>
      </c>
    </row>
    <row r="74" spans="20:23" x14ac:dyDescent="0.3">
      <c r="T74" t="e">
        <f t="shared" si="3"/>
        <v>#N/A</v>
      </c>
      <c r="U74">
        <v>-3.29</v>
      </c>
      <c r="V74">
        <f t="shared" si="4"/>
        <v>1.7802730399618786E-3</v>
      </c>
      <c r="W74" t="e">
        <f t="shared" si="5"/>
        <v>#N/A</v>
      </c>
    </row>
    <row r="75" spans="20:23" x14ac:dyDescent="0.3">
      <c r="T75" t="e">
        <f t="shared" si="3"/>
        <v>#N/A</v>
      </c>
      <c r="U75">
        <v>-3.28</v>
      </c>
      <c r="V75">
        <f t="shared" si="4"/>
        <v>1.839726180824281E-3</v>
      </c>
      <c r="W75" t="e">
        <f t="shared" si="5"/>
        <v>#N/A</v>
      </c>
    </row>
    <row r="76" spans="20:23" x14ac:dyDescent="0.3">
      <c r="T76" t="e">
        <f t="shared" si="3"/>
        <v>#N/A</v>
      </c>
      <c r="U76">
        <v>-3.27</v>
      </c>
      <c r="V76">
        <f t="shared" si="4"/>
        <v>1.9009746831660803E-3</v>
      </c>
      <c r="W76" t="e">
        <f t="shared" si="5"/>
        <v>#N/A</v>
      </c>
    </row>
    <row r="77" spans="20:23" x14ac:dyDescent="0.3">
      <c r="T77" t="e">
        <f t="shared" si="3"/>
        <v>#N/A</v>
      </c>
      <c r="U77">
        <v>-3.26</v>
      </c>
      <c r="V77">
        <f t="shared" si="4"/>
        <v>1.9640658655043761E-3</v>
      </c>
      <c r="W77" t="e">
        <f t="shared" si="5"/>
        <v>#N/A</v>
      </c>
    </row>
    <row r="78" spans="20:23" x14ac:dyDescent="0.3">
      <c r="T78" t="e">
        <f t="shared" si="3"/>
        <v>#N/A</v>
      </c>
      <c r="U78">
        <v>-3.25</v>
      </c>
      <c r="V78">
        <f t="shared" si="4"/>
        <v>2.0290480572997681E-3</v>
      </c>
      <c r="W78" t="e">
        <f t="shared" si="5"/>
        <v>#N/A</v>
      </c>
    </row>
    <row r="79" spans="20:23" x14ac:dyDescent="0.3">
      <c r="T79" t="e">
        <f t="shared" si="3"/>
        <v>#N/A</v>
      </c>
      <c r="U79">
        <v>-3.24</v>
      </c>
      <c r="V79">
        <f t="shared" si="4"/>
        <v>2.0959706128579419E-3</v>
      </c>
      <c r="W79" t="e">
        <f t="shared" si="5"/>
        <v>#N/A</v>
      </c>
    </row>
    <row r="80" spans="20:23" x14ac:dyDescent="0.3">
      <c r="T80" t="e">
        <f t="shared" si="3"/>
        <v>#N/A</v>
      </c>
      <c r="U80">
        <v>-3.23</v>
      </c>
      <c r="V80">
        <f t="shared" si="4"/>
        <v>2.164883925171062E-3</v>
      </c>
      <c r="W80" t="e">
        <f t="shared" si="5"/>
        <v>#N/A</v>
      </c>
    </row>
    <row r="81" spans="20:23" x14ac:dyDescent="0.3">
      <c r="T81" t="e">
        <f t="shared" si="3"/>
        <v>#N/A</v>
      </c>
      <c r="U81">
        <v>-3.22</v>
      </c>
      <c r="V81">
        <f t="shared" si="4"/>
        <v>2.2358394396885385E-3</v>
      </c>
      <c r="W81" t="e">
        <f t="shared" si="5"/>
        <v>#N/A</v>
      </c>
    </row>
    <row r="82" spans="20:23" x14ac:dyDescent="0.3">
      <c r="T82" t="e">
        <f t="shared" si="3"/>
        <v>#N/A</v>
      </c>
      <c r="U82">
        <v>-3.21</v>
      </c>
      <c r="V82">
        <f t="shared" si="4"/>
        <v>2.3088896680064958E-3</v>
      </c>
      <c r="W82" t="e">
        <f t="shared" si="5"/>
        <v>#N/A</v>
      </c>
    </row>
    <row r="83" spans="20:23" x14ac:dyDescent="0.3">
      <c r="T83" t="e">
        <f t="shared" si="3"/>
        <v>#N/A</v>
      </c>
      <c r="U83">
        <v>-3.2</v>
      </c>
      <c r="V83">
        <f t="shared" si="4"/>
        <v>2.3840882014648404E-3</v>
      </c>
      <c r="W83" t="e">
        <f t="shared" si="5"/>
        <v>#N/A</v>
      </c>
    </row>
    <row r="84" spans="20:23" x14ac:dyDescent="0.3">
      <c r="T84" t="e">
        <f t="shared" si="3"/>
        <v>#N/A</v>
      </c>
      <c r="U84">
        <v>-3.19</v>
      </c>
      <c r="V84">
        <f t="shared" si="4"/>
        <v>2.4614897246407006E-3</v>
      </c>
      <c r="W84" t="e">
        <f t="shared" si="5"/>
        <v>#N/A</v>
      </c>
    </row>
    <row r="85" spans="20:23" x14ac:dyDescent="0.3">
      <c r="T85" t="e">
        <f t="shared" si="3"/>
        <v>#N/A</v>
      </c>
      <c r="U85">
        <v>-3.18</v>
      </c>
      <c r="V85">
        <f t="shared" si="4"/>
        <v>2.5411500287265214E-3</v>
      </c>
      <c r="W85" t="e">
        <f t="shared" si="5"/>
        <v>#N/A</v>
      </c>
    </row>
    <row r="86" spans="20:23" x14ac:dyDescent="0.3">
      <c r="T86" t="e">
        <f t="shared" si="3"/>
        <v>#N/A</v>
      </c>
      <c r="U86">
        <v>-3.17</v>
      </c>
      <c r="V86">
        <f t="shared" si="4"/>
        <v>2.6231260247810244E-3</v>
      </c>
      <c r="W86" t="e">
        <f t="shared" si="5"/>
        <v>#N/A</v>
      </c>
    </row>
    <row r="87" spans="20:23" x14ac:dyDescent="0.3">
      <c r="T87" t="e">
        <f t="shared" si="3"/>
        <v>#N/A</v>
      </c>
      <c r="U87">
        <v>-3.16</v>
      </c>
      <c r="V87">
        <f t="shared" si="4"/>
        <v>2.7074757568406999E-3</v>
      </c>
      <c r="W87" t="e">
        <f t="shared" si="5"/>
        <v>#N/A</v>
      </c>
    </row>
    <row r="88" spans="20:23" x14ac:dyDescent="0.3">
      <c r="T88" t="e">
        <f t="shared" si="3"/>
        <v>#N/A</v>
      </c>
      <c r="U88">
        <v>-3.15</v>
      </c>
      <c r="V88">
        <f t="shared" si="4"/>
        <v>2.7942584148794472E-3</v>
      </c>
      <c r="W88" t="e">
        <f t="shared" si="5"/>
        <v>#N/A</v>
      </c>
    </row>
    <row r="89" spans="20:23" x14ac:dyDescent="0.3">
      <c r="T89" t="e">
        <f t="shared" si="3"/>
        <v>#N/A</v>
      </c>
      <c r="U89">
        <v>-3.14</v>
      </c>
      <c r="V89">
        <f t="shared" si="4"/>
        <v>2.8835343476034392E-3</v>
      </c>
      <c r="W89" t="e">
        <f t="shared" si="5"/>
        <v>#N/A</v>
      </c>
    </row>
    <row r="90" spans="20:23" x14ac:dyDescent="0.3">
      <c r="T90" t="e">
        <f t="shared" si="3"/>
        <v>#N/A</v>
      </c>
      <c r="U90">
        <v>-3.13</v>
      </c>
      <c r="V90">
        <f t="shared" si="4"/>
        <v>2.9753650750682535E-3</v>
      </c>
      <c r="W90" t="e">
        <f t="shared" si="5"/>
        <v>#N/A</v>
      </c>
    </row>
    <row r="91" spans="20:23" x14ac:dyDescent="0.3">
      <c r="T91" t="e">
        <f t="shared" si="3"/>
        <v>#N/A</v>
      </c>
      <c r="U91">
        <v>-3.12</v>
      </c>
      <c r="V91">
        <f t="shared" si="4"/>
        <v>3.0698133011047403E-3</v>
      </c>
      <c r="W91" t="e">
        <f t="shared" si="5"/>
        <v>#N/A</v>
      </c>
    </row>
    <row r="92" spans="20:23" x14ac:dyDescent="0.3">
      <c r="T92" t="e">
        <f t="shared" si="3"/>
        <v>#N/A</v>
      </c>
      <c r="U92">
        <v>-3.11</v>
      </c>
      <c r="V92">
        <f t="shared" si="4"/>
        <v>3.1669429255400811E-3</v>
      </c>
      <c r="W92" t="e">
        <f t="shared" si="5"/>
        <v>#N/A</v>
      </c>
    </row>
    <row r="93" spans="20:23" x14ac:dyDescent="0.3">
      <c r="T93" t="e">
        <f t="shared" si="3"/>
        <v>#N/A</v>
      </c>
      <c r="U93">
        <v>-3.1</v>
      </c>
      <c r="V93">
        <f t="shared" si="4"/>
        <v>3.2668190561999182E-3</v>
      </c>
      <c r="W93" t="e">
        <f t="shared" si="5"/>
        <v>#N/A</v>
      </c>
    </row>
    <row r="94" spans="20:23" x14ac:dyDescent="0.3">
      <c r="T94" t="e">
        <f t="shared" si="3"/>
        <v>#N/A</v>
      </c>
      <c r="U94">
        <v>-3.09</v>
      </c>
      <c r="V94">
        <f t="shared" si="4"/>
        <v>3.3695080206774812E-3</v>
      </c>
      <c r="W94" t="e">
        <f t="shared" si="5"/>
        <v>#N/A</v>
      </c>
    </row>
    <row r="95" spans="20:23" x14ac:dyDescent="0.3">
      <c r="T95" t="e">
        <f t="shared" si="3"/>
        <v>#N/A</v>
      </c>
      <c r="U95">
        <v>-3.08</v>
      </c>
      <c r="V95">
        <f t="shared" si="4"/>
        <v>3.4750773778549375E-3</v>
      </c>
      <c r="W95" t="e">
        <f t="shared" si="5"/>
        <v>#N/A</v>
      </c>
    </row>
    <row r="96" spans="20:23" x14ac:dyDescent="0.3">
      <c r="T96" t="e">
        <f t="shared" si="3"/>
        <v>#N/A</v>
      </c>
      <c r="U96">
        <v>-3.07</v>
      </c>
      <c r="V96">
        <f t="shared" si="4"/>
        <v>3.5835959291623614E-3</v>
      </c>
      <c r="W96" t="e">
        <f t="shared" si="5"/>
        <v>#N/A</v>
      </c>
    </row>
    <row r="97" spans="20:23" x14ac:dyDescent="0.3">
      <c r="T97" t="e">
        <f t="shared" si="3"/>
        <v>#N/A</v>
      </c>
      <c r="U97">
        <v>-3.06</v>
      </c>
      <c r="V97">
        <f t="shared" si="4"/>
        <v>3.6951337295590349E-3</v>
      </c>
      <c r="W97" t="e">
        <f t="shared" si="5"/>
        <v>#N/A</v>
      </c>
    </row>
    <row r="98" spans="20:23" x14ac:dyDescent="0.3">
      <c r="T98" t="e">
        <f t="shared" si="3"/>
        <v>#N/A</v>
      </c>
      <c r="U98">
        <v>-3.05</v>
      </c>
      <c r="V98">
        <f t="shared" si="4"/>
        <v>3.8097620982218104E-3</v>
      </c>
      <c r="W98" t="e">
        <f t="shared" si="5"/>
        <v>#N/A</v>
      </c>
    </row>
    <row r="99" spans="20:23" x14ac:dyDescent="0.3">
      <c r="T99" t="e">
        <f t="shared" si="3"/>
        <v>#N/A</v>
      </c>
      <c r="U99">
        <v>-3.04</v>
      </c>
      <c r="V99">
        <f t="shared" si="4"/>
        <v>3.9275536289247789E-3</v>
      </c>
      <c r="W99" t="e">
        <f t="shared" si="5"/>
        <v>#N/A</v>
      </c>
    </row>
    <row r="100" spans="20:23" x14ac:dyDescent="0.3">
      <c r="T100" t="e">
        <f t="shared" si="3"/>
        <v>#N/A</v>
      </c>
      <c r="U100">
        <v>-3.03</v>
      </c>
      <c r="V100">
        <f t="shared" si="4"/>
        <v>4.04858220009443E-3</v>
      </c>
      <c r="W100" t="e">
        <f t="shared" si="5"/>
        <v>#N/A</v>
      </c>
    </row>
    <row r="101" spans="20:23" x14ac:dyDescent="0.3">
      <c r="T101" t="e">
        <f t="shared" si="3"/>
        <v>#N/A</v>
      </c>
      <c r="U101">
        <v>-3.02</v>
      </c>
      <c r="V101">
        <f t="shared" si="4"/>
        <v>4.1729229845239623E-3</v>
      </c>
      <c r="W101" t="e">
        <f t="shared" si="5"/>
        <v>#N/A</v>
      </c>
    </row>
    <row r="102" spans="20:23" x14ac:dyDescent="0.3">
      <c r="T102" t="e">
        <f t="shared" si="3"/>
        <v>#N/A</v>
      </c>
      <c r="U102">
        <v>-3.01</v>
      </c>
      <c r="V102">
        <f t="shared" si="4"/>
        <v>4.3006524587304498E-3</v>
      </c>
      <c r="W102" t="e">
        <f t="shared" si="5"/>
        <v>#N/A</v>
      </c>
    </row>
    <row r="103" spans="20:23" x14ac:dyDescent="0.3">
      <c r="T103" t="e">
        <f t="shared" si="3"/>
        <v>#N/A</v>
      </c>
      <c r="U103">
        <v>-3</v>
      </c>
      <c r="V103">
        <f t="shared" si="4"/>
        <v>4.4318484119380075E-3</v>
      </c>
      <c r="W103" t="e">
        <f t="shared" si="5"/>
        <v>#N/A</v>
      </c>
    </row>
    <row r="104" spans="20:23" x14ac:dyDescent="0.3">
      <c r="T104" t="e">
        <f t="shared" si="3"/>
        <v>#N/A</v>
      </c>
      <c r="U104">
        <v>-2.99</v>
      </c>
      <c r="V104">
        <f t="shared" si="4"/>
        <v>4.5665899546701444E-3</v>
      </c>
      <c r="W104" t="e">
        <f t="shared" si="5"/>
        <v>#N/A</v>
      </c>
    </row>
    <row r="105" spans="20:23" x14ac:dyDescent="0.3">
      <c r="T105" t="e">
        <f t="shared" si="3"/>
        <v>#N/A</v>
      </c>
      <c r="U105">
        <v>-2.98</v>
      </c>
      <c r="V105">
        <f t="shared" si="4"/>
        <v>4.7049575269339792E-3</v>
      </c>
      <c r="W105" t="e">
        <f t="shared" si="5"/>
        <v>#N/A</v>
      </c>
    </row>
    <row r="106" spans="20:23" x14ac:dyDescent="0.3">
      <c r="T106" t="e">
        <f t="shared" si="3"/>
        <v>#N/A</v>
      </c>
      <c r="U106">
        <v>-2.97</v>
      </c>
      <c r="V106">
        <f t="shared" si="4"/>
        <v>4.847032905978944E-3</v>
      </c>
      <c r="W106" t="e">
        <f t="shared" si="5"/>
        <v>#N/A</v>
      </c>
    </row>
    <row r="107" spans="20:23" x14ac:dyDescent="0.3">
      <c r="T107" t="e">
        <f t="shared" si="3"/>
        <v>#N/A</v>
      </c>
      <c r="U107">
        <v>-2.96</v>
      </c>
      <c r="V107">
        <f t="shared" si="4"/>
        <v>4.9928992136123763E-3</v>
      </c>
      <c r="W107" t="e">
        <f t="shared" si="5"/>
        <v>#N/A</v>
      </c>
    </row>
    <row r="108" spans="20:23" x14ac:dyDescent="0.3">
      <c r="T108" t="e">
        <f t="shared" si="3"/>
        <v>#N/A</v>
      </c>
      <c r="U108">
        <v>-2.95</v>
      </c>
      <c r="V108">
        <f t="shared" si="4"/>
        <v>5.1426409230539392E-3</v>
      </c>
      <c r="W108" t="e">
        <f t="shared" si="5"/>
        <v>#N/A</v>
      </c>
    </row>
    <row r="109" spans="20:23" x14ac:dyDescent="0.3">
      <c r="T109" t="e">
        <f t="shared" si="3"/>
        <v>#N/A</v>
      </c>
      <c r="U109">
        <v>-2.94</v>
      </c>
      <c r="V109">
        <f t="shared" si="4"/>
        <v>5.2963438653110201E-3</v>
      </c>
      <c r="W109" t="e">
        <f t="shared" si="5"/>
        <v>#N/A</v>
      </c>
    </row>
    <row r="110" spans="20:23" x14ac:dyDescent="0.3">
      <c r="T110" t="e">
        <f t="shared" si="3"/>
        <v>#N/A</v>
      </c>
      <c r="U110">
        <v>-2.93</v>
      </c>
      <c r="V110">
        <f t="shared" si="4"/>
        <v>5.4540952350565454E-3</v>
      </c>
      <c r="W110" t="e">
        <f t="shared" si="5"/>
        <v>#N/A</v>
      </c>
    </row>
    <row r="111" spans="20:23" x14ac:dyDescent="0.3">
      <c r="T111" t="e">
        <f t="shared" si="3"/>
        <v>#N/A</v>
      </c>
      <c r="U111">
        <v>-2.92</v>
      </c>
      <c r="V111">
        <f t="shared" si="4"/>
        <v>5.615983595990969E-3</v>
      </c>
      <c r="W111" t="e">
        <f t="shared" si="5"/>
        <v>#N/A</v>
      </c>
    </row>
    <row r="112" spans="20:23" x14ac:dyDescent="0.3">
      <c r="T112" t="e">
        <f t="shared" si="3"/>
        <v>#N/A</v>
      </c>
      <c r="U112">
        <v>-2.91</v>
      </c>
      <c r="V112">
        <f t="shared" si="4"/>
        <v>5.7820988856694729E-3</v>
      </c>
      <c r="W112" t="e">
        <f t="shared" si="5"/>
        <v>#N/A</v>
      </c>
    </row>
    <row r="113" spans="20:23" x14ac:dyDescent="0.3">
      <c r="T113" t="e">
        <f t="shared" si="3"/>
        <v>#N/A</v>
      </c>
      <c r="U113">
        <v>-2.9</v>
      </c>
      <c r="V113">
        <f t="shared" si="4"/>
        <v>5.9525324197758538E-3</v>
      </c>
      <c r="W113" t="e">
        <f t="shared" si="5"/>
        <v>#N/A</v>
      </c>
    </row>
    <row r="114" spans="20:23" x14ac:dyDescent="0.3">
      <c r="T114" t="e">
        <f t="shared" si="3"/>
        <v>#N/A</v>
      </c>
      <c r="U114">
        <v>-2.89</v>
      </c>
      <c r="V114">
        <f t="shared" si="4"/>
        <v>6.1273768958236873E-3</v>
      </c>
      <c r="W114" t="e">
        <f t="shared" si="5"/>
        <v>#N/A</v>
      </c>
    </row>
    <row r="115" spans="20:23" x14ac:dyDescent="0.3">
      <c r="T115" t="e">
        <f t="shared" si="3"/>
        <v>#N/A</v>
      </c>
      <c r="U115">
        <v>-2.88</v>
      </c>
      <c r="V115">
        <f t="shared" si="4"/>
        <v>6.3067263962659275E-3</v>
      </c>
      <c r="W115" t="e">
        <f t="shared" si="5"/>
        <v>#N/A</v>
      </c>
    </row>
    <row r="116" spans="20:23" x14ac:dyDescent="0.3">
      <c r="T116" t="e">
        <f t="shared" si="3"/>
        <v>#N/A</v>
      </c>
      <c r="U116">
        <v>-2.87</v>
      </c>
      <c r="V116">
        <f t="shared" si="4"/>
        <v>6.4906763909933643E-3</v>
      </c>
      <c r="W116" t="e">
        <f t="shared" si="5"/>
        <v>#N/A</v>
      </c>
    </row>
    <row r="117" spans="20:23" x14ac:dyDescent="0.3">
      <c r="T117" t="e">
        <f t="shared" si="3"/>
        <v>#N/A</v>
      </c>
      <c r="U117">
        <v>-2.86</v>
      </c>
      <c r="V117">
        <f t="shared" si="4"/>
        <v>6.6793237392026202E-3</v>
      </c>
      <c r="W117" t="e">
        <f t="shared" si="5"/>
        <v>#N/A</v>
      </c>
    </row>
    <row r="118" spans="20:23" x14ac:dyDescent="0.3">
      <c r="T118" t="e">
        <f t="shared" si="3"/>
        <v>#N/A</v>
      </c>
      <c r="U118">
        <v>-2.85</v>
      </c>
      <c r="V118">
        <f t="shared" si="4"/>
        <v>6.8727666906139712E-3</v>
      </c>
      <c r="W118" t="e">
        <f t="shared" si="5"/>
        <v>#N/A</v>
      </c>
    </row>
    <row r="119" spans="20:23" x14ac:dyDescent="0.3">
      <c r="T119" t="e">
        <f t="shared" si="3"/>
        <v>#N/A</v>
      </c>
      <c r="U119">
        <v>-2.84</v>
      </c>
      <c r="V119">
        <f t="shared" si="4"/>
        <v>7.0711048860194487E-3</v>
      </c>
      <c r="W119" t="e">
        <f t="shared" si="5"/>
        <v>#N/A</v>
      </c>
    </row>
    <row r="120" spans="20:23" x14ac:dyDescent="0.3">
      <c r="T120" t="e">
        <f t="shared" si="3"/>
        <v>#N/A</v>
      </c>
      <c r="U120">
        <v>-2.83</v>
      </c>
      <c r="V120">
        <f t="shared" si="4"/>
        <v>7.2744393571412182E-3</v>
      </c>
      <c r="W120" t="e">
        <f t="shared" si="5"/>
        <v>#N/A</v>
      </c>
    </row>
    <row r="121" spans="20:23" x14ac:dyDescent="0.3">
      <c r="T121" t="e">
        <f t="shared" si="3"/>
        <v>#N/A</v>
      </c>
      <c r="U121">
        <v>-2.82</v>
      </c>
      <c r="V121">
        <f t="shared" si="4"/>
        <v>7.4828725257805638E-3</v>
      </c>
      <c r="W121" t="e">
        <f t="shared" si="5"/>
        <v>#N/A</v>
      </c>
    </row>
    <row r="122" spans="20:23" x14ac:dyDescent="0.3">
      <c r="T122" t="e">
        <f t="shared" si="3"/>
        <v>#N/A</v>
      </c>
      <c r="U122">
        <v>-2.81</v>
      </c>
      <c r="V122">
        <f t="shared" si="4"/>
        <v>7.6965082022373218E-3</v>
      </c>
      <c r="W122" t="e">
        <f t="shared" si="5"/>
        <v>#N/A</v>
      </c>
    </row>
    <row r="123" spans="20:23" x14ac:dyDescent="0.3">
      <c r="T123" t="e">
        <f t="shared" si="3"/>
        <v>#N/A</v>
      </c>
      <c r="U123">
        <v>-2.8</v>
      </c>
      <c r="V123">
        <f t="shared" si="4"/>
        <v>7.9154515829799686E-3</v>
      </c>
      <c r="W123" t="e">
        <f t="shared" si="5"/>
        <v>#N/A</v>
      </c>
    </row>
    <row r="124" spans="20:23" x14ac:dyDescent="0.3">
      <c r="T124" t="e">
        <f t="shared" si="3"/>
        <v>#N/A</v>
      </c>
      <c r="U124">
        <v>-2.79</v>
      </c>
      <c r="V124">
        <f t="shared" si="4"/>
        <v>8.1398092475460215E-3</v>
      </c>
      <c r="W124" t="e">
        <f t="shared" si="5"/>
        <v>#N/A</v>
      </c>
    </row>
    <row r="125" spans="20:23" x14ac:dyDescent="0.3">
      <c r="T125" t="e">
        <f t="shared" si="3"/>
        <v>#N/A</v>
      </c>
      <c r="U125">
        <v>-2.78</v>
      </c>
      <c r="V125">
        <f t="shared" si="4"/>
        <v>8.369689154653033E-3</v>
      </c>
      <c r="W125" t="e">
        <f t="shared" si="5"/>
        <v>#N/A</v>
      </c>
    </row>
    <row r="126" spans="20:23" x14ac:dyDescent="0.3">
      <c r="T126" t="e">
        <f t="shared" si="3"/>
        <v>#N/A</v>
      </c>
      <c r="U126">
        <v>-2.77</v>
      </c>
      <c r="V126">
        <f t="shared" si="4"/>
        <v>8.6052006374996715E-3</v>
      </c>
      <c r="W126" t="e">
        <f t="shared" si="5"/>
        <v>#N/A</v>
      </c>
    </row>
    <row r="127" spans="20:23" x14ac:dyDescent="0.3">
      <c r="T127" t="e">
        <f t="shared" si="3"/>
        <v>#N/A</v>
      </c>
      <c r="U127">
        <v>-2.76</v>
      </c>
      <c r="V127">
        <f t="shared" si="4"/>
        <v>8.8464543982372315E-3</v>
      </c>
      <c r="W127" t="e">
        <f t="shared" si="5"/>
        <v>#N/A</v>
      </c>
    </row>
    <row r="128" spans="20:23" x14ac:dyDescent="0.3">
      <c r="T128" t="e">
        <f t="shared" si="3"/>
        <v>#N/A</v>
      </c>
      <c r="U128">
        <v>-2.75</v>
      </c>
      <c r="V128">
        <f t="shared" si="4"/>
        <v>9.0935625015910529E-3</v>
      </c>
      <c r="W128" t="e">
        <f t="shared" si="5"/>
        <v>#N/A</v>
      </c>
    </row>
    <row r="129" spans="20:23" x14ac:dyDescent="0.3">
      <c r="T129" t="e">
        <f t="shared" si="3"/>
        <v>#N/A</v>
      </c>
      <c r="U129">
        <v>-2.74</v>
      </c>
      <c r="V129">
        <f t="shared" si="4"/>
        <v>9.3466383676122835E-3</v>
      </c>
      <c r="W129" t="e">
        <f t="shared" si="5"/>
        <v>#N/A</v>
      </c>
    </row>
    <row r="130" spans="20:23" x14ac:dyDescent="0.3">
      <c r="T130" t="e">
        <f t="shared" si="3"/>
        <v>#N/A</v>
      </c>
      <c r="U130">
        <v>-2.73</v>
      </c>
      <c r="V130">
        <f t="shared" si="4"/>
        <v>9.6057967635395872E-3</v>
      </c>
      <c r="W130" t="e">
        <f t="shared" si="5"/>
        <v>#N/A</v>
      </c>
    </row>
    <row r="131" spans="20:23" x14ac:dyDescent="0.3">
      <c r="T131" t="e">
        <f t="shared" si="3"/>
        <v>#N/A</v>
      </c>
      <c r="U131">
        <v>-2.72</v>
      </c>
      <c r="V131">
        <f t="shared" si="4"/>
        <v>9.8711537947511301E-3</v>
      </c>
      <c r="W131" t="e">
        <f t="shared" si="5"/>
        <v>#N/A</v>
      </c>
    </row>
    <row r="132" spans="20:23" x14ac:dyDescent="0.3">
      <c r="T132" t="e">
        <f t="shared" ref="T132:T195" si="6">IF(ROUND($B$2,2)=ABS(U132),0,NA())</f>
        <v>#N/A</v>
      </c>
      <c r="U132">
        <v>-2.71</v>
      </c>
      <c r="V132">
        <f t="shared" ref="V132:V195" si="7">_xlfn.NORM.S.DIST(U132,0)</f>
        <v>1.0142826894787077E-2</v>
      </c>
      <c r="W132" t="e">
        <f t="shared" ref="W132:W195" si="8">IF(ABS(U132)&lt;=$B$2,V132,NA())</f>
        <v>#N/A</v>
      </c>
    </row>
    <row r="133" spans="20:23" x14ac:dyDescent="0.3">
      <c r="T133" t="e">
        <f t="shared" si="6"/>
        <v>#N/A</v>
      </c>
      <c r="U133">
        <v>-2.7</v>
      </c>
      <c r="V133">
        <f t="shared" si="7"/>
        <v>1.0420934814422592E-2</v>
      </c>
      <c r="W133" t="e">
        <f t="shared" si="8"/>
        <v>#N/A</v>
      </c>
    </row>
    <row r="134" spans="20:23" x14ac:dyDescent="0.3">
      <c r="T134" t="e">
        <f t="shared" si="6"/>
        <v>#N/A</v>
      </c>
      <c r="U134">
        <v>-2.69</v>
      </c>
      <c r="V134">
        <f t="shared" si="7"/>
        <v>1.0705597609772187E-2</v>
      </c>
      <c r="W134" t="e">
        <f t="shared" si="8"/>
        <v>#N/A</v>
      </c>
    </row>
    <row r="135" spans="20:23" x14ac:dyDescent="0.3">
      <c r="T135" t="e">
        <f t="shared" si="6"/>
        <v>#N/A</v>
      </c>
      <c r="U135">
        <v>-2.68</v>
      </c>
      <c r="V135">
        <f t="shared" si="7"/>
        <v>1.0996936629405572E-2</v>
      </c>
      <c r="W135" t="e">
        <f t="shared" si="8"/>
        <v>#N/A</v>
      </c>
    </row>
    <row r="136" spans="20:23" x14ac:dyDescent="0.3">
      <c r="T136" t="e">
        <f t="shared" si="6"/>
        <v>#N/A</v>
      </c>
      <c r="U136">
        <v>-2.67</v>
      </c>
      <c r="V136">
        <f t="shared" si="7"/>
        <v>1.1295074500456135E-2</v>
      </c>
      <c r="W136" t="e">
        <f t="shared" si="8"/>
        <v>#N/A</v>
      </c>
    </row>
    <row r="137" spans="20:23" x14ac:dyDescent="0.3">
      <c r="T137" t="e">
        <f t="shared" si="6"/>
        <v>#N/A</v>
      </c>
      <c r="U137">
        <v>-2.66</v>
      </c>
      <c r="V137">
        <f t="shared" si="7"/>
        <v>1.1600135113702561E-2</v>
      </c>
      <c r="W137" t="e">
        <f t="shared" si="8"/>
        <v>#N/A</v>
      </c>
    </row>
    <row r="138" spans="20:23" x14ac:dyDescent="0.3">
      <c r="T138" t="e">
        <f t="shared" si="6"/>
        <v>#N/A</v>
      </c>
      <c r="U138">
        <v>-2.65</v>
      </c>
      <c r="V138">
        <f t="shared" si="7"/>
        <v>1.1912243607605179E-2</v>
      </c>
      <c r="W138" t="e">
        <f t="shared" si="8"/>
        <v>#N/A</v>
      </c>
    </row>
    <row r="139" spans="20:23" x14ac:dyDescent="0.3">
      <c r="T139" t="e">
        <f t="shared" si="6"/>
        <v>#N/A</v>
      </c>
      <c r="U139">
        <v>-2.64</v>
      </c>
      <c r="V139">
        <f t="shared" si="7"/>
        <v>1.2231526351277971E-2</v>
      </c>
      <c r="W139" t="e">
        <f t="shared" si="8"/>
        <v>#N/A</v>
      </c>
    </row>
    <row r="140" spans="20:23" x14ac:dyDescent="0.3">
      <c r="T140" t="e">
        <f t="shared" si="6"/>
        <v>#N/A</v>
      </c>
      <c r="U140">
        <v>-2.63</v>
      </c>
      <c r="V140">
        <f t="shared" si="7"/>
        <v>1.2558110926378211E-2</v>
      </c>
      <c r="W140" t="e">
        <f t="shared" si="8"/>
        <v>#N/A</v>
      </c>
    </row>
    <row r="141" spans="20:23" x14ac:dyDescent="0.3">
      <c r="T141" t="e">
        <f t="shared" si="6"/>
        <v>#N/A</v>
      </c>
      <c r="U141">
        <v>-2.62</v>
      </c>
      <c r="V141">
        <f t="shared" si="7"/>
        <v>1.2892126107895304E-2</v>
      </c>
      <c r="W141" t="e">
        <f t="shared" si="8"/>
        <v>#N/A</v>
      </c>
    </row>
    <row r="142" spans="20:23" x14ac:dyDescent="0.3">
      <c r="T142" t="e">
        <f t="shared" si="6"/>
        <v>#N/A</v>
      </c>
      <c r="U142">
        <v>-2.61</v>
      </c>
      <c r="V142">
        <f t="shared" si="7"/>
        <v>1.3233701843821374E-2</v>
      </c>
      <c r="W142" t="e">
        <f t="shared" si="8"/>
        <v>#N/A</v>
      </c>
    </row>
    <row r="143" spans="20:23" x14ac:dyDescent="0.3">
      <c r="T143" t="e">
        <f t="shared" si="6"/>
        <v>#N/A</v>
      </c>
      <c r="U143">
        <v>-2.6</v>
      </c>
      <c r="V143">
        <f t="shared" si="7"/>
        <v>1.3582969233685613E-2</v>
      </c>
      <c r="W143" t="e">
        <f t="shared" si="8"/>
        <v>#N/A</v>
      </c>
    </row>
    <row r="144" spans="20:23" x14ac:dyDescent="0.3">
      <c r="T144" t="e">
        <f t="shared" si="6"/>
        <v>#N/A</v>
      </c>
      <c r="U144">
        <v>-2.59</v>
      </c>
      <c r="V144">
        <f t="shared" si="7"/>
        <v>1.3940060505935825E-2</v>
      </c>
      <c r="W144" t="e">
        <f t="shared" si="8"/>
        <v>#N/A</v>
      </c>
    </row>
    <row r="145" spans="20:23" x14ac:dyDescent="0.3">
      <c r="T145" t="e">
        <f t="shared" si="6"/>
        <v>#N/A</v>
      </c>
      <c r="U145">
        <v>-2.58</v>
      </c>
      <c r="V145">
        <f t="shared" si="7"/>
        <v>1.430510899414969E-2</v>
      </c>
      <c r="W145" t="e">
        <f t="shared" si="8"/>
        <v>#N/A</v>
      </c>
    </row>
    <row r="146" spans="20:23" x14ac:dyDescent="0.3">
      <c r="T146" t="e">
        <f t="shared" si="6"/>
        <v>#N/A</v>
      </c>
      <c r="U146">
        <v>-2.57</v>
      </c>
      <c r="V146">
        <f t="shared" si="7"/>
        <v>1.4678249112060044E-2</v>
      </c>
      <c r="W146" t="e">
        <f t="shared" si="8"/>
        <v>#N/A</v>
      </c>
    </row>
    <row r="147" spans="20:23" x14ac:dyDescent="0.3">
      <c r="T147" t="e">
        <f t="shared" si="6"/>
        <v>#N/A</v>
      </c>
      <c r="U147">
        <v>-2.56</v>
      </c>
      <c r="V147">
        <f t="shared" si="7"/>
        <v>1.5059616327377449E-2</v>
      </c>
      <c r="W147" t="e">
        <f t="shared" si="8"/>
        <v>#N/A</v>
      </c>
    </row>
    <row r="148" spans="20:23" x14ac:dyDescent="0.3">
      <c r="T148" t="e">
        <f t="shared" si="6"/>
        <v>#N/A</v>
      </c>
      <c r="U148">
        <v>-2.5499999999999998</v>
      </c>
      <c r="V148">
        <f t="shared" si="7"/>
        <v>1.5449347134395174E-2</v>
      </c>
      <c r="W148" t="e">
        <f t="shared" si="8"/>
        <v>#N/A</v>
      </c>
    </row>
    <row r="149" spans="20:23" x14ac:dyDescent="0.3">
      <c r="T149" t="e">
        <f t="shared" si="6"/>
        <v>#N/A</v>
      </c>
      <c r="U149">
        <v>-2.54</v>
      </c>
      <c r="V149">
        <f t="shared" si="7"/>
        <v>1.5847579025360818E-2</v>
      </c>
      <c r="W149" t="e">
        <f t="shared" si="8"/>
        <v>#N/A</v>
      </c>
    </row>
    <row r="150" spans="20:23" x14ac:dyDescent="0.3">
      <c r="T150" t="e">
        <f t="shared" si="6"/>
        <v>#N/A</v>
      </c>
      <c r="U150">
        <v>-2.5299999999999998</v>
      </c>
      <c r="V150">
        <f t="shared" si="7"/>
        <v>1.6254450460600506E-2</v>
      </c>
      <c r="W150" t="e">
        <f t="shared" si="8"/>
        <v>#N/A</v>
      </c>
    </row>
    <row r="151" spans="20:23" x14ac:dyDescent="0.3">
      <c r="T151" t="e">
        <f t="shared" si="6"/>
        <v>#N/A</v>
      </c>
      <c r="U151">
        <v>-2.52</v>
      </c>
      <c r="V151">
        <f t="shared" si="7"/>
        <v>1.6670100837381057E-2</v>
      </c>
      <c r="W151" t="e">
        <f t="shared" si="8"/>
        <v>#N/A</v>
      </c>
    </row>
    <row r="152" spans="20:23" x14ac:dyDescent="0.3">
      <c r="T152" t="e">
        <f t="shared" si="6"/>
        <v>#N/A</v>
      </c>
      <c r="U152">
        <v>-2.5099999999999998</v>
      </c>
      <c r="V152">
        <f t="shared" si="7"/>
        <v>1.7094670457496956E-2</v>
      </c>
      <c r="W152" t="e">
        <f t="shared" si="8"/>
        <v>#N/A</v>
      </c>
    </row>
    <row r="153" spans="20:23" x14ac:dyDescent="0.3">
      <c r="T153" t="e">
        <f t="shared" si="6"/>
        <v>#N/A</v>
      </c>
      <c r="U153">
        <v>-2.5</v>
      </c>
      <c r="V153">
        <f t="shared" si="7"/>
        <v>1.752830049356854E-2</v>
      </c>
      <c r="W153" t="e">
        <f t="shared" si="8"/>
        <v>#N/A</v>
      </c>
    </row>
    <row r="154" spans="20:23" x14ac:dyDescent="0.3">
      <c r="T154" t="e">
        <f t="shared" si="6"/>
        <v>#N/A</v>
      </c>
      <c r="U154">
        <v>-2.4900000000000002</v>
      </c>
      <c r="V154">
        <f t="shared" si="7"/>
        <v>1.7971132954039633E-2</v>
      </c>
      <c r="W154" t="e">
        <f t="shared" si="8"/>
        <v>#N/A</v>
      </c>
    </row>
    <row r="155" spans="20:23" x14ac:dyDescent="0.3">
      <c r="T155" t="e">
        <f t="shared" si="6"/>
        <v>#N/A</v>
      </c>
      <c r="U155">
        <v>-2.48</v>
      </c>
      <c r="V155">
        <f t="shared" si="7"/>
        <v>1.8423310646862048E-2</v>
      </c>
      <c r="W155" t="e">
        <f t="shared" si="8"/>
        <v>#N/A</v>
      </c>
    </row>
    <row r="156" spans="20:23" x14ac:dyDescent="0.3">
      <c r="T156" t="e">
        <f t="shared" si="6"/>
        <v>#N/A</v>
      </c>
      <c r="U156">
        <v>-2.4700000000000002</v>
      </c>
      <c r="V156">
        <f t="shared" si="7"/>
        <v>1.8884977141856163E-2</v>
      </c>
      <c r="W156" t="e">
        <f t="shared" si="8"/>
        <v>#N/A</v>
      </c>
    </row>
    <row r="157" spans="20:23" x14ac:dyDescent="0.3">
      <c r="T157" t="e">
        <f t="shared" si="6"/>
        <v>#N/A</v>
      </c>
      <c r="U157">
        <v>-2.46</v>
      </c>
      <c r="V157">
        <f t="shared" si="7"/>
        <v>1.9356276731736961E-2</v>
      </c>
      <c r="W157" t="e">
        <f t="shared" si="8"/>
        <v>#N/A</v>
      </c>
    </row>
    <row r="158" spans="20:23" x14ac:dyDescent="0.3">
      <c r="T158" t="e">
        <f t="shared" si="6"/>
        <v>#N/A</v>
      </c>
      <c r="U158">
        <v>-2.4500000000000002</v>
      </c>
      <c r="V158">
        <f t="shared" si="7"/>
        <v>1.9837354391795313E-2</v>
      </c>
      <c r="W158" t="e">
        <f t="shared" si="8"/>
        <v>#N/A</v>
      </c>
    </row>
    <row r="159" spans="20:23" x14ac:dyDescent="0.3">
      <c r="T159" t="e">
        <f t="shared" si="6"/>
        <v>#N/A</v>
      </c>
      <c r="U159">
        <v>-2.44</v>
      </c>
      <c r="V159">
        <f t="shared" si="7"/>
        <v>2.0328355738225837E-2</v>
      </c>
      <c r="W159" t="e">
        <f t="shared" si="8"/>
        <v>#N/A</v>
      </c>
    </row>
    <row r="160" spans="20:23" x14ac:dyDescent="0.3">
      <c r="T160" t="e">
        <f t="shared" si="6"/>
        <v>#N/A</v>
      </c>
      <c r="U160">
        <v>-2.4300000000000002</v>
      </c>
      <c r="V160">
        <f t="shared" si="7"/>
        <v>2.0829426985092186E-2</v>
      </c>
      <c r="W160" t="e">
        <f t="shared" si="8"/>
        <v>#N/A</v>
      </c>
    </row>
    <row r="161" spans="20:23" x14ac:dyDescent="0.3">
      <c r="T161" t="e">
        <f t="shared" si="6"/>
        <v>#N/A</v>
      </c>
      <c r="U161">
        <v>-2.42</v>
      </c>
      <c r="V161">
        <f t="shared" si="7"/>
        <v>2.1340714899922782E-2</v>
      </c>
      <c r="W161" t="e">
        <f t="shared" si="8"/>
        <v>#N/A</v>
      </c>
    </row>
    <row r="162" spans="20:23" x14ac:dyDescent="0.3">
      <c r="T162" t="e">
        <f t="shared" si="6"/>
        <v>#N/A</v>
      </c>
      <c r="U162">
        <v>-2.41</v>
      </c>
      <c r="V162">
        <f t="shared" si="7"/>
        <v>2.1862366757929387E-2</v>
      </c>
      <c r="W162" t="e">
        <f t="shared" si="8"/>
        <v>#N/A</v>
      </c>
    </row>
    <row r="163" spans="20:23" x14ac:dyDescent="0.3">
      <c r="T163" t="e">
        <f t="shared" si="6"/>
        <v>#N/A</v>
      </c>
      <c r="U163">
        <v>-2.4</v>
      </c>
      <c r="V163">
        <f t="shared" si="7"/>
        <v>2.2394530294842899E-2</v>
      </c>
      <c r="W163" t="e">
        <f t="shared" si="8"/>
        <v>#N/A</v>
      </c>
    </row>
    <row r="164" spans="20:23" x14ac:dyDescent="0.3">
      <c r="T164" t="e">
        <f t="shared" si="6"/>
        <v>#N/A</v>
      </c>
      <c r="U164">
        <v>-2.39</v>
      </c>
      <c r="V164">
        <f t="shared" si="7"/>
        <v>2.2937353658360693E-2</v>
      </c>
      <c r="W164" t="e">
        <f t="shared" si="8"/>
        <v>#N/A</v>
      </c>
    </row>
    <row r="165" spans="20:23" x14ac:dyDescent="0.3">
      <c r="T165" t="e">
        <f t="shared" si="6"/>
        <v>#N/A</v>
      </c>
      <c r="U165">
        <v>-2.38</v>
      </c>
      <c r="V165">
        <f t="shared" si="7"/>
        <v>2.3490985358201363E-2</v>
      </c>
      <c r="W165" t="e">
        <f t="shared" si="8"/>
        <v>#N/A</v>
      </c>
    </row>
    <row r="166" spans="20:23" x14ac:dyDescent="0.3">
      <c r="T166" t="e">
        <f t="shared" si="6"/>
        <v>#N/A</v>
      </c>
      <c r="U166">
        <v>-2.37</v>
      </c>
      <c r="V166">
        <f t="shared" si="7"/>
        <v>2.4055574214762971E-2</v>
      </c>
      <c r="W166" t="e">
        <f t="shared" si="8"/>
        <v>#N/A</v>
      </c>
    </row>
    <row r="167" spans="20:23" x14ac:dyDescent="0.3">
      <c r="T167" t="e">
        <f t="shared" si="6"/>
        <v>#N/A</v>
      </c>
      <c r="U167">
        <v>-2.36</v>
      </c>
      <c r="V167">
        <f t="shared" si="7"/>
        <v>2.4631269306382507E-2</v>
      </c>
      <c r="W167" t="e">
        <f t="shared" si="8"/>
        <v>#N/A</v>
      </c>
    </row>
    <row r="168" spans="20:23" x14ac:dyDescent="0.3">
      <c r="T168" t="e">
        <f t="shared" si="6"/>
        <v>#N/A</v>
      </c>
      <c r="U168">
        <v>-2.35</v>
      </c>
      <c r="V168">
        <f t="shared" si="7"/>
        <v>2.5218219915194382E-2</v>
      </c>
      <c r="W168" t="e">
        <f t="shared" si="8"/>
        <v>#N/A</v>
      </c>
    </row>
    <row r="169" spans="20:23" x14ac:dyDescent="0.3">
      <c r="T169" t="e">
        <f t="shared" si="6"/>
        <v>#N/A</v>
      </c>
      <c r="U169">
        <v>-2.34</v>
      </c>
      <c r="V169">
        <f t="shared" si="7"/>
        <v>2.581657547158769E-2</v>
      </c>
      <c r="W169" t="e">
        <f t="shared" si="8"/>
        <v>#N/A</v>
      </c>
    </row>
    <row r="170" spans="20:23" x14ac:dyDescent="0.3">
      <c r="T170" t="e">
        <f t="shared" si="6"/>
        <v>#N/A</v>
      </c>
      <c r="U170">
        <v>-2.33</v>
      </c>
      <c r="V170">
        <f t="shared" si="7"/>
        <v>2.6426485497261721E-2</v>
      </c>
      <c r="W170" t="e">
        <f t="shared" si="8"/>
        <v>#N/A</v>
      </c>
    </row>
    <row r="171" spans="20:23" x14ac:dyDescent="0.3">
      <c r="T171" t="e">
        <f t="shared" si="6"/>
        <v>#N/A</v>
      </c>
      <c r="U171">
        <v>-2.3199999999999998</v>
      </c>
      <c r="V171">
        <f t="shared" si="7"/>
        <v>2.7048099546881785E-2</v>
      </c>
      <c r="W171" t="e">
        <f t="shared" si="8"/>
        <v>#N/A</v>
      </c>
    </row>
    <row r="172" spans="20:23" x14ac:dyDescent="0.3">
      <c r="T172" t="e">
        <f t="shared" si="6"/>
        <v>#N/A</v>
      </c>
      <c r="U172">
        <v>-2.31</v>
      </c>
      <c r="V172">
        <f t="shared" si="7"/>
        <v>2.7681567148336573E-2</v>
      </c>
      <c r="W172" t="e">
        <f t="shared" si="8"/>
        <v>#N/A</v>
      </c>
    </row>
    <row r="173" spans="20:23" x14ac:dyDescent="0.3">
      <c r="T173" t="e">
        <f t="shared" si="6"/>
        <v>#N/A</v>
      </c>
      <c r="U173">
        <v>-2.2999999999999998</v>
      </c>
      <c r="V173">
        <f t="shared" si="7"/>
        <v>2.8327037741601186E-2</v>
      </c>
      <c r="W173" t="e">
        <f t="shared" si="8"/>
        <v>#N/A</v>
      </c>
    </row>
    <row r="174" spans="20:23" x14ac:dyDescent="0.3">
      <c r="T174" t="e">
        <f t="shared" si="6"/>
        <v>#N/A</v>
      </c>
      <c r="U174">
        <v>-2.29</v>
      </c>
      <c r="V174">
        <f t="shared" si="7"/>
        <v>2.8984660616209412E-2</v>
      </c>
      <c r="W174" t="e">
        <f t="shared" si="8"/>
        <v>#N/A</v>
      </c>
    </row>
    <row r="175" spans="20:23" x14ac:dyDescent="0.3">
      <c r="T175" t="e">
        <f t="shared" si="6"/>
        <v>#N/A</v>
      </c>
      <c r="U175">
        <v>-2.2799999999999998</v>
      </c>
      <c r="V175">
        <f t="shared" si="7"/>
        <v>2.9654584847341278E-2</v>
      </c>
      <c r="W175" t="e">
        <f t="shared" si="8"/>
        <v>#N/A</v>
      </c>
    </row>
    <row r="176" spans="20:23" x14ac:dyDescent="0.3">
      <c r="T176" t="e">
        <f t="shared" si="6"/>
        <v>#N/A</v>
      </c>
      <c r="U176">
        <v>-2.27</v>
      </c>
      <c r="V176">
        <f t="shared" si="7"/>
        <v>3.0336959230531636E-2</v>
      </c>
      <c r="W176" t="e">
        <f t="shared" si="8"/>
        <v>#N/A</v>
      </c>
    </row>
    <row r="177" spans="20:23" x14ac:dyDescent="0.3">
      <c r="T177" t="e">
        <f t="shared" si="6"/>
        <v>#N/A</v>
      </c>
      <c r="U177">
        <v>-2.2599999999999998</v>
      </c>
      <c r="V177">
        <f t="shared" si="7"/>
        <v>3.103193221500827E-2</v>
      </c>
      <c r="W177" t="e">
        <f t="shared" si="8"/>
        <v>#N/A</v>
      </c>
    </row>
    <row r="178" spans="20:23" x14ac:dyDescent="0.3">
      <c r="T178" t="e">
        <f t="shared" si="6"/>
        <v>#N/A</v>
      </c>
      <c r="U178">
        <v>-2.25</v>
      </c>
      <c r="V178">
        <f t="shared" si="7"/>
        <v>3.1739651835667418E-2</v>
      </c>
      <c r="W178" t="e">
        <f t="shared" si="8"/>
        <v>#N/A</v>
      </c>
    </row>
    <row r="179" spans="20:23" x14ac:dyDescent="0.3">
      <c r="T179" t="e">
        <f t="shared" si="6"/>
        <v>#N/A</v>
      </c>
      <c r="U179">
        <v>-2.2400000000000002</v>
      </c>
      <c r="V179">
        <f t="shared" si="7"/>
        <v>3.2460265643697445E-2</v>
      </c>
      <c r="W179" t="e">
        <f t="shared" si="8"/>
        <v>#N/A</v>
      </c>
    </row>
    <row r="180" spans="20:23" x14ac:dyDescent="0.3">
      <c r="T180" t="e">
        <f t="shared" si="6"/>
        <v>#N/A</v>
      </c>
      <c r="U180">
        <v>-2.23</v>
      </c>
      <c r="V180">
        <f t="shared" si="7"/>
        <v>3.3193920635861122E-2</v>
      </c>
      <c r="W180" t="e">
        <f t="shared" si="8"/>
        <v>#N/A</v>
      </c>
    </row>
    <row r="181" spans="20:23" x14ac:dyDescent="0.3">
      <c r="T181" t="e">
        <f t="shared" si="6"/>
        <v>#N/A</v>
      </c>
      <c r="U181">
        <v>-2.2200000000000002</v>
      </c>
      <c r="V181">
        <f t="shared" si="7"/>
        <v>3.3940763182449186E-2</v>
      </c>
      <c r="W181" t="e">
        <f t="shared" si="8"/>
        <v>#N/A</v>
      </c>
    </row>
    <row r="182" spans="20:23" x14ac:dyDescent="0.3">
      <c r="T182" t="e">
        <f t="shared" si="6"/>
        <v>#N/A</v>
      </c>
      <c r="U182">
        <v>-2.21</v>
      </c>
      <c r="V182">
        <f t="shared" si="7"/>
        <v>3.470093895391882E-2</v>
      </c>
      <c r="W182" t="e">
        <f t="shared" si="8"/>
        <v>#N/A</v>
      </c>
    </row>
    <row r="183" spans="20:23" x14ac:dyDescent="0.3">
      <c r="T183" t="e">
        <f t="shared" si="6"/>
        <v>#N/A</v>
      </c>
      <c r="U183">
        <v>-2.2000000000000002</v>
      </c>
      <c r="V183">
        <f t="shared" si="7"/>
        <v>3.5474592846231424E-2</v>
      </c>
      <c r="W183" t="e">
        <f t="shared" si="8"/>
        <v>#N/A</v>
      </c>
    </row>
    <row r="184" spans="20:23" x14ac:dyDescent="0.3">
      <c r="T184" t="e">
        <f t="shared" si="6"/>
        <v>#N/A</v>
      </c>
      <c r="U184">
        <v>-2.19</v>
      </c>
      <c r="V184">
        <f t="shared" si="7"/>
        <v>3.6261868904906222E-2</v>
      </c>
      <c r="W184" t="e">
        <f t="shared" si="8"/>
        <v>#N/A</v>
      </c>
    </row>
    <row r="185" spans="20:23" x14ac:dyDescent="0.3">
      <c r="T185" t="e">
        <f t="shared" si="6"/>
        <v>#N/A</v>
      </c>
      <c r="U185">
        <v>-2.1800000000000002</v>
      </c>
      <c r="V185">
        <f t="shared" si="7"/>
        <v>3.7062910247806474E-2</v>
      </c>
      <c r="W185" t="e">
        <f t="shared" si="8"/>
        <v>#N/A</v>
      </c>
    </row>
    <row r="186" spans="20:23" x14ac:dyDescent="0.3">
      <c r="T186" t="e">
        <f t="shared" si="6"/>
        <v>#N/A</v>
      </c>
      <c r="U186">
        <v>-2.17</v>
      </c>
      <c r="V186">
        <f t="shared" si="7"/>
        <v>3.7877858986677483E-2</v>
      </c>
      <c r="W186" t="e">
        <f t="shared" si="8"/>
        <v>#N/A</v>
      </c>
    </row>
    <row r="187" spans="20:23" x14ac:dyDescent="0.3">
      <c r="T187" t="e">
        <f t="shared" si="6"/>
        <v>#N/A</v>
      </c>
      <c r="U187">
        <v>-2.16</v>
      </c>
      <c r="V187">
        <f t="shared" si="7"/>
        <v>3.8706856147455608E-2</v>
      </c>
      <c r="W187" t="e">
        <f t="shared" si="8"/>
        <v>#N/A</v>
      </c>
    </row>
    <row r="188" spans="20:23" x14ac:dyDescent="0.3">
      <c r="T188" t="e">
        <f t="shared" si="6"/>
        <v>#N/A</v>
      </c>
      <c r="U188">
        <v>-2.15</v>
      </c>
      <c r="V188">
        <f t="shared" si="7"/>
        <v>3.955004158937022E-2</v>
      </c>
      <c r="W188" t="e">
        <f t="shared" si="8"/>
        <v>#N/A</v>
      </c>
    </row>
    <row r="189" spans="20:23" x14ac:dyDescent="0.3">
      <c r="T189" t="e">
        <f t="shared" si="6"/>
        <v>#N/A</v>
      </c>
      <c r="U189">
        <v>-2.14</v>
      </c>
      <c r="V189">
        <f t="shared" si="7"/>
        <v>4.0407553922860308E-2</v>
      </c>
      <c r="W189" t="e">
        <f t="shared" si="8"/>
        <v>#N/A</v>
      </c>
    </row>
    <row r="190" spans="20:23" x14ac:dyDescent="0.3">
      <c r="T190" t="e">
        <f t="shared" si="6"/>
        <v>#N/A</v>
      </c>
      <c r="U190">
        <v>-2.13</v>
      </c>
      <c r="V190">
        <f t="shared" si="7"/>
        <v>4.1279530426330417E-2</v>
      </c>
      <c r="W190" t="e">
        <f t="shared" si="8"/>
        <v>#N/A</v>
      </c>
    </row>
    <row r="191" spans="20:23" x14ac:dyDescent="0.3">
      <c r="T191" t="e">
        <f t="shared" si="6"/>
        <v>#N/A</v>
      </c>
      <c r="U191">
        <v>-2.12</v>
      </c>
      <c r="V191">
        <f t="shared" si="7"/>
        <v>4.2166106961770311E-2</v>
      </c>
      <c r="W191" t="e">
        <f t="shared" si="8"/>
        <v>#N/A</v>
      </c>
    </row>
    <row r="192" spans="20:23" x14ac:dyDescent="0.3">
      <c r="T192" t="e">
        <f t="shared" si="6"/>
        <v>#N/A</v>
      </c>
      <c r="U192">
        <v>-2.11</v>
      </c>
      <c r="V192">
        <f t="shared" si="7"/>
        <v>4.3067417889265734E-2</v>
      </c>
      <c r="W192" t="e">
        <f t="shared" si="8"/>
        <v>#N/A</v>
      </c>
    </row>
    <row r="193" spans="20:23" x14ac:dyDescent="0.3">
      <c r="T193" t="e">
        <f t="shared" si="6"/>
        <v>#N/A</v>
      </c>
      <c r="U193">
        <v>-2.1</v>
      </c>
      <c r="V193">
        <f t="shared" si="7"/>
        <v>4.3983595980427191E-2</v>
      </c>
      <c r="W193" t="e">
        <f t="shared" si="8"/>
        <v>#N/A</v>
      </c>
    </row>
    <row r="194" spans="20:23" x14ac:dyDescent="0.3">
      <c r="T194" t="e">
        <f t="shared" si="6"/>
        <v>#N/A</v>
      </c>
      <c r="U194">
        <v>-2.09</v>
      </c>
      <c r="V194">
        <f t="shared" si="7"/>
        <v>4.49147723307671E-2</v>
      </c>
      <c r="W194" t="e">
        <f t="shared" si="8"/>
        <v>#N/A</v>
      </c>
    </row>
    <row r="195" spans="20:23" x14ac:dyDescent="0.3">
      <c r="T195" t="e">
        <f t="shared" si="6"/>
        <v>#N/A</v>
      </c>
      <c r="U195">
        <v>-2.08</v>
      </c>
      <c r="V195">
        <f t="shared" si="7"/>
        <v>4.5861076271054887E-2</v>
      </c>
      <c r="W195" t="e">
        <f t="shared" si="8"/>
        <v>#N/A</v>
      </c>
    </row>
    <row r="196" spans="20:23" x14ac:dyDescent="0.3">
      <c r="T196" t="e">
        <f t="shared" ref="T196:T259" si="9">IF(ROUND($B$2,2)=ABS(U196),0,NA())</f>
        <v>#N/A</v>
      </c>
      <c r="U196">
        <v>-2.0699999999999998</v>
      </c>
      <c r="V196">
        <f t="shared" ref="V196:V259" si="10">_xlfn.NORM.S.DIST(U196,0)</f>
        <v>4.6822635277683163E-2</v>
      </c>
      <c r="W196" t="e">
        <f t="shared" ref="W196:W259" si="11">IF(ABS(U196)&lt;=$B$2,V196,NA())</f>
        <v>#N/A</v>
      </c>
    </row>
    <row r="197" spans="20:23" x14ac:dyDescent="0.3">
      <c r="T197" t="e">
        <f t="shared" si="9"/>
        <v>#N/A</v>
      </c>
      <c r="U197">
        <v>-2.06</v>
      </c>
      <c r="V197">
        <f t="shared" si="10"/>
        <v>4.7799574882077034E-2</v>
      </c>
      <c r="W197" t="e">
        <f t="shared" si="11"/>
        <v>#N/A</v>
      </c>
    </row>
    <row r="198" spans="20:23" x14ac:dyDescent="0.3">
      <c r="T198" t="e">
        <f t="shared" si="9"/>
        <v>#N/A</v>
      </c>
      <c r="U198">
        <v>-2.0499999999999998</v>
      </c>
      <c r="V198">
        <f t="shared" si="10"/>
        <v>4.8792018579182764E-2</v>
      </c>
      <c r="W198" t="e">
        <f t="shared" si="11"/>
        <v>#N/A</v>
      </c>
    </row>
    <row r="199" spans="20:23" x14ac:dyDescent="0.3">
      <c r="T199" t="e">
        <f t="shared" si="9"/>
        <v>#N/A</v>
      </c>
      <c r="U199">
        <v>-2.04</v>
      </c>
      <c r="V199">
        <f t="shared" si="10"/>
        <v>4.9800087735070775E-2</v>
      </c>
      <c r="W199" t="e">
        <f t="shared" si="11"/>
        <v>#N/A</v>
      </c>
    </row>
    <row r="200" spans="20:23" x14ac:dyDescent="0.3">
      <c r="T200" t="e">
        <f t="shared" si="9"/>
        <v>#N/A</v>
      </c>
      <c r="U200">
        <v>-2.0299999999999998</v>
      </c>
      <c r="V200">
        <f t="shared" si="10"/>
        <v>5.0823901493691204E-2</v>
      </c>
      <c r="W200" t="e">
        <f t="shared" si="11"/>
        <v>#N/A</v>
      </c>
    </row>
    <row r="201" spans="20:23" x14ac:dyDescent="0.3">
      <c r="T201" t="e">
        <f t="shared" si="9"/>
        <v>#N/A</v>
      </c>
      <c r="U201">
        <v>-2.02</v>
      </c>
      <c r="V201">
        <f t="shared" si="10"/>
        <v>5.1863576682820565E-2</v>
      </c>
      <c r="W201" t="e">
        <f t="shared" si="11"/>
        <v>#N/A</v>
      </c>
    </row>
    <row r="202" spans="20:23" x14ac:dyDescent="0.3">
      <c r="T202" t="e">
        <f t="shared" si="9"/>
        <v>#N/A</v>
      </c>
      <c r="U202">
        <v>-2.0099999999999998</v>
      </c>
      <c r="V202">
        <f t="shared" si="10"/>
        <v>5.2919227719240312E-2</v>
      </c>
      <c r="W202" t="e">
        <f t="shared" si="11"/>
        <v>#N/A</v>
      </c>
    </row>
    <row r="203" spans="20:23" x14ac:dyDescent="0.3">
      <c r="T203" t="e">
        <f t="shared" si="9"/>
        <v>#N/A</v>
      </c>
      <c r="U203">
        <v>-2</v>
      </c>
      <c r="V203">
        <f t="shared" si="10"/>
        <v>5.3990966513188063E-2</v>
      </c>
      <c r="W203" t="e">
        <f t="shared" si="11"/>
        <v>#N/A</v>
      </c>
    </row>
    <row r="204" spans="20:23" x14ac:dyDescent="0.3">
      <c r="T204" t="e">
        <f t="shared" si="9"/>
        <v>#N/A</v>
      </c>
      <c r="U204">
        <v>-1.99</v>
      </c>
      <c r="V204">
        <f t="shared" si="10"/>
        <v>5.5078902372125767E-2</v>
      </c>
      <c r="W204" t="e">
        <f t="shared" si="11"/>
        <v>#N/A</v>
      </c>
    </row>
    <row r="205" spans="20:23" x14ac:dyDescent="0.3">
      <c r="T205" t="e">
        <f t="shared" si="9"/>
        <v>#N/A</v>
      </c>
      <c r="U205">
        <v>-1.98</v>
      </c>
      <c r="V205">
        <f t="shared" si="10"/>
        <v>5.6183141903868049E-2</v>
      </c>
      <c r="W205" t="e">
        <f t="shared" si="11"/>
        <v>#N/A</v>
      </c>
    </row>
    <row r="206" spans="20:23" x14ac:dyDescent="0.3">
      <c r="T206" t="e">
        <f t="shared" si="9"/>
        <v>#N/A</v>
      </c>
      <c r="U206">
        <v>-1.97</v>
      </c>
      <c r="V206">
        <f t="shared" si="10"/>
        <v>5.7303788919117131E-2</v>
      </c>
      <c r="W206" t="e">
        <f t="shared" si="11"/>
        <v>#N/A</v>
      </c>
    </row>
    <row r="207" spans="20:23" x14ac:dyDescent="0.3">
      <c r="T207">
        <f t="shared" si="9"/>
        <v>0</v>
      </c>
      <c r="U207">
        <v>-1.96</v>
      </c>
      <c r="V207">
        <f t="shared" si="10"/>
        <v>5.8440944333451469E-2</v>
      </c>
      <c r="W207" t="e">
        <f t="shared" si="11"/>
        <v>#N/A</v>
      </c>
    </row>
    <row r="208" spans="20:23" x14ac:dyDescent="0.3">
      <c r="T208" t="e">
        <f t="shared" si="9"/>
        <v>#N/A</v>
      </c>
      <c r="U208">
        <v>-1.95</v>
      </c>
      <c r="V208">
        <f t="shared" si="10"/>
        <v>5.9594706068816075E-2</v>
      </c>
      <c r="W208">
        <f t="shared" si="11"/>
        <v>5.9594706068816075E-2</v>
      </c>
    </row>
    <row r="209" spans="20:23" x14ac:dyDescent="0.3">
      <c r="T209" t="e">
        <f t="shared" si="9"/>
        <v>#N/A</v>
      </c>
      <c r="U209">
        <v>-1.94</v>
      </c>
      <c r="V209">
        <f t="shared" si="10"/>
        <v>6.0765168954564776E-2</v>
      </c>
      <c r="W209">
        <f t="shared" si="11"/>
        <v>6.0765168954564776E-2</v>
      </c>
    </row>
    <row r="210" spans="20:23" x14ac:dyDescent="0.3">
      <c r="T210" t="e">
        <f t="shared" si="9"/>
        <v>#N/A</v>
      </c>
      <c r="U210">
        <v>-1.93</v>
      </c>
      <c r="V210">
        <f t="shared" si="10"/>
        <v>6.1952424628105164E-2</v>
      </c>
      <c r="W210">
        <f t="shared" si="11"/>
        <v>6.1952424628105164E-2</v>
      </c>
    </row>
    <row r="211" spans="20:23" x14ac:dyDescent="0.3">
      <c r="T211" t="e">
        <f t="shared" si="9"/>
        <v>#N/A</v>
      </c>
      <c r="U211">
        <v>-1.92</v>
      </c>
      <c r="V211">
        <f t="shared" si="10"/>
        <v>6.3156561435198655E-2</v>
      </c>
      <c r="W211">
        <f t="shared" si="11"/>
        <v>6.3156561435198655E-2</v>
      </c>
    </row>
    <row r="212" spans="20:23" x14ac:dyDescent="0.3">
      <c r="T212" t="e">
        <f t="shared" si="9"/>
        <v>#N/A</v>
      </c>
      <c r="U212">
        <v>-1.91</v>
      </c>
      <c r="V212">
        <f t="shared" si="10"/>
        <v>6.4377664329969359E-2</v>
      </c>
      <c r="W212">
        <f t="shared" si="11"/>
        <v>6.4377664329969359E-2</v>
      </c>
    </row>
    <row r="213" spans="20:23" x14ac:dyDescent="0.3">
      <c r="T213" t="e">
        <f t="shared" si="9"/>
        <v>#N/A</v>
      </c>
      <c r="U213">
        <v>-1.9</v>
      </c>
      <c r="V213">
        <f t="shared" si="10"/>
        <v>6.5615814774676595E-2</v>
      </c>
      <c r="W213">
        <f t="shared" si="11"/>
        <v>6.5615814774676595E-2</v>
      </c>
    </row>
    <row r="214" spans="20:23" x14ac:dyDescent="0.3">
      <c r="T214" t="e">
        <f t="shared" si="9"/>
        <v>#N/A</v>
      </c>
      <c r="U214">
        <v>-1.89</v>
      </c>
      <c r="V214">
        <f t="shared" si="10"/>
        <v>6.6871090639307157E-2</v>
      </c>
      <c r="W214">
        <f t="shared" si="11"/>
        <v>6.6871090639307157E-2</v>
      </c>
    </row>
    <row r="215" spans="20:23" x14ac:dyDescent="0.3">
      <c r="T215" t="e">
        <f t="shared" si="9"/>
        <v>#N/A</v>
      </c>
      <c r="U215">
        <v>-1.88</v>
      </c>
      <c r="V215">
        <f t="shared" si="10"/>
        <v>6.8143566101044578E-2</v>
      </c>
      <c r="W215">
        <f t="shared" si="11"/>
        <v>6.8143566101044578E-2</v>
      </c>
    </row>
    <row r="216" spans="20:23" x14ac:dyDescent="0.3">
      <c r="T216" t="e">
        <f t="shared" si="9"/>
        <v>#N/A</v>
      </c>
      <c r="U216">
        <v>-1.87</v>
      </c>
      <c r="V216">
        <f t="shared" si="10"/>
        <v>6.9433311543674187E-2</v>
      </c>
      <c r="W216">
        <f t="shared" si="11"/>
        <v>6.9433311543674187E-2</v>
      </c>
    </row>
    <row r="217" spans="20:23" x14ac:dyDescent="0.3">
      <c r="T217" t="e">
        <f t="shared" si="9"/>
        <v>#N/A</v>
      </c>
      <c r="U217">
        <v>-1.86</v>
      </c>
      <c r="V217">
        <f t="shared" si="10"/>
        <v>7.074039345698338E-2</v>
      </c>
      <c r="W217">
        <f t="shared" si="11"/>
        <v>7.074039345698338E-2</v>
      </c>
    </row>
    <row r="218" spans="20:23" x14ac:dyDescent="0.3">
      <c r="T218" t="e">
        <f t="shared" si="9"/>
        <v>#N/A</v>
      </c>
      <c r="U218">
        <v>-1.85</v>
      </c>
      <c r="V218">
        <f t="shared" si="10"/>
        <v>7.2064874336217985E-2</v>
      </c>
      <c r="W218">
        <f t="shared" si="11"/>
        <v>7.2064874336217985E-2</v>
      </c>
    </row>
    <row r="219" spans="20:23" x14ac:dyDescent="0.3">
      <c r="T219" t="e">
        <f t="shared" si="9"/>
        <v>#N/A</v>
      </c>
      <c r="U219">
        <v>-1.84</v>
      </c>
      <c r="V219">
        <f t="shared" si="10"/>
        <v>7.3406812581656891E-2</v>
      </c>
      <c r="W219">
        <f t="shared" si="11"/>
        <v>7.3406812581656891E-2</v>
      </c>
    </row>
    <row r="220" spans="20:23" x14ac:dyDescent="0.3">
      <c r="T220" t="e">
        <f t="shared" si="9"/>
        <v>#N/A</v>
      </c>
      <c r="U220">
        <v>-1.83</v>
      </c>
      <c r="V220">
        <f t="shared" si="10"/>
        <v>7.4766262398367603E-2</v>
      </c>
      <c r="W220">
        <f t="shared" si="11"/>
        <v>7.4766262398367603E-2</v>
      </c>
    </row>
    <row r="221" spans="20:23" x14ac:dyDescent="0.3">
      <c r="T221" t="e">
        <f t="shared" si="9"/>
        <v>#N/A</v>
      </c>
      <c r="U221">
        <v>-1.82</v>
      </c>
      <c r="V221">
        <f t="shared" si="10"/>
        <v>7.6143273696207311E-2</v>
      </c>
      <c r="W221">
        <f t="shared" si="11"/>
        <v>7.6143273696207311E-2</v>
      </c>
    </row>
    <row r="222" spans="20:23" x14ac:dyDescent="0.3">
      <c r="T222" t="e">
        <f t="shared" si="9"/>
        <v>#N/A</v>
      </c>
      <c r="U222">
        <v>-1.81</v>
      </c>
      <c r="V222">
        <f t="shared" si="10"/>
        <v>7.7537891990133986E-2</v>
      </c>
      <c r="W222">
        <f t="shared" si="11"/>
        <v>7.7537891990133986E-2</v>
      </c>
    </row>
    <row r="223" spans="20:23" x14ac:dyDescent="0.3">
      <c r="T223" t="e">
        <f t="shared" si="9"/>
        <v>#N/A</v>
      </c>
      <c r="U223">
        <v>-1.8</v>
      </c>
      <c r="V223">
        <f t="shared" si="10"/>
        <v>7.8950158300894149E-2</v>
      </c>
      <c r="W223">
        <f t="shared" si="11"/>
        <v>7.8950158300894149E-2</v>
      </c>
    </row>
    <row r="224" spans="20:23" x14ac:dyDescent="0.3">
      <c r="T224" t="e">
        <f t="shared" si="9"/>
        <v>#N/A</v>
      </c>
      <c r="U224">
        <v>-1.79</v>
      </c>
      <c r="V224">
        <f t="shared" si="10"/>
        <v>8.038010905615417E-2</v>
      </c>
      <c r="W224">
        <f t="shared" si="11"/>
        <v>8.038010905615417E-2</v>
      </c>
    </row>
    <row r="225" spans="20:23" x14ac:dyDescent="0.3">
      <c r="T225" t="e">
        <f t="shared" si="9"/>
        <v>#N/A</v>
      </c>
      <c r="U225">
        <v>-1.78</v>
      </c>
      <c r="V225">
        <f t="shared" si="10"/>
        <v>8.1827775992142804E-2</v>
      </c>
      <c r="W225">
        <f t="shared" si="11"/>
        <v>8.1827775992142804E-2</v>
      </c>
    </row>
    <row r="226" spans="20:23" x14ac:dyDescent="0.3">
      <c r="T226" t="e">
        <f t="shared" si="9"/>
        <v>#N/A</v>
      </c>
      <c r="U226">
        <v>-1.77</v>
      </c>
      <c r="V226">
        <f t="shared" si="10"/>
        <v>8.3293186055874463E-2</v>
      </c>
      <c r="W226">
        <f t="shared" si="11"/>
        <v>8.3293186055874463E-2</v>
      </c>
    </row>
    <row r="227" spans="20:23" x14ac:dyDescent="0.3">
      <c r="T227" t="e">
        <f t="shared" si="9"/>
        <v>#N/A</v>
      </c>
      <c r="U227">
        <v>-1.76</v>
      </c>
      <c r="V227">
        <f t="shared" si="10"/>
        <v>8.4776361308022227E-2</v>
      </c>
      <c r="W227">
        <f t="shared" si="11"/>
        <v>8.4776361308022227E-2</v>
      </c>
    </row>
    <row r="228" spans="20:23" x14ac:dyDescent="0.3">
      <c r="T228" t="e">
        <f t="shared" si="9"/>
        <v>#N/A</v>
      </c>
      <c r="U228">
        <v>-1.75</v>
      </c>
      <c r="V228">
        <f t="shared" si="10"/>
        <v>8.6277318826511532E-2</v>
      </c>
      <c r="W228">
        <f t="shared" si="11"/>
        <v>8.6277318826511532E-2</v>
      </c>
    </row>
    <row r="229" spans="20:23" x14ac:dyDescent="0.3">
      <c r="T229" t="e">
        <f t="shared" si="9"/>
        <v>#N/A</v>
      </c>
      <c r="U229">
        <v>-1.74</v>
      </c>
      <c r="V229">
        <f t="shared" si="10"/>
        <v>8.7796070610905622E-2</v>
      </c>
      <c r="W229">
        <f t="shared" si="11"/>
        <v>8.7796070610905622E-2</v>
      </c>
    </row>
    <row r="230" spans="20:23" x14ac:dyDescent="0.3">
      <c r="T230" t="e">
        <f t="shared" si="9"/>
        <v>#N/A</v>
      </c>
      <c r="U230">
        <v>-1.73</v>
      </c>
      <c r="V230">
        <f t="shared" si="10"/>
        <v>8.9332623487655E-2</v>
      </c>
      <c r="W230">
        <f t="shared" si="11"/>
        <v>8.9332623487655E-2</v>
      </c>
    </row>
    <row r="231" spans="20:23" x14ac:dyDescent="0.3">
      <c r="T231" t="e">
        <f t="shared" si="9"/>
        <v>#N/A</v>
      </c>
      <c r="U231">
        <v>-1.72</v>
      </c>
      <c r="V231">
        <f t="shared" si="10"/>
        <v>9.0886979016282871E-2</v>
      </c>
      <c r="W231">
        <f t="shared" si="11"/>
        <v>9.0886979016282871E-2</v>
      </c>
    </row>
    <row r="232" spans="20:23" x14ac:dyDescent="0.3">
      <c r="T232" t="e">
        <f t="shared" si="9"/>
        <v>#N/A</v>
      </c>
      <c r="U232">
        <v>-1.71</v>
      </c>
      <c r="V232">
        <f t="shared" si="10"/>
        <v>9.2459133396580684E-2</v>
      </c>
      <c r="W232">
        <f t="shared" si="11"/>
        <v>9.2459133396580684E-2</v>
      </c>
    </row>
    <row r="233" spans="20:23" x14ac:dyDescent="0.3">
      <c r="T233" t="e">
        <f t="shared" si="9"/>
        <v>#N/A</v>
      </c>
      <c r="U233">
        <v>-1.7</v>
      </c>
      <c r="V233">
        <f t="shared" si="10"/>
        <v>9.4049077376886947E-2</v>
      </c>
      <c r="W233">
        <f t="shared" si="11"/>
        <v>9.4049077376886947E-2</v>
      </c>
    </row>
    <row r="234" spans="20:23" x14ac:dyDescent="0.3">
      <c r="T234" t="e">
        <f t="shared" si="9"/>
        <v>#N/A</v>
      </c>
      <c r="U234">
        <v>-1.69</v>
      </c>
      <c r="V234">
        <f t="shared" si="10"/>
        <v>9.5656796163524016E-2</v>
      </c>
      <c r="W234">
        <f t="shared" si="11"/>
        <v>9.5656796163524016E-2</v>
      </c>
    </row>
    <row r="235" spans="20:23" x14ac:dyDescent="0.3">
      <c r="T235" t="e">
        <f t="shared" si="9"/>
        <v>#N/A</v>
      </c>
      <c r="U235">
        <v>-1.68</v>
      </c>
      <c r="V235">
        <f t="shared" si="10"/>
        <v>9.7282269331467511E-2</v>
      </c>
      <c r="W235">
        <f t="shared" si="11"/>
        <v>9.7282269331467511E-2</v>
      </c>
    </row>
    <row r="236" spans="20:23" x14ac:dyDescent="0.3">
      <c r="T236" t="e">
        <f t="shared" si="9"/>
        <v>#N/A</v>
      </c>
      <c r="U236">
        <v>-1.67</v>
      </c>
      <c r="V236">
        <f t="shared" si="10"/>
        <v>9.8925470736323712E-2</v>
      </c>
      <c r="W236">
        <f t="shared" si="11"/>
        <v>9.8925470736323712E-2</v>
      </c>
    </row>
    <row r="237" spans="20:23" x14ac:dyDescent="0.3">
      <c r="T237" t="e">
        <f t="shared" si="9"/>
        <v>#N/A</v>
      </c>
      <c r="U237">
        <v>-1.66</v>
      </c>
      <c r="V237">
        <f t="shared" si="10"/>
        <v>0.10058636842769057</v>
      </c>
      <c r="W237">
        <f t="shared" si="11"/>
        <v>0.10058636842769057</v>
      </c>
    </row>
    <row r="238" spans="20:23" x14ac:dyDescent="0.3">
      <c r="T238" t="e">
        <f t="shared" si="9"/>
        <v>#N/A</v>
      </c>
      <c r="U238">
        <v>-1.65</v>
      </c>
      <c r="V238">
        <f t="shared" si="10"/>
        <v>0.10226492456397804</v>
      </c>
      <c r="W238">
        <f t="shared" si="11"/>
        <v>0.10226492456397804</v>
      </c>
    </row>
    <row r="239" spans="20:23" x14ac:dyDescent="0.3">
      <c r="T239" t="e">
        <f t="shared" si="9"/>
        <v>#N/A</v>
      </c>
      <c r="U239">
        <v>-1.64</v>
      </c>
      <c r="V239">
        <f t="shared" si="10"/>
        <v>0.10396109532876423</v>
      </c>
      <c r="W239">
        <f t="shared" si="11"/>
        <v>0.10396109532876423</v>
      </c>
    </row>
    <row r="240" spans="20:23" x14ac:dyDescent="0.3">
      <c r="T240" t="e">
        <f t="shared" si="9"/>
        <v>#N/A</v>
      </c>
      <c r="U240">
        <v>-1.63</v>
      </c>
      <c r="V240">
        <f t="shared" si="10"/>
        <v>0.10567483084876363</v>
      </c>
      <c r="W240">
        <f t="shared" si="11"/>
        <v>0.10567483084876363</v>
      </c>
    </row>
    <row r="241" spans="20:23" x14ac:dyDescent="0.3">
      <c r="T241" t="e">
        <f t="shared" si="9"/>
        <v>#N/A</v>
      </c>
      <c r="U241">
        <v>-1.62</v>
      </c>
      <c r="V241">
        <f t="shared" si="10"/>
        <v>0.1074060751134838</v>
      </c>
      <c r="W241">
        <f t="shared" si="11"/>
        <v>0.1074060751134838</v>
      </c>
    </row>
    <row r="242" spans="20:23" x14ac:dyDescent="0.3">
      <c r="T242" t="e">
        <f t="shared" si="9"/>
        <v>#N/A</v>
      </c>
      <c r="U242">
        <v>-1.61</v>
      </c>
      <c r="V242">
        <f t="shared" si="10"/>
        <v>0.10915476589664735</v>
      </c>
      <c r="W242">
        <f t="shared" si="11"/>
        <v>0.10915476589664735</v>
      </c>
    </row>
    <row r="243" spans="20:23" x14ac:dyDescent="0.3">
      <c r="T243" t="e">
        <f t="shared" si="9"/>
        <v>#N/A</v>
      </c>
      <c r="U243">
        <v>-1.6</v>
      </c>
      <c r="V243">
        <f t="shared" si="10"/>
        <v>0.11092083467945554</v>
      </c>
      <c r="W243">
        <f t="shared" si="11"/>
        <v>0.11092083467945554</v>
      </c>
    </row>
    <row r="244" spans="20:23" x14ac:dyDescent="0.3">
      <c r="T244" t="e">
        <f t="shared" si="9"/>
        <v>#N/A</v>
      </c>
      <c r="U244">
        <v>-1.59</v>
      </c>
      <c r="V244">
        <f t="shared" si="10"/>
        <v>0.11270420657577056</v>
      </c>
      <c r="W244">
        <f t="shared" si="11"/>
        <v>0.11270420657577056</v>
      </c>
    </row>
    <row r="245" spans="20:23" x14ac:dyDescent="0.3">
      <c r="T245" t="e">
        <f t="shared" si="9"/>
        <v>#N/A</v>
      </c>
      <c r="U245">
        <v>-1.58</v>
      </c>
      <c r="V245">
        <f t="shared" si="10"/>
        <v>0.11450480025929236</v>
      </c>
      <c r="W245">
        <f t="shared" si="11"/>
        <v>0.11450480025929236</v>
      </c>
    </row>
    <row r="246" spans="20:23" x14ac:dyDescent="0.3">
      <c r="T246" t="e">
        <f t="shared" si="9"/>
        <v>#N/A</v>
      </c>
      <c r="U246">
        <v>-1.57</v>
      </c>
      <c r="V246">
        <f t="shared" si="10"/>
        <v>0.11632252789280709</v>
      </c>
      <c r="W246">
        <f t="shared" si="11"/>
        <v>0.11632252789280709</v>
      </c>
    </row>
    <row r="247" spans="20:23" x14ac:dyDescent="0.3">
      <c r="T247" t="e">
        <f t="shared" si="9"/>
        <v>#N/A</v>
      </c>
      <c r="U247">
        <v>-1.56</v>
      </c>
      <c r="V247">
        <f t="shared" si="10"/>
        <v>0.11815729505958227</v>
      </c>
      <c r="W247">
        <f t="shared" si="11"/>
        <v>0.11815729505958227</v>
      </c>
    </row>
    <row r="248" spans="20:23" x14ac:dyDescent="0.3">
      <c r="T248" t="e">
        <f t="shared" si="9"/>
        <v>#N/A</v>
      </c>
      <c r="U248">
        <v>-1.55</v>
      </c>
      <c r="V248">
        <f t="shared" si="10"/>
        <v>0.12000900069698558</v>
      </c>
      <c r="W248">
        <f t="shared" si="11"/>
        <v>0.12000900069698558</v>
      </c>
    </row>
    <row r="249" spans="20:23" x14ac:dyDescent="0.3">
      <c r="T249" t="e">
        <f t="shared" si="9"/>
        <v>#N/A</v>
      </c>
      <c r="U249">
        <v>-1.54</v>
      </c>
      <c r="V249">
        <f t="shared" si="10"/>
        <v>0.12187753703240178</v>
      </c>
      <c r="W249">
        <f t="shared" si="11"/>
        <v>0.12187753703240178</v>
      </c>
    </row>
    <row r="250" spans="20:23" x14ac:dyDescent="0.3">
      <c r="T250" t="e">
        <f t="shared" si="9"/>
        <v>#N/A</v>
      </c>
      <c r="U250">
        <v>-1.53</v>
      </c>
      <c r="V250">
        <f t="shared" si="10"/>
        <v>0.12376278952152313</v>
      </c>
      <c r="W250">
        <f t="shared" si="11"/>
        <v>0.12376278952152313</v>
      </c>
    </row>
    <row r="251" spans="20:23" x14ac:dyDescent="0.3">
      <c r="T251" t="e">
        <f t="shared" si="9"/>
        <v>#N/A</v>
      </c>
      <c r="U251">
        <v>-1.52</v>
      </c>
      <c r="V251">
        <f t="shared" si="10"/>
        <v>0.12566463678908815</v>
      </c>
      <c r="W251">
        <f t="shared" si="11"/>
        <v>0.12566463678908815</v>
      </c>
    </row>
    <row r="252" spans="20:23" x14ac:dyDescent="0.3">
      <c r="T252" t="e">
        <f t="shared" si="9"/>
        <v>#N/A</v>
      </c>
      <c r="U252">
        <v>-1.51</v>
      </c>
      <c r="V252">
        <f t="shared" si="10"/>
        <v>0.12758295057214186</v>
      </c>
      <c r="W252">
        <f t="shared" si="11"/>
        <v>0.12758295057214186</v>
      </c>
    </row>
    <row r="253" spans="20:23" x14ac:dyDescent="0.3">
      <c r="T253" t="e">
        <f t="shared" si="9"/>
        <v>#N/A</v>
      </c>
      <c r="U253">
        <v>-1.5</v>
      </c>
      <c r="V253">
        <f t="shared" si="10"/>
        <v>0.12951759566589174</v>
      </c>
      <c r="W253">
        <f t="shared" si="11"/>
        <v>0.12951759566589174</v>
      </c>
    </row>
    <row r="254" spans="20:23" x14ac:dyDescent="0.3">
      <c r="T254" t="e">
        <f t="shared" si="9"/>
        <v>#N/A</v>
      </c>
      <c r="U254">
        <v>-1.49</v>
      </c>
      <c r="V254">
        <f t="shared" si="10"/>
        <v>0.13146842987223104</v>
      </c>
      <c r="W254">
        <f t="shared" si="11"/>
        <v>0.13146842987223104</v>
      </c>
    </row>
    <row r="255" spans="20:23" x14ac:dyDescent="0.3">
      <c r="T255" t="e">
        <f t="shared" si="9"/>
        <v>#N/A</v>
      </c>
      <c r="U255">
        <v>-1.48</v>
      </c>
      <c r="V255">
        <f t="shared" si="10"/>
        <v>0.13343530395100231</v>
      </c>
      <c r="W255">
        <f t="shared" si="11"/>
        <v>0.13343530395100231</v>
      </c>
    </row>
    <row r="256" spans="20:23" x14ac:dyDescent="0.3">
      <c r="T256" t="e">
        <f t="shared" si="9"/>
        <v>#N/A</v>
      </c>
      <c r="U256">
        <v>-1.47</v>
      </c>
      <c r="V256">
        <f t="shared" si="10"/>
        <v>0.1354180615740713</v>
      </c>
      <c r="W256">
        <f t="shared" si="11"/>
        <v>0.1354180615740713</v>
      </c>
    </row>
    <row r="257" spans="20:23" x14ac:dyDescent="0.3">
      <c r="T257" t="e">
        <f t="shared" si="9"/>
        <v>#N/A</v>
      </c>
      <c r="U257">
        <v>-1.46</v>
      </c>
      <c r="V257">
        <f t="shared" si="10"/>
        <v>0.13741653928228179</v>
      </c>
      <c r="W257">
        <f t="shared" si="11"/>
        <v>0.13741653928228179</v>
      </c>
    </row>
    <row r="258" spans="20:23" x14ac:dyDescent="0.3">
      <c r="T258" t="e">
        <f t="shared" si="9"/>
        <v>#N/A</v>
      </c>
      <c r="U258">
        <v>-1.45</v>
      </c>
      <c r="V258">
        <f t="shared" si="10"/>
        <v>0.13943056644536028</v>
      </c>
      <c r="W258">
        <f t="shared" si="11"/>
        <v>0.13943056644536028</v>
      </c>
    </row>
    <row r="259" spans="20:23" x14ac:dyDescent="0.3">
      <c r="T259" t="e">
        <f t="shared" si="9"/>
        <v>#N/A</v>
      </c>
      <c r="U259">
        <v>-1.44</v>
      </c>
      <c r="V259">
        <f t="shared" si="10"/>
        <v>0.14145996522483878</v>
      </c>
      <c r="W259">
        <f t="shared" si="11"/>
        <v>0.14145996522483878</v>
      </c>
    </row>
    <row r="260" spans="20:23" x14ac:dyDescent="0.3">
      <c r="T260" t="e">
        <f t="shared" ref="T260:T323" si="12">IF(ROUND($B$2,2)=ABS(U260),0,NA())</f>
        <v>#N/A</v>
      </c>
      <c r="U260">
        <v>-1.43</v>
      </c>
      <c r="V260">
        <f t="shared" ref="V260:V323" si="13">_xlfn.NORM.S.DIST(U260,0)</f>
        <v>0.14350455054006242</v>
      </c>
      <c r="W260">
        <f t="shared" ref="W260:W323" si="14">IF(ABS(U260)&lt;=$B$2,V260,NA())</f>
        <v>0.14350455054006242</v>
      </c>
    </row>
    <row r="261" spans="20:23" x14ac:dyDescent="0.3">
      <c r="T261" t="e">
        <f t="shared" si="12"/>
        <v>#N/A</v>
      </c>
      <c r="U261">
        <v>-1.42</v>
      </c>
      <c r="V261">
        <f t="shared" si="13"/>
        <v>0.14556413003734761</v>
      </c>
      <c r="W261">
        <f t="shared" si="14"/>
        <v>0.14556413003734761</v>
      </c>
    </row>
    <row r="262" spans="20:23" x14ac:dyDescent="0.3">
      <c r="T262" t="e">
        <f t="shared" si="12"/>
        <v>#N/A</v>
      </c>
      <c r="U262">
        <v>-1.41</v>
      </c>
      <c r="V262">
        <f t="shared" si="13"/>
        <v>0.14763850406235574</v>
      </c>
      <c r="W262">
        <f t="shared" si="14"/>
        <v>0.14763850406235574</v>
      </c>
    </row>
    <row r="263" spans="20:23" x14ac:dyDescent="0.3">
      <c r="T263" t="e">
        <f t="shared" si="12"/>
        <v>#N/A</v>
      </c>
      <c r="U263">
        <v>-1.4</v>
      </c>
      <c r="V263">
        <f t="shared" si="13"/>
        <v>0.14972746563574488</v>
      </c>
      <c r="W263">
        <f t="shared" si="14"/>
        <v>0.14972746563574488</v>
      </c>
    </row>
    <row r="264" spans="20:23" x14ac:dyDescent="0.3">
      <c r="T264" t="e">
        <f t="shared" si="12"/>
        <v>#N/A</v>
      </c>
      <c r="U264">
        <v>-1.39</v>
      </c>
      <c r="V264">
        <f t="shared" si="13"/>
        <v>0.15183080043216168</v>
      </c>
      <c r="W264">
        <f t="shared" si="14"/>
        <v>0.15183080043216168</v>
      </c>
    </row>
    <row r="265" spans="20:23" x14ac:dyDescent="0.3">
      <c r="T265" t="e">
        <f t="shared" si="12"/>
        <v>#N/A</v>
      </c>
      <c r="U265">
        <v>-1.38</v>
      </c>
      <c r="V265">
        <f t="shared" si="13"/>
        <v>0.15394828676263372</v>
      </c>
      <c r="W265">
        <f t="shared" si="14"/>
        <v>0.15394828676263372</v>
      </c>
    </row>
    <row r="266" spans="20:23" x14ac:dyDescent="0.3">
      <c r="T266" t="e">
        <f t="shared" si="12"/>
        <v>#N/A</v>
      </c>
      <c r="U266">
        <v>-1.37</v>
      </c>
      <c r="V266">
        <f t="shared" si="13"/>
        <v>0.15607969556042084</v>
      </c>
      <c r="W266">
        <f t="shared" si="14"/>
        <v>0.15607969556042084</v>
      </c>
    </row>
    <row r="267" spans="20:23" x14ac:dyDescent="0.3">
      <c r="T267" t="e">
        <f t="shared" si="12"/>
        <v>#N/A</v>
      </c>
      <c r="U267">
        <v>-1.36</v>
      </c>
      <c r="V267">
        <f t="shared" si="13"/>
        <v>0.15822479037038303</v>
      </c>
      <c r="W267">
        <f t="shared" si="14"/>
        <v>0.15822479037038303</v>
      </c>
    </row>
    <row r="268" spans="20:23" x14ac:dyDescent="0.3">
      <c r="T268" t="e">
        <f t="shared" si="12"/>
        <v>#N/A</v>
      </c>
      <c r="U268">
        <v>-1.35</v>
      </c>
      <c r="V268">
        <f t="shared" si="13"/>
        <v>0.1603833273419196</v>
      </c>
      <c r="W268">
        <f t="shared" si="14"/>
        <v>0.1603833273419196</v>
      </c>
    </row>
    <row r="269" spans="20:23" x14ac:dyDescent="0.3">
      <c r="T269" t="e">
        <f t="shared" si="12"/>
        <v>#N/A</v>
      </c>
      <c r="U269">
        <v>-1.34</v>
      </c>
      <c r="V269">
        <f t="shared" si="13"/>
        <v>0.16255505522553412</v>
      </c>
      <c r="W269">
        <f t="shared" si="14"/>
        <v>0.16255505522553412</v>
      </c>
    </row>
    <row r="270" spans="20:23" x14ac:dyDescent="0.3">
      <c r="T270" t="e">
        <f t="shared" si="12"/>
        <v>#N/A</v>
      </c>
      <c r="U270">
        <v>-1.33</v>
      </c>
      <c r="V270">
        <f t="shared" si="13"/>
        <v>0.1647397153730768</v>
      </c>
      <c r="W270">
        <f t="shared" si="14"/>
        <v>0.1647397153730768</v>
      </c>
    </row>
    <row r="271" spans="20:23" x14ac:dyDescent="0.3">
      <c r="T271" t="e">
        <f t="shared" si="12"/>
        <v>#N/A</v>
      </c>
      <c r="U271">
        <v>-1.32</v>
      </c>
      <c r="V271">
        <f t="shared" si="13"/>
        <v>0.16693704174171381</v>
      </c>
      <c r="W271">
        <f t="shared" si="14"/>
        <v>0.16693704174171381</v>
      </c>
    </row>
    <row r="272" spans="20:23" x14ac:dyDescent="0.3">
      <c r="T272" t="e">
        <f t="shared" si="12"/>
        <v>#N/A</v>
      </c>
      <c r="U272">
        <v>-1.31</v>
      </c>
      <c r="V272">
        <f t="shared" si="13"/>
        <v>0.16914676090167238</v>
      </c>
      <c r="W272">
        <f t="shared" si="14"/>
        <v>0.16914676090167238</v>
      </c>
    </row>
    <row r="273" spans="20:23" x14ac:dyDescent="0.3">
      <c r="T273" t="e">
        <f t="shared" si="12"/>
        <v>#N/A</v>
      </c>
      <c r="U273">
        <v>-1.3</v>
      </c>
      <c r="V273">
        <f t="shared" si="13"/>
        <v>0.17136859204780736</v>
      </c>
      <c r="W273">
        <f t="shared" si="14"/>
        <v>0.17136859204780736</v>
      </c>
    </row>
    <row r="274" spans="20:23" x14ac:dyDescent="0.3">
      <c r="T274" t="e">
        <f t="shared" si="12"/>
        <v>#N/A</v>
      </c>
      <c r="U274">
        <v>-1.29</v>
      </c>
      <c r="V274">
        <f t="shared" si="13"/>
        <v>0.17360224701503299</v>
      </c>
      <c r="W274">
        <f t="shared" si="14"/>
        <v>0.17360224701503299</v>
      </c>
    </row>
    <row r="275" spans="20:23" x14ac:dyDescent="0.3">
      <c r="T275" t="e">
        <f t="shared" si="12"/>
        <v>#N/A</v>
      </c>
      <c r="U275">
        <v>-1.28</v>
      </c>
      <c r="V275">
        <f t="shared" si="13"/>
        <v>0.17584743029766237</v>
      </c>
      <c r="W275">
        <f t="shared" si="14"/>
        <v>0.17584743029766237</v>
      </c>
    </row>
    <row r="276" spans="20:23" x14ac:dyDescent="0.3">
      <c r="T276" t="e">
        <f t="shared" si="12"/>
        <v>#N/A</v>
      </c>
      <c r="U276">
        <v>-1.27</v>
      </c>
      <c r="V276">
        <f t="shared" si="13"/>
        <v>0.17810383907269359</v>
      </c>
      <c r="W276">
        <f t="shared" si="14"/>
        <v>0.17810383907269359</v>
      </c>
    </row>
    <row r="277" spans="20:23" x14ac:dyDescent="0.3">
      <c r="T277" t="e">
        <f t="shared" si="12"/>
        <v>#N/A</v>
      </c>
      <c r="U277">
        <v>-1.26</v>
      </c>
      <c r="V277">
        <f t="shared" si="13"/>
        <v>0.18037116322708033</v>
      </c>
      <c r="W277">
        <f t="shared" si="14"/>
        <v>0.18037116322708033</v>
      </c>
    </row>
    <row r="278" spans="20:23" x14ac:dyDescent="0.3">
      <c r="T278" t="e">
        <f t="shared" si="12"/>
        <v>#N/A</v>
      </c>
      <c r="U278">
        <v>-1.25</v>
      </c>
      <c r="V278">
        <f t="shared" si="13"/>
        <v>0.18264908538902191</v>
      </c>
      <c r="W278">
        <f t="shared" si="14"/>
        <v>0.18264908538902191</v>
      </c>
    </row>
    <row r="279" spans="20:23" x14ac:dyDescent="0.3">
      <c r="T279" t="e">
        <f t="shared" si="12"/>
        <v>#N/A</v>
      </c>
      <c r="U279">
        <v>-1.24</v>
      </c>
      <c r="V279">
        <f t="shared" si="13"/>
        <v>0.18493728096330531</v>
      </c>
      <c r="W279">
        <f t="shared" si="14"/>
        <v>0.18493728096330531</v>
      </c>
    </row>
    <row r="280" spans="20:23" x14ac:dyDescent="0.3">
      <c r="T280" t="e">
        <f t="shared" si="12"/>
        <v>#N/A</v>
      </c>
      <c r="U280">
        <v>-1.23</v>
      </c>
      <c r="V280">
        <f t="shared" si="13"/>
        <v>0.18723541817072956</v>
      </c>
      <c r="W280">
        <f t="shared" si="14"/>
        <v>0.18723541817072956</v>
      </c>
    </row>
    <row r="281" spans="20:23" x14ac:dyDescent="0.3">
      <c r="T281" t="e">
        <f t="shared" si="12"/>
        <v>#N/A</v>
      </c>
      <c r="U281">
        <v>-1.22</v>
      </c>
      <c r="V281">
        <f t="shared" si="13"/>
        <v>0.18954315809164024</v>
      </c>
      <c r="W281">
        <f t="shared" si="14"/>
        <v>0.18954315809164024</v>
      </c>
    </row>
    <row r="282" spans="20:23" x14ac:dyDescent="0.3">
      <c r="T282" t="e">
        <f t="shared" si="12"/>
        <v>#N/A</v>
      </c>
      <c r="U282">
        <v>-1.21</v>
      </c>
      <c r="V282">
        <f t="shared" si="13"/>
        <v>0.19186015471359938</v>
      </c>
      <c r="W282">
        <f t="shared" si="14"/>
        <v>0.19186015471359938</v>
      </c>
    </row>
    <row r="283" spans="20:23" x14ac:dyDescent="0.3">
      <c r="T283" t="e">
        <f t="shared" si="12"/>
        <v>#N/A</v>
      </c>
      <c r="U283">
        <v>-1.2</v>
      </c>
      <c r="V283">
        <f t="shared" si="13"/>
        <v>0.19418605498321295</v>
      </c>
      <c r="W283">
        <f t="shared" si="14"/>
        <v>0.19418605498321295</v>
      </c>
    </row>
    <row r="284" spans="20:23" x14ac:dyDescent="0.3">
      <c r="T284" t="e">
        <f t="shared" si="12"/>
        <v>#N/A</v>
      </c>
      <c r="U284">
        <v>-1.19</v>
      </c>
      <c r="V284">
        <f t="shared" si="13"/>
        <v>0.19652049886213654</v>
      </c>
      <c r="W284">
        <f t="shared" si="14"/>
        <v>0.19652049886213654</v>
      </c>
    </row>
    <row r="285" spans="20:23" x14ac:dyDescent="0.3">
      <c r="T285" t="e">
        <f t="shared" si="12"/>
        <v>#N/A</v>
      </c>
      <c r="U285">
        <v>-1.18</v>
      </c>
      <c r="V285">
        <f t="shared" si="13"/>
        <v>0.19886311938727591</v>
      </c>
      <c r="W285">
        <f t="shared" si="14"/>
        <v>0.19886311938727591</v>
      </c>
    </row>
    <row r="286" spans="20:23" x14ac:dyDescent="0.3">
      <c r="T286" t="e">
        <f t="shared" si="12"/>
        <v>#N/A</v>
      </c>
      <c r="U286">
        <v>-1.17</v>
      </c>
      <c r="V286">
        <f t="shared" si="13"/>
        <v>0.2012135427351974</v>
      </c>
      <c r="W286">
        <f t="shared" si="14"/>
        <v>0.2012135427351974</v>
      </c>
    </row>
    <row r="287" spans="20:23" x14ac:dyDescent="0.3">
      <c r="T287" t="e">
        <f t="shared" si="12"/>
        <v>#N/A</v>
      </c>
      <c r="U287">
        <v>-1.1599999999999999</v>
      </c>
      <c r="V287">
        <f t="shared" si="13"/>
        <v>0.20357138829075944</v>
      </c>
      <c r="W287">
        <f t="shared" si="14"/>
        <v>0.20357138829075944</v>
      </c>
    </row>
    <row r="288" spans="20:23" x14ac:dyDescent="0.3">
      <c r="T288" t="e">
        <f t="shared" si="12"/>
        <v>#N/A</v>
      </c>
      <c r="U288">
        <v>-1.1499999999999999</v>
      </c>
      <c r="V288">
        <f t="shared" si="13"/>
        <v>0.20593626871997478</v>
      </c>
      <c r="W288">
        <f t="shared" si="14"/>
        <v>0.20593626871997478</v>
      </c>
    </row>
    <row r="289" spans="20:23" x14ac:dyDescent="0.3">
      <c r="T289" t="e">
        <f t="shared" si="12"/>
        <v>#N/A</v>
      </c>
      <c r="U289">
        <v>-1.1399999999999999</v>
      </c>
      <c r="V289">
        <f t="shared" si="13"/>
        <v>0.20830779004710837</v>
      </c>
      <c r="W289">
        <f t="shared" si="14"/>
        <v>0.20830779004710837</v>
      </c>
    </row>
    <row r="290" spans="20:23" x14ac:dyDescent="0.3">
      <c r="T290" t="e">
        <f t="shared" si="12"/>
        <v>#N/A</v>
      </c>
      <c r="U290">
        <v>-1.1299999999999999</v>
      </c>
      <c r="V290">
        <f t="shared" si="13"/>
        <v>0.21068555173601533</v>
      </c>
      <c r="W290">
        <f t="shared" si="14"/>
        <v>0.21068555173601533</v>
      </c>
    </row>
    <row r="291" spans="20:23" x14ac:dyDescent="0.3">
      <c r="T291" t="e">
        <f t="shared" si="12"/>
        <v>#N/A</v>
      </c>
      <c r="U291">
        <v>-1.1200000000000001</v>
      </c>
      <c r="V291">
        <f t="shared" si="13"/>
        <v>0.21306914677571784</v>
      </c>
      <c r="W291">
        <f t="shared" si="14"/>
        <v>0.21306914677571784</v>
      </c>
    </row>
    <row r="292" spans="20:23" x14ac:dyDescent="0.3">
      <c r="T292" t="e">
        <f t="shared" si="12"/>
        <v>#N/A</v>
      </c>
      <c r="U292">
        <v>-1.1100000000000001</v>
      </c>
      <c r="V292">
        <f t="shared" si="13"/>
        <v>0.21545816177021967</v>
      </c>
      <c r="W292">
        <f t="shared" si="14"/>
        <v>0.21545816177021967</v>
      </c>
    </row>
    <row r="293" spans="20:23" x14ac:dyDescent="0.3">
      <c r="T293" t="e">
        <f t="shared" si="12"/>
        <v>#N/A</v>
      </c>
      <c r="U293">
        <v>-1.1000000000000001</v>
      </c>
      <c r="V293">
        <f t="shared" si="13"/>
        <v>0.21785217703255053</v>
      </c>
      <c r="W293">
        <f t="shared" si="14"/>
        <v>0.21785217703255053</v>
      </c>
    </row>
    <row r="294" spans="20:23" x14ac:dyDescent="0.3">
      <c r="T294" t="e">
        <f t="shared" si="12"/>
        <v>#N/A</v>
      </c>
      <c r="U294">
        <v>-1.0900000000000001</v>
      </c>
      <c r="V294">
        <f t="shared" si="13"/>
        <v>0.22025076668303326</v>
      </c>
      <c r="W294">
        <f t="shared" si="14"/>
        <v>0.22025076668303326</v>
      </c>
    </row>
    <row r="295" spans="20:23" x14ac:dyDescent="0.3">
      <c r="T295" t="e">
        <f t="shared" si="12"/>
        <v>#N/A</v>
      </c>
      <c r="U295">
        <v>-1.08</v>
      </c>
      <c r="V295">
        <f t="shared" si="13"/>
        <v>0.22265349875176113</v>
      </c>
      <c r="W295">
        <f t="shared" si="14"/>
        <v>0.22265349875176113</v>
      </c>
    </row>
    <row r="296" spans="20:23" x14ac:dyDescent="0.3">
      <c r="T296" t="e">
        <f t="shared" si="12"/>
        <v>#N/A</v>
      </c>
      <c r="U296">
        <v>-1.07</v>
      </c>
      <c r="V296">
        <f t="shared" si="13"/>
        <v>0.22505993528526966</v>
      </c>
      <c r="W296">
        <f t="shared" si="14"/>
        <v>0.22505993528526966</v>
      </c>
    </row>
    <row r="297" spans="20:23" x14ac:dyDescent="0.3">
      <c r="T297" t="e">
        <f t="shared" si="12"/>
        <v>#N/A</v>
      </c>
      <c r="U297">
        <v>-1.06</v>
      </c>
      <c r="V297">
        <f t="shared" si="13"/>
        <v>0.22746963245738591</v>
      </c>
      <c r="W297">
        <f t="shared" si="14"/>
        <v>0.22746963245738591</v>
      </c>
    </row>
    <row r="298" spans="20:23" x14ac:dyDescent="0.3">
      <c r="T298" t="e">
        <f t="shared" si="12"/>
        <v>#N/A</v>
      </c>
      <c r="U298">
        <v>-1.05</v>
      </c>
      <c r="V298">
        <f t="shared" si="13"/>
        <v>0.22988214068423302</v>
      </c>
      <c r="W298">
        <f t="shared" si="14"/>
        <v>0.22988214068423302</v>
      </c>
    </row>
    <row r="299" spans="20:23" x14ac:dyDescent="0.3">
      <c r="T299" t="e">
        <f t="shared" si="12"/>
        <v>#N/A</v>
      </c>
      <c r="U299">
        <v>-1.04</v>
      </c>
      <c r="V299">
        <f t="shared" si="13"/>
        <v>0.2322970047433662</v>
      </c>
      <c r="W299">
        <f t="shared" si="14"/>
        <v>0.2322970047433662</v>
      </c>
    </row>
    <row r="300" spans="20:23" x14ac:dyDescent="0.3">
      <c r="T300" t="e">
        <f t="shared" si="12"/>
        <v>#N/A</v>
      </c>
      <c r="U300">
        <v>-1.03</v>
      </c>
      <c r="V300">
        <f t="shared" si="13"/>
        <v>0.23471376389701182</v>
      </c>
      <c r="W300">
        <f t="shared" si="14"/>
        <v>0.23471376389701182</v>
      </c>
    </row>
    <row r="301" spans="20:23" x14ac:dyDescent="0.3">
      <c r="T301" t="e">
        <f t="shared" si="12"/>
        <v>#N/A</v>
      </c>
      <c r="U301">
        <v>-1.02</v>
      </c>
      <c r="V301">
        <f t="shared" si="13"/>
        <v>0.23713195201937959</v>
      </c>
      <c r="W301">
        <f t="shared" si="14"/>
        <v>0.23713195201937959</v>
      </c>
    </row>
    <row r="302" spans="20:23" x14ac:dyDescent="0.3">
      <c r="T302" t="e">
        <f t="shared" si="12"/>
        <v>#N/A</v>
      </c>
      <c r="U302">
        <v>-1.01</v>
      </c>
      <c r="V302">
        <f t="shared" si="13"/>
        <v>0.23955109772801336</v>
      </c>
      <c r="W302">
        <f t="shared" si="14"/>
        <v>0.23955109772801336</v>
      </c>
    </row>
    <row r="303" spans="20:23" x14ac:dyDescent="0.3">
      <c r="T303" t="e">
        <f t="shared" si="12"/>
        <v>#N/A</v>
      </c>
      <c r="U303">
        <v>-1</v>
      </c>
      <c r="V303">
        <f t="shared" si="13"/>
        <v>0.24197072451914337</v>
      </c>
      <c r="W303">
        <f t="shared" si="14"/>
        <v>0.24197072451914337</v>
      </c>
    </row>
    <row r="304" spans="20:23" x14ac:dyDescent="0.3">
      <c r="T304" t="e">
        <f t="shared" si="12"/>
        <v>#N/A</v>
      </c>
      <c r="U304">
        <v>-0.99</v>
      </c>
      <c r="V304">
        <f t="shared" si="13"/>
        <v>0.24439035090699956</v>
      </c>
      <c r="W304">
        <f t="shared" si="14"/>
        <v>0.24439035090699956</v>
      </c>
    </row>
    <row r="305" spans="20:23" x14ac:dyDescent="0.3">
      <c r="T305" t="e">
        <f t="shared" si="12"/>
        <v>#N/A</v>
      </c>
      <c r="U305">
        <v>-0.98</v>
      </c>
      <c r="V305">
        <f t="shared" si="13"/>
        <v>0.24680949056704274</v>
      </c>
      <c r="W305">
        <f t="shared" si="14"/>
        <v>0.24680949056704274</v>
      </c>
    </row>
    <row r="306" spans="20:23" x14ac:dyDescent="0.3">
      <c r="T306" t="e">
        <f t="shared" si="12"/>
        <v>#N/A</v>
      </c>
      <c r="U306">
        <v>-0.97</v>
      </c>
      <c r="V306">
        <f t="shared" si="13"/>
        <v>0.24922765248306594</v>
      </c>
      <c r="W306">
        <f t="shared" si="14"/>
        <v>0.24922765248306594</v>
      </c>
    </row>
    <row r="307" spans="20:23" x14ac:dyDescent="0.3">
      <c r="T307" t="e">
        <f t="shared" si="12"/>
        <v>#N/A</v>
      </c>
      <c r="U307">
        <v>-0.96</v>
      </c>
      <c r="V307">
        <f t="shared" si="13"/>
        <v>0.25164434109811712</v>
      </c>
      <c r="W307">
        <f t="shared" si="14"/>
        <v>0.25164434109811712</v>
      </c>
    </row>
    <row r="308" spans="20:23" x14ac:dyDescent="0.3">
      <c r="T308" t="e">
        <f t="shared" si="12"/>
        <v>#N/A</v>
      </c>
      <c r="U308">
        <v>-0.95</v>
      </c>
      <c r="V308">
        <f t="shared" si="13"/>
        <v>0.25405905646918903</v>
      </c>
      <c r="W308">
        <f t="shared" si="14"/>
        <v>0.25405905646918903</v>
      </c>
    </row>
    <row r="309" spans="20:23" x14ac:dyDescent="0.3">
      <c r="T309" t="e">
        <f t="shared" si="12"/>
        <v>#N/A</v>
      </c>
      <c r="U309">
        <v>-0.94</v>
      </c>
      <c r="V309">
        <f t="shared" si="13"/>
        <v>0.25647129442562033</v>
      </c>
      <c r="W309">
        <f t="shared" si="14"/>
        <v>0.25647129442562033</v>
      </c>
    </row>
    <row r="310" spans="20:23" x14ac:dyDescent="0.3">
      <c r="T310" t="e">
        <f t="shared" si="12"/>
        <v>#N/A</v>
      </c>
      <c r="U310">
        <v>-0.93</v>
      </c>
      <c r="V310">
        <f t="shared" si="13"/>
        <v>0.2588805467311488</v>
      </c>
      <c r="W310">
        <f t="shared" si="14"/>
        <v>0.2588805467311488</v>
      </c>
    </row>
    <row r="311" spans="20:23" x14ac:dyDescent="0.3">
      <c r="T311" t="e">
        <f t="shared" si="12"/>
        <v>#N/A</v>
      </c>
      <c r="U311">
        <v>-0.92</v>
      </c>
      <c r="V311">
        <f t="shared" si="13"/>
        <v>0.26128630124955315</v>
      </c>
      <c r="W311">
        <f t="shared" si="14"/>
        <v>0.26128630124955315</v>
      </c>
    </row>
    <row r="312" spans="20:23" x14ac:dyDescent="0.3">
      <c r="T312" t="e">
        <f t="shared" si="12"/>
        <v>#N/A</v>
      </c>
      <c r="U312">
        <v>-0.91</v>
      </c>
      <c r="V312">
        <f t="shared" si="13"/>
        <v>0.26368804211381813</v>
      </c>
      <c r="W312">
        <f t="shared" si="14"/>
        <v>0.26368804211381813</v>
      </c>
    </row>
    <row r="313" spans="20:23" x14ac:dyDescent="0.3">
      <c r="T313" t="e">
        <f t="shared" si="12"/>
        <v>#N/A</v>
      </c>
      <c r="U313">
        <v>-0.9</v>
      </c>
      <c r="V313">
        <f t="shared" si="13"/>
        <v>0.26608524989875482</v>
      </c>
      <c r="W313">
        <f t="shared" si="14"/>
        <v>0.26608524989875482</v>
      </c>
    </row>
    <row r="314" spans="20:23" x14ac:dyDescent="0.3">
      <c r="T314" t="e">
        <f t="shared" si="12"/>
        <v>#N/A</v>
      </c>
      <c r="U314">
        <v>-0.89</v>
      </c>
      <c r="V314">
        <f t="shared" si="13"/>
        <v>0.26847740179700241</v>
      </c>
      <c r="W314">
        <f t="shared" si="14"/>
        <v>0.26847740179700241</v>
      </c>
    </row>
    <row r="315" spans="20:23" x14ac:dyDescent="0.3">
      <c r="T315" t="e">
        <f t="shared" si="12"/>
        <v>#N/A</v>
      </c>
      <c r="U315">
        <v>-0.88</v>
      </c>
      <c r="V315">
        <f t="shared" si="13"/>
        <v>0.27086397179833799</v>
      </c>
      <c r="W315">
        <f t="shared" si="14"/>
        <v>0.27086397179833799</v>
      </c>
    </row>
    <row r="316" spans="20:23" x14ac:dyDescent="0.3">
      <c r="T316" t="e">
        <f t="shared" si="12"/>
        <v>#N/A</v>
      </c>
      <c r="U316">
        <v>-0.87</v>
      </c>
      <c r="V316">
        <f t="shared" si="13"/>
        <v>0.27324443087221623</v>
      </c>
      <c r="W316">
        <f t="shared" si="14"/>
        <v>0.27324443087221623</v>
      </c>
    </row>
    <row r="317" spans="20:23" x14ac:dyDescent="0.3">
      <c r="T317" t="e">
        <f t="shared" si="12"/>
        <v>#N/A</v>
      </c>
      <c r="U317">
        <v>-0.86</v>
      </c>
      <c r="V317">
        <f t="shared" si="13"/>
        <v>0.27561824715345667</v>
      </c>
      <c r="W317">
        <f t="shared" si="14"/>
        <v>0.27561824715345667</v>
      </c>
    </row>
    <row r="318" spans="20:23" x14ac:dyDescent="0.3">
      <c r="T318" t="e">
        <f t="shared" si="12"/>
        <v>#N/A</v>
      </c>
      <c r="U318">
        <v>-0.85</v>
      </c>
      <c r="V318">
        <f t="shared" si="13"/>
        <v>0.27798488613099648</v>
      </c>
      <c r="W318">
        <f t="shared" si="14"/>
        <v>0.27798488613099648</v>
      </c>
    </row>
    <row r="319" spans="20:23" x14ac:dyDescent="0.3">
      <c r="T319" t="e">
        <f t="shared" si="12"/>
        <v>#N/A</v>
      </c>
      <c r="U319">
        <v>-0.84</v>
      </c>
      <c r="V319">
        <f t="shared" si="13"/>
        <v>0.28034381083962062</v>
      </c>
      <c r="W319">
        <f t="shared" si="14"/>
        <v>0.28034381083962062</v>
      </c>
    </row>
    <row r="320" spans="20:23" x14ac:dyDescent="0.3">
      <c r="T320" t="e">
        <f t="shared" si="12"/>
        <v>#N/A</v>
      </c>
      <c r="U320">
        <v>-0.83</v>
      </c>
      <c r="V320">
        <f t="shared" si="13"/>
        <v>0.28269448205458025</v>
      </c>
      <c r="W320">
        <f t="shared" si="14"/>
        <v>0.28269448205458025</v>
      </c>
    </row>
    <row r="321" spans="20:23" x14ac:dyDescent="0.3">
      <c r="T321" t="e">
        <f t="shared" si="12"/>
        <v>#N/A</v>
      </c>
      <c r="U321">
        <v>-0.82</v>
      </c>
      <c r="V321">
        <f t="shared" si="13"/>
        <v>0.28503635848900727</v>
      </c>
      <c r="W321">
        <f t="shared" si="14"/>
        <v>0.28503635848900727</v>
      </c>
    </row>
    <row r="322" spans="20:23" x14ac:dyDescent="0.3">
      <c r="T322" t="e">
        <f t="shared" si="12"/>
        <v>#N/A</v>
      </c>
      <c r="U322">
        <v>-0.81</v>
      </c>
      <c r="V322">
        <f t="shared" si="13"/>
        <v>0.28736889699402829</v>
      </c>
      <c r="W322">
        <f t="shared" si="14"/>
        <v>0.28736889699402829</v>
      </c>
    </row>
    <row r="323" spans="20:23" x14ac:dyDescent="0.3">
      <c r="T323" t="e">
        <f t="shared" si="12"/>
        <v>#N/A</v>
      </c>
      <c r="U323">
        <v>-0.8</v>
      </c>
      <c r="V323">
        <f t="shared" si="13"/>
        <v>0.28969155276148273</v>
      </c>
      <c r="W323">
        <f t="shared" si="14"/>
        <v>0.28969155276148273</v>
      </c>
    </row>
    <row r="324" spans="20:23" x14ac:dyDescent="0.3">
      <c r="T324" t="e">
        <f t="shared" ref="T324:T387" si="15">IF(ROUND($B$2,2)=ABS(U324),0,NA())</f>
        <v>#N/A</v>
      </c>
      <c r="U324">
        <v>-0.79</v>
      </c>
      <c r="V324">
        <f t="shared" ref="V324:V387" si="16">_xlfn.NORM.S.DIST(U324,0)</f>
        <v>0.29200377952914142</v>
      </c>
      <c r="W324">
        <f t="shared" ref="W324:W387" si="17">IF(ABS(U324)&lt;=$B$2,V324,NA())</f>
        <v>0.29200377952914142</v>
      </c>
    </row>
    <row r="325" spans="20:23" x14ac:dyDescent="0.3">
      <c r="T325" t="e">
        <f t="shared" si="15"/>
        <v>#N/A</v>
      </c>
      <c r="U325">
        <v>-0.78</v>
      </c>
      <c r="V325">
        <f t="shared" si="16"/>
        <v>0.29430502978832512</v>
      </c>
      <c r="W325">
        <f t="shared" si="17"/>
        <v>0.29430502978832512</v>
      </c>
    </row>
    <row r="326" spans="20:23" x14ac:dyDescent="0.3">
      <c r="T326" t="e">
        <f t="shared" si="15"/>
        <v>#N/A</v>
      </c>
      <c r="U326">
        <v>-0.77</v>
      </c>
      <c r="V326">
        <f t="shared" si="16"/>
        <v>0.29659475499381571</v>
      </c>
      <c r="W326">
        <f t="shared" si="17"/>
        <v>0.29659475499381571</v>
      </c>
    </row>
    <row r="327" spans="20:23" x14ac:dyDescent="0.3">
      <c r="T327" t="e">
        <f t="shared" si="15"/>
        <v>#N/A</v>
      </c>
      <c r="U327">
        <v>-0.76</v>
      </c>
      <c r="V327">
        <f t="shared" si="16"/>
        <v>0.29887240577595275</v>
      </c>
      <c r="W327">
        <f t="shared" si="17"/>
        <v>0.29887240577595275</v>
      </c>
    </row>
    <row r="328" spans="20:23" x14ac:dyDescent="0.3">
      <c r="T328" t="e">
        <f t="shared" si="15"/>
        <v>#N/A</v>
      </c>
      <c r="U328">
        <v>-0.75</v>
      </c>
      <c r="V328">
        <f t="shared" si="16"/>
        <v>0.30113743215480443</v>
      </c>
      <c r="W328">
        <f t="shared" si="17"/>
        <v>0.30113743215480443</v>
      </c>
    </row>
    <row r="329" spans="20:23" x14ac:dyDescent="0.3">
      <c r="T329" t="e">
        <f t="shared" si="15"/>
        <v>#N/A</v>
      </c>
      <c r="U329">
        <v>-0.74</v>
      </c>
      <c r="V329">
        <f t="shared" si="16"/>
        <v>0.30338928375630014</v>
      </c>
      <c r="W329">
        <f t="shared" si="17"/>
        <v>0.30338928375630014</v>
      </c>
    </row>
    <row r="330" spans="20:23" x14ac:dyDescent="0.3">
      <c r="T330" t="e">
        <f t="shared" si="15"/>
        <v>#N/A</v>
      </c>
      <c r="U330">
        <v>-0.73</v>
      </c>
      <c r="V330">
        <f t="shared" si="16"/>
        <v>0.30562741003020988</v>
      </c>
      <c r="W330">
        <f t="shared" si="17"/>
        <v>0.30562741003020988</v>
      </c>
    </row>
    <row r="331" spans="20:23" x14ac:dyDescent="0.3">
      <c r="T331" t="e">
        <f t="shared" si="15"/>
        <v>#N/A</v>
      </c>
      <c r="U331">
        <v>-0.72</v>
      </c>
      <c r="V331">
        <f t="shared" si="16"/>
        <v>0.30785126046985295</v>
      </c>
      <c r="W331">
        <f t="shared" si="17"/>
        <v>0.30785126046985295</v>
      </c>
    </row>
    <row r="332" spans="20:23" x14ac:dyDescent="0.3">
      <c r="T332" t="e">
        <f t="shared" si="15"/>
        <v>#N/A</v>
      </c>
      <c r="U332">
        <v>-0.71</v>
      </c>
      <c r="V332">
        <f t="shared" si="16"/>
        <v>0.31006028483341613</v>
      </c>
      <c r="W332">
        <f t="shared" si="17"/>
        <v>0.31006028483341613</v>
      </c>
    </row>
    <row r="333" spans="20:23" x14ac:dyDescent="0.3">
      <c r="T333" t="e">
        <f t="shared" si="15"/>
        <v>#N/A</v>
      </c>
      <c r="U333">
        <v>-0.7</v>
      </c>
      <c r="V333">
        <f t="shared" si="16"/>
        <v>0.31225393336676127</v>
      </c>
      <c r="W333">
        <f t="shared" si="17"/>
        <v>0.31225393336676127</v>
      </c>
    </row>
    <row r="334" spans="20:23" x14ac:dyDescent="0.3">
      <c r="T334" t="e">
        <f t="shared" si="15"/>
        <v>#N/A</v>
      </c>
      <c r="U334">
        <v>-0.69</v>
      </c>
      <c r="V334">
        <f t="shared" si="16"/>
        <v>0.31443165702759734</v>
      </c>
      <c r="W334">
        <f t="shared" si="17"/>
        <v>0.31443165702759734</v>
      </c>
    </row>
    <row r="335" spans="20:23" x14ac:dyDescent="0.3">
      <c r="T335" t="e">
        <f t="shared" si="15"/>
        <v>#N/A</v>
      </c>
      <c r="U335">
        <v>-0.68</v>
      </c>
      <c r="V335">
        <f t="shared" si="16"/>
        <v>0.31659290771089277</v>
      </c>
      <c r="W335">
        <f t="shared" si="17"/>
        <v>0.31659290771089277</v>
      </c>
    </row>
    <row r="336" spans="20:23" x14ac:dyDescent="0.3">
      <c r="T336" t="e">
        <f t="shared" si="15"/>
        <v>#N/A</v>
      </c>
      <c r="U336">
        <v>-0.67</v>
      </c>
      <c r="V336">
        <f t="shared" si="16"/>
        <v>0.31873713847540153</v>
      </c>
      <c r="W336">
        <f t="shared" si="17"/>
        <v>0.31873713847540153</v>
      </c>
    </row>
    <row r="337" spans="20:23" x14ac:dyDescent="0.3">
      <c r="T337" t="e">
        <f t="shared" si="15"/>
        <v>#N/A</v>
      </c>
      <c r="U337">
        <v>-0.66</v>
      </c>
      <c r="V337">
        <f t="shared" si="16"/>
        <v>0.32086380377117252</v>
      </c>
      <c r="W337">
        <f t="shared" si="17"/>
        <v>0.32086380377117252</v>
      </c>
    </row>
    <row r="338" spans="20:23" x14ac:dyDescent="0.3">
      <c r="T338" t="e">
        <f t="shared" si="15"/>
        <v>#N/A</v>
      </c>
      <c r="U338">
        <v>-0.65</v>
      </c>
      <c r="V338">
        <f t="shared" si="16"/>
        <v>0.32297235966791427</v>
      </c>
      <c r="W338">
        <f t="shared" si="17"/>
        <v>0.32297235966791427</v>
      </c>
    </row>
    <row r="339" spans="20:23" x14ac:dyDescent="0.3">
      <c r="T339" t="e">
        <f t="shared" si="15"/>
        <v>#N/A</v>
      </c>
      <c r="U339">
        <v>-0.64</v>
      </c>
      <c r="V339">
        <f t="shared" si="16"/>
        <v>0.32506226408408218</v>
      </c>
      <c r="W339">
        <f t="shared" si="17"/>
        <v>0.32506226408408218</v>
      </c>
    </row>
    <row r="340" spans="20:23" x14ac:dyDescent="0.3">
      <c r="T340" t="e">
        <f t="shared" si="15"/>
        <v>#N/A</v>
      </c>
      <c r="U340">
        <v>-0.63</v>
      </c>
      <c r="V340">
        <f t="shared" si="16"/>
        <v>0.32713297701655447</v>
      </c>
      <c r="W340">
        <f t="shared" si="17"/>
        <v>0.32713297701655447</v>
      </c>
    </row>
    <row r="341" spans="20:23" x14ac:dyDescent="0.3">
      <c r="T341" t="e">
        <f t="shared" si="15"/>
        <v>#N/A</v>
      </c>
      <c r="U341">
        <v>-0.62</v>
      </c>
      <c r="V341">
        <f t="shared" si="16"/>
        <v>0.32918396077076478</v>
      </c>
      <c r="W341">
        <f t="shared" si="17"/>
        <v>0.32918396077076478</v>
      </c>
    </row>
    <row r="342" spans="20:23" x14ac:dyDescent="0.3">
      <c r="T342" t="e">
        <f t="shared" si="15"/>
        <v>#N/A</v>
      </c>
      <c r="U342">
        <v>-0.61</v>
      </c>
      <c r="V342">
        <f t="shared" si="16"/>
        <v>0.33121468019115297</v>
      </c>
      <c r="W342">
        <f t="shared" si="17"/>
        <v>0.33121468019115297</v>
      </c>
    </row>
    <row r="343" spans="20:23" x14ac:dyDescent="0.3">
      <c r="T343" t="e">
        <f t="shared" si="15"/>
        <v>#N/A</v>
      </c>
      <c r="U343">
        <v>-0.6</v>
      </c>
      <c r="V343">
        <f t="shared" si="16"/>
        <v>0.33322460289179967</v>
      </c>
      <c r="W343">
        <f t="shared" si="17"/>
        <v>0.33322460289179967</v>
      </c>
    </row>
    <row r="344" spans="20:23" x14ac:dyDescent="0.3">
      <c r="T344" t="e">
        <f t="shared" si="15"/>
        <v>#N/A</v>
      </c>
      <c r="U344">
        <v>-0.59</v>
      </c>
      <c r="V344">
        <f t="shared" si="16"/>
        <v>0.33521319948710609</v>
      </c>
      <c r="W344">
        <f t="shared" si="17"/>
        <v>0.33521319948710609</v>
      </c>
    </row>
    <row r="345" spans="20:23" x14ac:dyDescent="0.3">
      <c r="T345" t="e">
        <f t="shared" si="15"/>
        <v>#N/A</v>
      </c>
      <c r="U345">
        <v>-0.57999999999999996</v>
      </c>
      <c r="V345">
        <f t="shared" si="16"/>
        <v>0.33717994382238059</v>
      </c>
      <c r="W345">
        <f t="shared" si="17"/>
        <v>0.33717994382238059</v>
      </c>
    </row>
    <row r="346" spans="20:23" x14ac:dyDescent="0.3">
      <c r="T346" t="e">
        <f t="shared" si="15"/>
        <v>#N/A</v>
      </c>
      <c r="U346">
        <v>-0.56999999999999995</v>
      </c>
      <c r="V346">
        <f t="shared" si="16"/>
        <v>0.33912431320419223</v>
      </c>
      <c r="W346">
        <f t="shared" si="17"/>
        <v>0.33912431320419223</v>
      </c>
    </row>
    <row r="347" spans="20:23" x14ac:dyDescent="0.3">
      <c r="T347" t="e">
        <f t="shared" si="15"/>
        <v>#N/A</v>
      </c>
      <c r="U347">
        <v>-0.56000000000000005</v>
      </c>
      <c r="V347">
        <f t="shared" si="16"/>
        <v>0.34104578863035256</v>
      </c>
      <c r="W347">
        <f t="shared" si="17"/>
        <v>0.34104578863035256</v>
      </c>
    </row>
    <row r="348" spans="20:23" x14ac:dyDescent="0.3">
      <c r="T348" t="e">
        <f t="shared" si="15"/>
        <v>#N/A</v>
      </c>
      <c r="U348">
        <v>-0.55000000000000004</v>
      </c>
      <c r="V348">
        <f t="shared" si="16"/>
        <v>0.3429438550193839</v>
      </c>
      <c r="W348">
        <f t="shared" si="17"/>
        <v>0.3429438550193839</v>
      </c>
    </row>
    <row r="349" spans="20:23" x14ac:dyDescent="0.3">
      <c r="T349" t="e">
        <f t="shared" si="15"/>
        <v>#N/A</v>
      </c>
      <c r="U349">
        <v>-0.54</v>
      </c>
      <c r="V349">
        <f t="shared" si="16"/>
        <v>0.34481800143933333</v>
      </c>
      <c r="W349">
        <f t="shared" si="17"/>
        <v>0.34481800143933333</v>
      </c>
    </row>
    <row r="350" spans="20:23" x14ac:dyDescent="0.3">
      <c r="T350" t="e">
        <f t="shared" si="15"/>
        <v>#N/A</v>
      </c>
      <c r="U350">
        <v>-0.53</v>
      </c>
      <c r="V350">
        <f t="shared" si="16"/>
        <v>0.34666772133579166</v>
      </c>
      <c r="W350">
        <f t="shared" si="17"/>
        <v>0.34666772133579166</v>
      </c>
    </row>
    <row r="351" spans="20:23" x14ac:dyDescent="0.3">
      <c r="T351" t="e">
        <f t="shared" si="15"/>
        <v>#N/A</v>
      </c>
      <c r="U351">
        <v>-0.52</v>
      </c>
      <c r="V351">
        <f t="shared" si="16"/>
        <v>0.34849251275897447</v>
      </c>
      <c r="W351">
        <f t="shared" si="17"/>
        <v>0.34849251275897447</v>
      </c>
    </row>
    <row r="352" spans="20:23" x14ac:dyDescent="0.3">
      <c r="T352" t="e">
        <f t="shared" si="15"/>
        <v>#N/A</v>
      </c>
      <c r="U352">
        <v>-0.51</v>
      </c>
      <c r="V352">
        <f t="shared" si="16"/>
        <v>0.35029187858972582</v>
      </c>
      <c r="W352">
        <f t="shared" si="17"/>
        <v>0.35029187858972582</v>
      </c>
    </row>
    <row r="353" spans="20:23" x14ac:dyDescent="0.3">
      <c r="T353" t="e">
        <f t="shared" si="15"/>
        <v>#N/A</v>
      </c>
      <c r="U353">
        <v>-0.5</v>
      </c>
      <c r="V353">
        <f t="shared" si="16"/>
        <v>0.35206532676429952</v>
      </c>
      <c r="W353">
        <f t="shared" si="17"/>
        <v>0.35206532676429952</v>
      </c>
    </row>
    <row r="354" spans="20:23" x14ac:dyDescent="0.3">
      <c r="T354" t="e">
        <f t="shared" si="15"/>
        <v>#N/A</v>
      </c>
      <c r="U354">
        <v>-0.49</v>
      </c>
      <c r="V354">
        <f t="shared" si="16"/>
        <v>0.35381237049777969</v>
      </c>
      <c r="W354">
        <f t="shared" si="17"/>
        <v>0.35381237049777969</v>
      </c>
    </row>
    <row r="355" spans="20:23" x14ac:dyDescent="0.3">
      <c r="T355" t="e">
        <f t="shared" si="15"/>
        <v>#N/A</v>
      </c>
      <c r="U355">
        <v>-0.48</v>
      </c>
      <c r="V355">
        <f t="shared" si="16"/>
        <v>0.35553252850599709</v>
      </c>
      <c r="W355">
        <f t="shared" si="17"/>
        <v>0.35553252850599709</v>
      </c>
    </row>
    <row r="356" spans="20:23" x14ac:dyDescent="0.3">
      <c r="T356" t="e">
        <f t="shared" si="15"/>
        <v>#N/A</v>
      </c>
      <c r="U356">
        <v>-0.47</v>
      </c>
      <c r="V356">
        <f t="shared" si="16"/>
        <v>0.35722532522580086</v>
      </c>
      <c r="W356">
        <f t="shared" si="17"/>
        <v>0.35722532522580086</v>
      </c>
    </row>
    <row r="357" spans="20:23" x14ac:dyDescent="0.3">
      <c r="T357" t="e">
        <f t="shared" si="15"/>
        <v>#N/A</v>
      </c>
      <c r="U357">
        <v>-0.46</v>
      </c>
      <c r="V357">
        <f t="shared" si="16"/>
        <v>0.35889029103354464</v>
      </c>
      <c r="W357">
        <f t="shared" si="17"/>
        <v>0.35889029103354464</v>
      </c>
    </row>
    <row r="358" spans="20:23" x14ac:dyDescent="0.3">
      <c r="T358" t="e">
        <f t="shared" si="15"/>
        <v>#N/A</v>
      </c>
      <c r="U358">
        <v>-0.45</v>
      </c>
      <c r="V358">
        <f t="shared" si="16"/>
        <v>0.36052696246164795</v>
      </c>
      <c r="W358">
        <f t="shared" si="17"/>
        <v>0.36052696246164795</v>
      </c>
    </row>
    <row r="359" spans="20:23" x14ac:dyDescent="0.3">
      <c r="T359" t="e">
        <f t="shared" si="15"/>
        <v>#N/A</v>
      </c>
      <c r="U359">
        <v>-0.44</v>
      </c>
      <c r="V359">
        <f t="shared" si="16"/>
        <v>0.36213488241309222</v>
      </c>
      <c r="W359">
        <f t="shared" si="17"/>
        <v>0.36213488241309222</v>
      </c>
    </row>
    <row r="360" spans="20:23" x14ac:dyDescent="0.3">
      <c r="T360" t="e">
        <f t="shared" si="15"/>
        <v>#N/A</v>
      </c>
      <c r="U360">
        <v>-0.43</v>
      </c>
      <c r="V360">
        <f t="shared" si="16"/>
        <v>0.36371360037371342</v>
      </c>
      <c r="W360">
        <f t="shared" si="17"/>
        <v>0.36371360037371342</v>
      </c>
    </row>
    <row r="361" spans="20:23" x14ac:dyDescent="0.3">
      <c r="T361" t="e">
        <f t="shared" si="15"/>
        <v>#N/A</v>
      </c>
      <c r="U361">
        <v>-0.42</v>
      </c>
      <c r="V361">
        <f t="shared" si="16"/>
        <v>0.36526267262215389</v>
      </c>
      <c r="W361">
        <f t="shared" si="17"/>
        <v>0.36526267262215389</v>
      </c>
    </row>
    <row r="362" spans="20:23" x14ac:dyDescent="0.3">
      <c r="T362" t="e">
        <f t="shared" si="15"/>
        <v>#N/A</v>
      </c>
      <c r="U362">
        <v>-0.41</v>
      </c>
      <c r="V362">
        <f t="shared" si="16"/>
        <v>0.36678166243733612</v>
      </c>
      <c r="W362">
        <f t="shared" si="17"/>
        <v>0.36678166243733612</v>
      </c>
    </row>
    <row r="363" spans="20:23" x14ac:dyDescent="0.3">
      <c r="T363" t="e">
        <f t="shared" si="15"/>
        <v>#N/A</v>
      </c>
      <c r="U363">
        <v>-0.4</v>
      </c>
      <c r="V363">
        <f t="shared" si="16"/>
        <v>0.36827014030332333</v>
      </c>
      <c r="W363">
        <f t="shared" si="17"/>
        <v>0.36827014030332333</v>
      </c>
    </row>
    <row r="364" spans="20:23" x14ac:dyDescent="0.3">
      <c r="T364" t="e">
        <f t="shared" si="15"/>
        <v>#N/A</v>
      </c>
      <c r="U364">
        <v>-0.39</v>
      </c>
      <c r="V364">
        <f t="shared" si="16"/>
        <v>0.36972768411143236</v>
      </c>
      <c r="W364">
        <f t="shared" si="17"/>
        <v>0.36972768411143236</v>
      </c>
    </row>
    <row r="365" spans="20:23" x14ac:dyDescent="0.3">
      <c r="T365" t="e">
        <f t="shared" si="15"/>
        <v>#N/A</v>
      </c>
      <c r="U365">
        <v>-0.38</v>
      </c>
      <c r="V365">
        <f t="shared" si="16"/>
        <v>0.37115387935946603</v>
      </c>
      <c r="W365">
        <f t="shared" si="17"/>
        <v>0.37115387935946603</v>
      </c>
    </row>
    <row r="366" spans="20:23" x14ac:dyDescent="0.3">
      <c r="T366" t="e">
        <f t="shared" si="15"/>
        <v>#N/A</v>
      </c>
      <c r="U366">
        <v>-0.37</v>
      </c>
      <c r="V366">
        <f t="shared" si="16"/>
        <v>0.37254831934793342</v>
      </c>
      <c r="W366">
        <f t="shared" si="17"/>
        <v>0.37254831934793342</v>
      </c>
    </row>
    <row r="367" spans="20:23" x14ac:dyDescent="0.3">
      <c r="T367" t="e">
        <f t="shared" si="15"/>
        <v>#N/A</v>
      </c>
      <c r="U367">
        <v>-0.36</v>
      </c>
      <c r="V367">
        <f t="shared" si="16"/>
        <v>0.37391060537312842</v>
      </c>
      <c r="W367">
        <f t="shared" si="17"/>
        <v>0.37391060537312842</v>
      </c>
    </row>
    <row r="368" spans="20:23" x14ac:dyDescent="0.3">
      <c r="T368" t="e">
        <f t="shared" si="15"/>
        <v>#N/A</v>
      </c>
      <c r="U368">
        <v>-0.35</v>
      </c>
      <c r="V368">
        <f t="shared" si="16"/>
        <v>0.37524034691693792</v>
      </c>
      <c r="W368">
        <f t="shared" si="17"/>
        <v>0.37524034691693792</v>
      </c>
    </row>
    <row r="369" spans="20:23" x14ac:dyDescent="0.3">
      <c r="T369" t="e">
        <f t="shared" si="15"/>
        <v>#N/A</v>
      </c>
      <c r="U369">
        <v>-0.34</v>
      </c>
      <c r="V369">
        <f t="shared" si="16"/>
        <v>0.37653716183325392</v>
      </c>
      <c r="W369">
        <f t="shared" si="17"/>
        <v>0.37653716183325392</v>
      </c>
    </row>
    <row r="370" spans="20:23" x14ac:dyDescent="0.3">
      <c r="T370" t="e">
        <f t="shared" si="15"/>
        <v>#N/A</v>
      </c>
      <c r="U370">
        <v>-0.33</v>
      </c>
      <c r="V370">
        <f t="shared" si="16"/>
        <v>0.37780067653086458</v>
      </c>
      <c r="W370">
        <f t="shared" si="17"/>
        <v>0.37780067653086458</v>
      </c>
    </row>
    <row r="371" spans="20:23" x14ac:dyDescent="0.3">
      <c r="T371" t="e">
        <f t="shared" si="15"/>
        <v>#N/A</v>
      </c>
      <c r="U371">
        <v>-0.32</v>
      </c>
      <c r="V371">
        <f t="shared" si="16"/>
        <v>0.37903052615270166</v>
      </c>
      <c r="W371">
        <f t="shared" si="17"/>
        <v>0.37903052615270166</v>
      </c>
    </row>
    <row r="372" spans="20:23" x14ac:dyDescent="0.3">
      <c r="T372" t="e">
        <f t="shared" si="15"/>
        <v>#N/A</v>
      </c>
      <c r="U372">
        <v>-0.31</v>
      </c>
      <c r="V372">
        <f t="shared" si="16"/>
        <v>0.38022635475132494</v>
      </c>
      <c r="W372">
        <f t="shared" si="17"/>
        <v>0.38022635475132494</v>
      </c>
    </row>
    <row r="373" spans="20:23" x14ac:dyDescent="0.3">
      <c r="T373" t="e">
        <f t="shared" si="15"/>
        <v>#N/A</v>
      </c>
      <c r="U373">
        <v>-0.3</v>
      </c>
      <c r="V373">
        <f t="shared" si="16"/>
        <v>0.38138781546052414</v>
      </c>
      <c r="W373">
        <f t="shared" si="17"/>
        <v>0.38138781546052414</v>
      </c>
    </row>
    <row r="374" spans="20:23" x14ac:dyDescent="0.3">
      <c r="T374" t="e">
        <f t="shared" si="15"/>
        <v>#N/A</v>
      </c>
      <c r="U374">
        <v>-0.28999999999999998</v>
      </c>
      <c r="V374">
        <f t="shared" si="16"/>
        <v>0.38251457066292405</v>
      </c>
      <c r="W374">
        <f t="shared" si="17"/>
        <v>0.38251457066292405</v>
      </c>
    </row>
    <row r="375" spans="20:23" x14ac:dyDescent="0.3">
      <c r="T375" t="e">
        <f t="shared" si="15"/>
        <v>#N/A</v>
      </c>
      <c r="U375">
        <v>-0.28000000000000003</v>
      </c>
      <c r="V375">
        <f t="shared" si="16"/>
        <v>0.38360629215347858</v>
      </c>
      <c r="W375">
        <f t="shared" si="17"/>
        <v>0.38360629215347858</v>
      </c>
    </row>
    <row r="376" spans="20:23" x14ac:dyDescent="0.3">
      <c r="T376" t="e">
        <f t="shared" si="15"/>
        <v>#N/A</v>
      </c>
      <c r="U376">
        <v>-0.27</v>
      </c>
      <c r="V376">
        <f t="shared" si="16"/>
        <v>0.38466266129874283</v>
      </c>
      <c r="W376">
        <f t="shared" si="17"/>
        <v>0.38466266129874283</v>
      </c>
    </row>
    <row r="377" spans="20:23" x14ac:dyDescent="0.3">
      <c r="T377" t="e">
        <f t="shared" si="15"/>
        <v>#N/A</v>
      </c>
      <c r="U377">
        <v>-0.26</v>
      </c>
      <c r="V377">
        <f t="shared" si="16"/>
        <v>0.38568336919181612</v>
      </c>
      <c r="W377">
        <f t="shared" si="17"/>
        <v>0.38568336919181612</v>
      </c>
    </row>
    <row r="378" spans="20:23" x14ac:dyDescent="0.3">
      <c r="T378" t="e">
        <f t="shared" si="15"/>
        <v>#N/A</v>
      </c>
      <c r="U378">
        <v>-0.25</v>
      </c>
      <c r="V378">
        <f t="shared" si="16"/>
        <v>0.38666811680284924</v>
      </c>
      <c r="W378">
        <f t="shared" si="17"/>
        <v>0.38666811680284924</v>
      </c>
    </row>
    <row r="379" spans="20:23" x14ac:dyDescent="0.3">
      <c r="T379" t="e">
        <f t="shared" si="15"/>
        <v>#N/A</v>
      </c>
      <c r="U379">
        <v>-0.24</v>
      </c>
      <c r="V379">
        <f t="shared" si="16"/>
        <v>0.38761661512501416</v>
      </c>
      <c r="W379">
        <f t="shared" si="17"/>
        <v>0.38761661512501416</v>
      </c>
    </row>
    <row r="380" spans="20:23" x14ac:dyDescent="0.3">
      <c r="T380" t="e">
        <f t="shared" si="15"/>
        <v>#N/A</v>
      </c>
      <c r="U380">
        <v>-0.23</v>
      </c>
      <c r="V380">
        <f t="shared" si="16"/>
        <v>0.38852858531583589</v>
      </c>
      <c r="W380">
        <f t="shared" si="17"/>
        <v>0.38852858531583589</v>
      </c>
    </row>
    <row r="381" spans="20:23" x14ac:dyDescent="0.3">
      <c r="T381" t="e">
        <f t="shared" si="15"/>
        <v>#N/A</v>
      </c>
      <c r="U381">
        <v>-0.22</v>
      </c>
      <c r="V381">
        <f t="shared" si="16"/>
        <v>0.38940375883379041</v>
      </c>
      <c r="W381">
        <f t="shared" si="17"/>
        <v>0.38940375883379041</v>
      </c>
    </row>
    <row r="382" spans="20:23" x14ac:dyDescent="0.3">
      <c r="T382" t="e">
        <f t="shared" si="15"/>
        <v>#N/A</v>
      </c>
      <c r="U382">
        <v>-0.21</v>
      </c>
      <c r="V382">
        <f t="shared" si="16"/>
        <v>0.39024187757007428</v>
      </c>
      <c r="W382">
        <f t="shared" si="17"/>
        <v>0.39024187757007428</v>
      </c>
    </row>
    <row r="383" spans="20:23" x14ac:dyDescent="0.3">
      <c r="T383" t="e">
        <f t="shared" si="15"/>
        <v>#N/A</v>
      </c>
      <c r="U383">
        <v>-0.2</v>
      </c>
      <c r="V383">
        <f t="shared" si="16"/>
        <v>0.39104269397545588</v>
      </c>
      <c r="W383">
        <f t="shared" si="17"/>
        <v>0.39104269397545588</v>
      </c>
    </row>
    <row r="384" spans="20:23" x14ac:dyDescent="0.3">
      <c r="T384" t="e">
        <f t="shared" si="15"/>
        <v>#N/A</v>
      </c>
      <c r="U384">
        <v>-0.19</v>
      </c>
      <c r="V384">
        <f t="shared" si="16"/>
        <v>0.39180597118212113</v>
      </c>
      <c r="W384">
        <f t="shared" si="17"/>
        <v>0.39180597118212113</v>
      </c>
    </row>
    <row r="385" spans="20:23" x14ac:dyDescent="0.3">
      <c r="T385" t="e">
        <f t="shared" si="15"/>
        <v>#N/A</v>
      </c>
      <c r="U385">
        <v>-0.18</v>
      </c>
      <c r="V385">
        <f t="shared" si="16"/>
        <v>0.3925314831204289</v>
      </c>
      <c r="W385">
        <f t="shared" si="17"/>
        <v>0.3925314831204289</v>
      </c>
    </row>
    <row r="386" spans="20:23" x14ac:dyDescent="0.3">
      <c r="T386" t="e">
        <f t="shared" si="15"/>
        <v>#N/A</v>
      </c>
      <c r="U386">
        <v>-0.17</v>
      </c>
      <c r="V386">
        <f t="shared" si="16"/>
        <v>0.39321901463049719</v>
      </c>
      <c r="W386">
        <f t="shared" si="17"/>
        <v>0.39321901463049719</v>
      </c>
    </row>
    <row r="387" spans="20:23" x14ac:dyDescent="0.3">
      <c r="T387" t="e">
        <f t="shared" si="15"/>
        <v>#N/A</v>
      </c>
      <c r="U387">
        <v>-0.16</v>
      </c>
      <c r="V387">
        <f t="shared" si="16"/>
        <v>0.39386836156854083</v>
      </c>
      <c r="W387">
        <f t="shared" si="17"/>
        <v>0.39386836156854083</v>
      </c>
    </row>
    <row r="388" spans="20:23" x14ac:dyDescent="0.3">
      <c r="T388" t="e">
        <f t="shared" ref="T388:T451" si="18">IF(ROUND($B$2,2)=ABS(U388),0,NA())</f>
        <v>#N/A</v>
      </c>
      <c r="U388">
        <v>-0.15</v>
      </c>
      <c r="V388">
        <f t="shared" ref="V388:V451" si="19">_xlfn.NORM.S.DIST(U388,0)</f>
        <v>0.39447933090788895</v>
      </c>
      <c r="W388">
        <f t="shared" ref="W388:W451" si="20">IF(ABS(U388)&lt;=$B$2,V388,NA())</f>
        <v>0.39447933090788895</v>
      </c>
    </row>
    <row r="389" spans="20:23" x14ac:dyDescent="0.3">
      <c r="T389" t="e">
        <f t="shared" si="18"/>
        <v>#N/A</v>
      </c>
      <c r="U389">
        <v>-0.14000000000000001</v>
      </c>
      <c r="V389">
        <f t="shared" si="19"/>
        <v>0.39505174083461125</v>
      </c>
      <c r="W389">
        <f t="shared" si="20"/>
        <v>0.39505174083461125</v>
      </c>
    </row>
    <row r="390" spans="20:23" x14ac:dyDescent="0.3">
      <c r="T390" t="e">
        <f t="shared" si="18"/>
        <v>#N/A</v>
      </c>
      <c r="U390">
        <v>-0.13</v>
      </c>
      <c r="V390">
        <f t="shared" si="19"/>
        <v>0.39558542083768738</v>
      </c>
      <c r="W390">
        <f t="shared" si="20"/>
        <v>0.39558542083768738</v>
      </c>
    </row>
    <row r="391" spans="20:23" x14ac:dyDescent="0.3">
      <c r="T391" t="e">
        <f t="shared" si="18"/>
        <v>#N/A</v>
      </c>
      <c r="U391">
        <v>-0.12</v>
      </c>
      <c r="V391">
        <f t="shared" si="19"/>
        <v>0.3960802117936561</v>
      </c>
      <c r="W391">
        <f t="shared" si="20"/>
        <v>0.3960802117936561</v>
      </c>
    </row>
    <row r="392" spans="20:23" x14ac:dyDescent="0.3">
      <c r="T392" t="e">
        <f t="shared" si="18"/>
        <v>#N/A</v>
      </c>
      <c r="U392">
        <v>-0.11</v>
      </c>
      <c r="V392">
        <f t="shared" si="19"/>
        <v>0.39653596604568575</v>
      </c>
      <c r="W392">
        <f t="shared" si="20"/>
        <v>0.39653596604568575</v>
      </c>
    </row>
    <row r="393" spans="20:23" x14ac:dyDescent="0.3">
      <c r="T393" t="e">
        <f t="shared" si="18"/>
        <v>#N/A</v>
      </c>
      <c r="U393">
        <v>-0.1</v>
      </c>
      <c r="V393">
        <f t="shared" si="19"/>
        <v>0.39695254747701181</v>
      </c>
      <c r="W393">
        <f t="shared" si="20"/>
        <v>0.39695254747701181</v>
      </c>
    </row>
    <row r="394" spans="20:23" x14ac:dyDescent="0.3">
      <c r="T394" t="e">
        <f t="shared" si="18"/>
        <v>#N/A</v>
      </c>
      <c r="U394">
        <v>-0.09</v>
      </c>
      <c r="V394">
        <f t="shared" si="19"/>
        <v>0.39732983157868834</v>
      </c>
      <c r="W394">
        <f t="shared" si="20"/>
        <v>0.39732983157868834</v>
      </c>
    </row>
    <row r="395" spans="20:23" x14ac:dyDescent="0.3">
      <c r="T395" t="e">
        <f t="shared" si="18"/>
        <v>#N/A</v>
      </c>
      <c r="U395">
        <v>-0.08</v>
      </c>
      <c r="V395">
        <f t="shared" si="19"/>
        <v>0.39766770551160885</v>
      </c>
      <c r="W395">
        <f t="shared" si="20"/>
        <v>0.39766770551160885</v>
      </c>
    </row>
    <row r="396" spans="20:23" x14ac:dyDescent="0.3">
      <c r="T396" t="e">
        <f t="shared" si="18"/>
        <v>#N/A</v>
      </c>
      <c r="U396">
        <v>-7.0000000000000007E-2</v>
      </c>
      <c r="V396">
        <f t="shared" si="19"/>
        <v>0.39796606816275104</v>
      </c>
      <c r="W396">
        <f t="shared" si="20"/>
        <v>0.39796606816275104</v>
      </c>
    </row>
    <row r="397" spans="20:23" x14ac:dyDescent="0.3">
      <c r="T397" t="e">
        <f t="shared" si="18"/>
        <v>#N/A</v>
      </c>
      <c r="U397">
        <v>-0.06</v>
      </c>
      <c r="V397">
        <f t="shared" si="19"/>
        <v>0.39822483019560695</v>
      </c>
      <c r="W397">
        <f t="shared" si="20"/>
        <v>0.39822483019560695</v>
      </c>
    </row>
    <row r="398" spans="20:23" x14ac:dyDescent="0.3">
      <c r="T398" t="e">
        <f t="shared" si="18"/>
        <v>#N/A</v>
      </c>
      <c r="U398">
        <v>-0.05</v>
      </c>
      <c r="V398">
        <f t="shared" si="19"/>
        <v>0.39844391409476404</v>
      </c>
      <c r="W398">
        <f t="shared" si="20"/>
        <v>0.39844391409476404</v>
      </c>
    </row>
    <row r="399" spans="20:23" x14ac:dyDescent="0.3">
      <c r="T399" t="e">
        <f t="shared" si="18"/>
        <v>#N/A</v>
      </c>
      <c r="U399">
        <v>-0.04</v>
      </c>
      <c r="V399">
        <f t="shared" si="19"/>
        <v>0.39862325420460504</v>
      </c>
      <c r="W399">
        <f t="shared" si="20"/>
        <v>0.39862325420460504</v>
      </c>
    </row>
    <row r="400" spans="20:23" x14ac:dyDescent="0.3">
      <c r="T400" t="e">
        <f t="shared" si="18"/>
        <v>#N/A</v>
      </c>
      <c r="U400">
        <v>-0.03</v>
      </c>
      <c r="V400">
        <f t="shared" si="19"/>
        <v>0.39876279676209969</v>
      </c>
      <c r="W400">
        <f t="shared" si="20"/>
        <v>0.39876279676209969</v>
      </c>
    </row>
    <row r="401" spans="20:25" x14ac:dyDescent="0.3">
      <c r="T401" t="e">
        <f t="shared" si="18"/>
        <v>#N/A</v>
      </c>
      <c r="U401">
        <v>-0.02</v>
      </c>
      <c r="V401">
        <f t="shared" si="19"/>
        <v>0.39886249992366613</v>
      </c>
      <c r="W401">
        <f t="shared" si="20"/>
        <v>0.39886249992366613</v>
      </c>
    </row>
    <row r="402" spans="20:25" x14ac:dyDescent="0.3">
      <c r="T402" t="e">
        <f t="shared" si="18"/>
        <v>#N/A</v>
      </c>
      <c r="U402">
        <v>-0.01</v>
      </c>
      <c r="V402">
        <f t="shared" si="19"/>
        <v>0.39892233378608216</v>
      </c>
      <c r="W402">
        <f t="shared" si="20"/>
        <v>0.39892233378608216</v>
      </c>
    </row>
    <row r="403" spans="20:25" x14ac:dyDescent="0.3">
      <c r="T403" t="e">
        <f t="shared" si="18"/>
        <v>#N/A</v>
      </c>
      <c r="U403">
        <v>0</v>
      </c>
      <c r="V403">
        <f t="shared" si="19"/>
        <v>0.3989422804014327</v>
      </c>
      <c r="W403">
        <f t="shared" si="20"/>
        <v>0.3989422804014327</v>
      </c>
      <c r="Y403">
        <f>V403</f>
        <v>0.3989422804014327</v>
      </c>
    </row>
    <row r="404" spans="20:25" x14ac:dyDescent="0.3">
      <c r="T404" t="e">
        <f t="shared" si="18"/>
        <v>#N/A</v>
      </c>
      <c r="U404">
        <v>0.01</v>
      </c>
      <c r="V404">
        <f t="shared" si="19"/>
        <v>0.39892233378608216</v>
      </c>
      <c r="W404">
        <f t="shared" si="20"/>
        <v>0.39892233378608216</v>
      </c>
    </row>
    <row r="405" spans="20:25" x14ac:dyDescent="0.3">
      <c r="T405" t="e">
        <f t="shared" si="18"/>
        <v>#N/A</v>
      </c>
      <c r="U405">
        <v>0.02</v>
      </c>
      <c r="V405">
        <f t="shared" si="19"/>
        <v>0.39886249992366613</v>
      </c>
      <c r="W405">
        <f t="shared" si="20"/>
        <v>0.39886249992366613</v>
      </c>
    </row>
    <row r="406" spans="20:25" x14ac:dyDescent="0.3">
      <c r="T406" t="e">
        <f t="shared" si="18"/>
        <v>#N/A</v>
      </c>
      <c r="U406">
        <v>0.03</v>
      </c>
      <c r="V406">
        <f t="shared" si="19"/>
        <v>0.39876279676209969</v>
      </c>
      <c r="W406">
        <f t="shared" si="20"/>
        <v>0.39876279676209969</v>
      </c>
    </row>
    <row r="407" spans="20:25" x14ac:dyDescent="0.3">
      <c r="T407" t="e">
        <f t="shared" si="18"/>
        <v>#N/A</v>
      </c>
      <c r="U407">
        <v>0.04</v>
      </c>
      <c r="V407">
        <f t="shared" si="19"/>
        <v>0.39862325420460504</v>
      </c>
      <c r="W407">
        <f t="shared" si="20"/>
        <v>0.39862325420460504</v>
      </c>
    </row>
    <row r="408" spans="20:25" x14ac:dyDescent="0.3">
      <c r="T408" t="e">
        <f t="shared" si="18"/>
        <v>#N/A</v>
      </c>
      <c r="U408">
        <v>0.05</v>
      </c>
      <c r="V408">
        <f t="shared" si="19"/>
        <v>0.39844391409476404</v>
      </c>
      <c r="W408">
        <f t="shared" si="20"/>
        <v>0.39844391409476404</v>
      </c>
    </row>
    <row r="409" spans="20:25" x14ac:dyDescent="0.3">
      <c r="T409" t="e">
        <f t="shared" si="18"/>
        <v>#N/A</v>
      </c>
      <c r="U409">
        <v>0.06</v>
      </c>
      <c r="V409">
        <f t="shared" si="19"/>
        <v>0.39822483019560695</v>
      </c>
      <c r="W409">
        <f t="shared" si="20"/>
        <v>0.39822483019560695</v>
      </c>
    </row>
    <row r="410" spans="20:25" x14ac:dyDescent="0.3">
      <c r="T410" t="e">
        <f t="shared" si="18"/>
        <v>#N/A</v>
      </c>
      <c r="U410">
        <v>7.0000000000000007E-2</v>
      </c>
      <c r="V410">
        <f t="shared" si="19"/>
        <v>0.39796606816275104</v>
      </c>
      <c r="W410">
        <f t="shared" si="20"/>
        <v>0.39796606816275104</v>
      </c>
    </row>
    <row r="411" spans="20:25" x14ac:dyDescent="0.3">
      <c r="T411" t="e">
        <f t="shared" si="18"/>
        <v>#N/A</v>
      </c>
      <c r="U411">
        <v>0.08</v>
      </c>
      <c r="V411">
        <f t="shared" si="19"/>
        <v>0.39766770551160885</v>
      </c>
      <c r="W411">
        <f t="shared" si="20"/>
        <v>0.39766770551160885</v>
      </c>
    </row>
    <row r="412" spans="20:25" x14ac:dyDescent="0.3">
      <c r="T412" t="e">
        <f t="shared" si="18"/>
        <v>#N/A</v>
      </c>
      <c r="U412">
        <v>0.09</v>
      </c>
      <c r="V412">
        <f t="shared" si="19"/>
        <v>0.39732983157868834</v>
      </c>
      <c r="W412">
        <f t="shared" si="20"/>
        <v>0.39732983157868834</v>
      </c>
    </row>
    <row r="413" spans="20:25" x14ac:dyDescent="0.3">
      <c r="T413" t="e">
        <f t="shared" si="18"/>
        <v>#N/A</v>
      </c>
      <c r="U413">
        <v>0.1</v>
      </c>
      <c r="V413">
        <f t="shared" si="19"/>
        <v>0.39695254747701181</v>
      </c>
      <c r="W413">
        <f t="shared" si="20"/>
        <v>0.39695254747701181</v>
      </c>
    </row>
    <row r="414" spans="20:25" x14ac:dyDescent="0.3">
      <c r="T414" t="e">
        <f t="shared" si="18"/>
        <v>#N/A</v>
      </c>
      <c r="U414">
        <v>0.11</v>
      </c>
      <c r="V414">
        <f t="shared" si="19"/>
        <v>0.39653596604568575</v>
      </c>
      <c r="W414">
        <f t="shared" si="20"/>
        <v>0.39653596604568575</v>
      </c>
    </row>
    <row r="415" spans="20:25" x14ac:dyDescent="0.3">
      <c r="T415" t="e">
        <f t="shared" si="18"/>
        <v>#N/A</v>
      </c>
      <c r="U415">
        <v>0.12</v>
      </c>
      <c r="V415">
        <f t="shared" si="19"/>
        <v>0.3960802117936561</v>
      </c>
      <c r="W415">
        <f t="shared" si="20"/>
        <v>0.3960802117936561</v>
      </c>
    </row>
    <row r="416" spans="20:25" x14ac:dyDescent="0.3">
      <c r="T416" t="e">
        <f t="shared" si="18"/>
        <v>#N/A</v>
      </c>
      <c r="U416">
        <v>0.13</v>
      </c>
      <c r="V416">
        <f t="shared" si="19"/>
        <v>0.39558542083768738</v>
      </c>
      <c r="W416">
        <f t="shared" si="20"/>
        <v>0.39558542083768738</v>
      </c>
    </row>
    <row r="417" spans="20:23" x14ac:dyDescent="0.3">
      <c r="T417" t="e">
        <f t="shared" si="18"/>
        <v>#N/A</v>
      </c>
      <c r="U417">
        <v>0.14000000000000001</v>
      </c>
      <c r="V417">
        <f t="shared" si="19"/>
        <v>0.39505174083461125</v>
      </c>
      <c r="W417">
        <f t="shared" si="20"/>
        <v>0.39505174083461125</v>
      </c>
    </row>
    <row r="418" spans="20:23" x14ac:dyDescent="0.3">
      <c r="T418" t="e">
        <f t="shared" si="18"/>
        <v>#N/A</v>
      </c>
      <c r="U418">
        <v>0.15</v>
      </c>
      <c r="V418">
        <f t="shared" si="19"/>
        <v>0.39447933090788895</v>
      </c>
      <c r="W418">
        <f t="shared" si="20"/>
        <v>0.39447933090788895</v>
      </c>
    </row>
    <row r="419" spans="20:23" x14ac:dyDescent="0.3">
      <c r="T419" t="e">
        <f t="shared" si="18"/>
        <v>#N/A</v>
      </c>
      <c r="U419">
        <v>0.16</v>
      </c>
      <c r="V419">
        <f t="shared" si="19"/>
        <v>0.39386836156854083</v>
      </c>
      <c r="W419">
        <f t="shared" si="20"/>
        <v>0.39386836156854083</v>
      </c>
    </row>
    <row r="420" spans="20:23" x14ac:dyDescent="0.3">
      <c r="T420" t="e">
        <f t="shared" si="18"/>
        <v>#N/A</v>
      </c>
      <c r="U420">
        <v>0.17</v>
      </c>
      <c r="V420">
        <f t="shared" si="19"/>
        <v>0.39321901463049719</v>
      </c>
      <c r="W420">
        <f t="shared" si="20"/>
        <v>0.39321901463049719</v>
      </c>
    </row>
    <row r="421" spans="20:23" x14ac:dyDescent="0.3">
      <c r="T421" t="e">
        <f t="shared" si="18"/>
        <v>#N/A</v>
      </c>
      <c r="U421">
        <v>0.18</v>
      </c>
      <c r="V421">
        <f t="shared" si="19"/>
        <v>0.3925314831204289</v>
      </c>
      <c r="W421">
        <f t="shared" si="20"/>
        <v>0.3925314831204289</v>
      </c>
    </row>
    <row r="422" spans="20:23" x14ac:dyDescent="0.3">
      <c r="T422" t="e">
        <f t="shared" si="18"/>
        <v>#N/A</v>
      </c>
      <c r="U422">
        <v>0.19</v>
      </c>
      <c r="V422">
        <f t="shared" si="19"/>
        <v>0.39180597118212113</v>
      </c>
      <c r="W422">
        <f t="shared" si="20"/>
        <v>0.39180597118212113</v>
      </c>
    </row>
    <row r="423" spans="20:23" x14ac:dyDescent="0.3">
      <c r="T423" t="e">
        <f t="shared" si="18"/>
        <v>#N/A</v>
      </c>
      <c r="U423">
        <v>0.2</v>
      </c>
      <c r="V423">
        <f t="shared" si="19"/>
        <v>0.39104269397545588</v>
      </c>
      <c r="W423">
        <f t="shared" si="20"/>
        <v>0.39104269397545588</v>
      </c>
    </row>
    <row r="424" spans="20:23" x14ac:dyDescent="0.3">
      <c r="T424" t="e">
        <f t="shared" si="18"/>
        <v>#N/A</v>
      </c>
      <c r="U424">
        <v>0.21</v>
      </c>
      <c r="V424">
        <f t="shared" si="19"/>
        <v>0.39024187757007428</v>
      </c>
      <c r="W424">
        <f t="shared" si="20"/>
        <v>0.39024187757007428</v>
      </c>
    </row>
    <row r="425" spans="20:23" x14ac:dyDescent="0.3">
      <c r="T425" t="e">
        <f t="shared" si="18"/>
        <v>#N/A</v>
      </c>
      <c r="U425">
        <v>0.22</v>
      </c>
      <c r="V425">
        <f t="shared" si="19"/>
        <v>0.38940375883379041</v>
      </c>
      <c r="W425">
        <f t="shared" si="20"/>
        <v>0.38940375883379041</v>
      </c>
    </row>
    <row r="426" spans="20:23" x14ac:dyDescent="0.3">
      <c r="T426" t="e">
        <f t="shared" si="18"/>
        <v>#N/A</v>
      </c>
      <c r="U426">
        <v>0.23</v>
      </c>
      <c r="V426">
        <f t="shared" si="19"/>
        <v>0.38852858531583589</v>
      </c>
      <c r="W426">
        <f t="shared" si="20"/>
        <v>0.38852858531583589</v>
      </c>
    </row>
    <row r="427" spans="20:23" x14ac:dyDescent="0.3">
      <c r="T427" t="e">
        <f t="shared" si="18"/>
        <v>#N/A</v>
      </c>
      <c r="U427">
        <v>0.24</v>
      </c>
      <c r="V427">
        <f t="shared" si="19"/>
        <v>0.38761661512501416</v>
      </c>
      <c r="W427">
        <f t="shared" si="20"/>
        <v>0.38761661512501416</v>
      </c>
    </row>
    <row r="428" spans="20:23" x14ac:dyDescent="0.3">
      <c r="T428" t="e">
        <f t="shared" si="18"/>
        <v>#N/A</v>
      </c>
      <c r="U428">
        <v>0.25</v>
      </c>
      <c r="V428">
        <f t="shared" si="19"/>
        <v>0.38666811680284924</v>
      </c>
      <c r="W428">
        <f t="shared" si="20"/>
        <v>0.38666811680284924</v>
      </c>
    </row>
    <row r="429" spans="20:23" x14ac:dyDescent="0.3">
      <c r="T429" t="e">
        <f t="shared" si="18"/>
        <v>#N/A</v>
      </c>
      <c r="U429">
        <v>0.26</v>
      </c>
      <c r="V429">
        <f t="shared" si="19"/>
        <v>0.38568336919181612</v>
      </c>
      <c r="W429">
        <f t="shared" si="20"/>
        <v>0.38568336919181612</v>
      </c>
    </row>
    <row r="430" spans="20:23" x14ac:dyDescent="0.3">
      <c r="T430" t="e">
        <f t="shared" si="18"/>
        <v>#N/A</v>
      </c>
      <c r="U430">
        <v>0.27</v>
      </c>
      <c r="V430">
        <f t="shared" si="19"/>
        <v>0.38466266129874283</v>
      </c>
      <c r="W430">
        <f t="shared" si="20"/>
        <v>0.38466266129874283</v>
      </c>
    </row>
    <row r="431" spans="20:23" x14ac:dyDescent="0.3">
      <c r="T431" t="e">
        <f t="shared" si="18"/>
        <v>#N/A</v>
      </c>
      <c r="U431">
        <v>0.28000000000000003</v>
      </c>
      <c r="V431">
        <f t="shared" si="19"/>
        <v>0.38360629215347858</v>
      </c>
      <c r="W431">
        <f t="shared" si="20"/>
        <v>0.38360629215347858</v>
      </c>
    </row>
    <row r="432" spans="20:23" x14ac:dyDescent="0.3">
      <c r="T432" t="e">
        <f t="shared" si="18"/>
        <v>#N/A</v>
      </c>
      <c r="U432">
        <v>0.28999999999999998</v>
      </c>
      <c r="V432">
        <f t="shared" si="19"/>
        <v>0.38251457066292405</v>
      </c>
      <c r="W432">
        <f t="shared" si="20"/>
        <v>0.38251457066292405</v>
      </c>
    </row>
    <row r="433" spans="20:23" x14ac:dyDescent="0.3">
      <c r="T433" t="e">
        <f t="shared" si="18"/>
        <v>#N/A</v>
      </c>
      <c r="U433">
        <v>0.3</v>
      </c>
      <c r="V433">
        <f t="shared" si="19"/>
        <v>0.38138781546052414</v>
      </c>
      <c r="W433">
        <f t="shared" si="20"/>
        <v>0.38138781546052414</v>
      </c>
    </row>
    <row r="434" spans="20:23" x14ac:dyDescent="0.3">
      <c r="T434" t="e">
        <f t="shared" si="18"/>
        <v>#N/A</v>
      </c>
      <c r="U434">
        <v>0.31</v>
      </c>
      <c r="V434">
        <f t="shared" si="19"/>
        <v>0.38022635475132494</v>
      </c>
      <c r="W434">
        <f t="shared" si="20"/>
        <v>0.38022635475132494</v>
      </c>
    </row>
    <row r="435" spans="20:23" x14ac:dyDescent="0.3">
      <c r="T435" t="e">
        <f t="shared" si="18"/>
        <v>#N/A</v>
      </c>
      <c r="U435">
        <v>0.32</v>
      </c>
      <c r="V435">
        <f t="shared" si="19"/>
        <v>0.37903052615270166</v>
      </c>
      <c r="W435">
        <f t="shared" si="20"/>
        <v>0.37903052615270166</v>
      </c>
    </row>
    <row r="436" spans="20:23" x14ac:dyDescent="0.3">
      <c r="T436" t="e">
        <f t="shared" si="18"/>
        <v>#N/A</v>
      </c>
      <c r="U436">
        <v>0.33</v>
      </c>
      <c r="V436">
        <f t="shared" si="19"/>
        <v>0.37780067653086458</v>
      </c>
      <c r="W436">
        <f t="shared" si="20"/>
        <v>0.37780067653086458</v>
      </c>
    </row>
    <row r="437" spans="20:23" x14ac:dyDescent="0.3">
      <c r="T437" t="e">
        <f t="shared" si="18"/>
        <v>#N/A</v>
      </c>
      <c r="U437">
        <v>0.34</v>
      </c>
      <c r="V437">
        <f t="shared" si="19"/>
        <v>0.37653716183325392</v>
      </c>
      <c r="W437">
        <f t="shared" si="20"/>
        <v>0.37653716183325392</v>
      </c>
    </row>
    <row r="438" spans="20:23" x14ac:dyDescent="0.3">
      <c r="T438" t="e">
        <f t="shared" si="18"/>
        <v>#N/A</v>
      </c>
      <c r="U438">
        <v>0.35</v>
      </c>
      <c r="V438">
        <f t="shared" si="19"/>
        <v>0.37524034691693792</v>
      </c>
      <c r="W438">
        <f t="shared" si="20"/>
        <v>0.37524034691693792</v>
      </c>
    </row>
    <row r="439" spans="20:23" x14ac:dyDescent="0.3">
      <c r="T439" t="e">
        <f t="shared" si="18"/>
        <v>#N/A</v>
      </c>
      <c r="U439">
        <v>0.36</v>
      </c>
      <c r="V439">
        <f t="shared" si="19"/>
        <v>0.37391060537312842</v>
      </c>
      <c r="W439">
        <f t="shared" si="20"/>
        <v>0.37391060537312842</v>
      </c>
    </row>
    <row r="440" spans="20:23" x14ac:dyDescent="0.3">
      <c r="T440" t="e">
        <f t="shared" si="18"/>
        <v>#N/A</v>
      </c>
      <c r="U440">
        <v>0.37</v>
      </c>
      <c r="V440">
        <f t="shared" si="19"/>
        <v>0.37254831934793342</v>
      </c>
      <c r="W440">
        <f t="shared" si="20"/>
        <v>0.37254831934793342</v>
      </c>
    </row>
    <row r="441" spans="20:23" x14ac:dyDescent="0.3">
      <c r="T441" t="e">
        <f t="shared" si="18"/>
        <v>#N/A</v>
      </c>
      <c r="U441">
        <v>0.38</v>
      </c>
      <c r="V441">
        <f t="shared" si="19"/>
        <v>0.37115387935946603</v>
      </c>
      <c r="W441">
        <f t="shared" si="20"/>
        <v>0.37115387935946603</v>
      </c>
    </row>
    <row r="442" spans="20:23" x14ac:dyDescent="0.3">
      <c r="T442" t="e">
        <f t="shared" si="18"/>
        <v>#N/A</v>
      </c>
      <c r="U442">
        <v>0.39</v>
      </c>
      <c r="V442">
        <f t="shared" si="19"/>
        <v>0.36972768411143236</v>
      </c>
      <c r="W442">
        <f t="shared" si="20"/>
        <v>0.36972768411143236</v>
      </c>
    </row>
    <row r="443" spans="20:23" x14ac:dyDescent="0.3">
      <c r="T443" t="e">
        <f t="shared" si="18"/>
        <v>#N/A</v>
      </c>
      <c r="U443">
        <v>0.4</v>
      </c>
      <c r="V443">
        <f t="shared" si="19"/>
        <v>0.36827014030332333</v>
      </c>
      <c r="W443">
        <f t="shared" si="20"/>
        <v>0.36827014030332333</v>
      </c>
    </row>
    <row r="444" spans="20:23" x14ac:dyDescent="0.3">
      <c r="T444" t="e">
        <f t="shared" si="18"/>
        <v>#N/A</v>
      </c>
      <c r="U444">
        <v>0.41</v>
      </c>
      <c r="V444">
        <f t="shared" si="19"/>
        <v>0.36678166243733612</v>
      </c>
      <c r="W444">
        <f t="shared" si="20"/>
        <v>0.36678166243733612</v>
      </c>
    </row>
    <row r="445" spans="20:23" x14ac:dyDescent="0.3">
      <c r="T445" t="e">
        <f t="shared" si="18"/>
        <v>#N/A</v>
      </c>
      <c r="U445">
        <v>0.42</v>
      </c>
      <c r="V445">
        <f t="shared" si="19"/>
        <v>0.36526267262215389</v>
      </c>
      <c r="W445">
        <f t="shared" si="20"/>
        <v>0.36526267262215389</v>
      </c>
    </row>
    <row r="446" spans="20:23" x14ac:dyDescent="0.3">
      <c r="T446" t="e">
        <f t="shared" si="18"/>
        <v>#N/A</v>
      </c>
      <c r="U446">
        <v>0.43</v>
      </c>
      <c r="V446">
        <f t="shared" si="19"/>
        <v>0.36371360037371342</v>
      </c>
      <c r="W446">
        <f t="shared" si="20"/>
        <v>0.36371360037371342</v>
      </c>
    </row>
    <row r="447" spans="20:23" x14ac:dyDescent="0.3">
      <c r="T447" t="e">
        <f t="shared" si="18"/>
        <v>#N/A</v>
      </c>
      <c r="U447">
        <v>0.44</v>
      </c>
      <c r="V447">
        <f t="shared" si="19"/>
        <v>0.36213488241309222</v>
      </c>
      <c r="W447">
        <f t="shared" si="20"/>
        <v>0.36213488241309222</v>
      </c>
    </row>
    <row r="448" spans="20:23" x14ac:dyDescent="0.3">
      <c r="T448" t="e">
        <f t="shared" si="18"/>
        <v>#N/A</v>
      </c>
      <c r="U448">
        <v>0.45</v>
      </c>
      <c r="V448">
        <f t="shared" si="19"/>
        <v>0.36052696246164795</v>
      </c>
      <c r="W448">
        <f t="shared" si="20"/>
        <v>0.36052696246164795</v>
      </c>
    </row>
    <row r="449" spans="20:23" x14ac:dyDescent="0.3">
      <c r="T449" t="e">
        <f t="shared" si="18"/>
        <v>#N/A</v>
      </c>
      <c r="U449">
        <v>0.46</v>
      </c>
      <c r="V449">
        <f t="shared" si="19"/>
        <v>0.35889029103354464</v>
      </c>
      <c r="W449">
        <f t="shared" si="20"/>
        <v>0.35889029103354464</v>
      </c>
    </row>
    <row r="450" spans="20:23" x14ac:dyDescent="0.3">
      <c r="T450" t="e">
        <f t="shared" si="18"/>
        <v>#N/A</v>
      </c>
      <c r="U450">
        <v>0.47</v>
      </c>
      <c r="V450">
        <f t="shared" si="19"/>
        <v>0.35722532522580086</v>
      </c>
      <c r="W450">
        <f t="shared" si="20"/>
        <v>0.35722532522580086</v>
      </c>
    </row>
    <row r="451" spans="20:23" x14ac:dyDescent="0.3">
      <c r="T451" t="e">
        <f t="shared" si="18"/>
        <v>#N/A</v>
      </c>
      <c r="U451">
        <v>0.48</v>
      </c>
      <c r="V451">
        <f t="shared" si="19"/>
        <v>0.35553252850599709</v>
      </c>
      <c r="W451">
        <f t="shared" si="20"/>
        <v>0.35553252850599709</v>
      </c>
    </row>
    <row r="452" spans="20:23" x14ac:dyDescent="0.3">
      <c r="T452" t="e">
        <f t="shared" ref="T452:T515" si="21">IF(ROUND($B$2,2)=ABS(U452),0,NA())</f>
        <v>#N/A</v>
      </c>
      <c r="U452">
        <v>0.49</v>
      </c>
      <c r="V452">
        <f t="shared" ref="V452:V515" si="22">_xlfn.NORM.S.DIST(U452,0)</f>
        <v>0.35381237049777969</v>
      </c>
      <c r="W452">
        <f t="shared" ref="W452:W515" si="23">IF(ABS(U452)&lt;=$B$2,V452,NA())</f>
        <v>0.35381237049777969</v>
      </c>
    </row>
    <row r="453" spans="20:23" x14ac:dyDescent="0.3">
      <c r="T453" t="e">
        <f t="shared" si="21"/>
        <v>#N/A</v>
      </c>
      <c r="U453">
        <v>0.5</v>
      </c>
      <c r="V453">
        <f t="shared" si="22"/>
        <v>0.35206532676429952</v>
      </c>
      <c r="W453">
        <f t="shared" si="23"/>
        <v>0.35206532676429952</v>
      </c>
    </row>
    <row r="454" spans="20:23" x14ac:dyDescent="0.3">
      <c r="T454" t="e">
        <f t="shared" si="21"/>
        <v>#N/A</v>
      </c>
      <c r="U454">
        <v>0.51</v>
      </c>
      <c r="V454">
        <f t="shared" si="22"/>
        <v>0.35029187858972582</v>
      </c>
      <c r="W454">
        <f t="shared" si="23"/>
        <v>0.35029187858972582</v>
      </c>
    </row>
    <row r="455" spans="20:23" x14ac:dyDescent="0.3">
      <c r="T455" t="e">
        <f t="shared" si="21"/>
        <v>#N/A</v>
      </c>
      <c r="U455">
        <v>0.52</v>
      </c>
      <c r="V455">
        <f t="shared" si="22"/>
        <v>0.34849251275897447</v>
      </c>
      <c r="W455">
        <f t="shared" si="23"/>
        <v>0.34849251275897447</v>
      </c>
    </row>
    <row r="456" spans="20:23" x14ac:dyDescent="0.3">
      <c r="T456" t="e">
        <f t="shared" si="21"/>
        <v>#N/A</v>
      </c>
      <c r="U456">
        <v>0.53</v>
      </c>
      <c r="V456">
        <f t="shared" si="22"/>
        <v>0.34666772133579166</v>
      </c>
      <c r="W456">
        <f t="shared" si="23"/>
        <v>0.34666772133579166</v>
      </c>
    </row>
    <row r="457" spans="20:23" x14ac:dyDescent="0.3">
      <c r="T457" t="e">
        <f t="shared" si="21"/>
        <v>#N/A</v>
      </c>
      <c r="U457">
        <v>0.54</v>
      </c>
      <c r="V457">
        <f t="shared" si="22"/>
        <v>0.34481800143933333</v>
      </c>
      <c r="W457">
        <f t="shared" si="23"/>
        <v>0.34481800143933333</v>
      </c>
    </row>
    <row r="458" spans="20:23" x14ac:dyDescent="0.3">
      <c r="T458" t="e">
        <f t="shared" si="21"/>
        <v>#N/A</v>
      </c>
      <c r="U458">
        <v>0.55000000000000004</v>
      </c>
      <c r="V458">
        <f t="shared" si="22"/>
        <v>0.3429438550193839</v>
      </c>
      <c r="W458">
        <f t="shared" si="23"/>
        <v>0.3429438550193839</v>
      </c>
    </row>
    <row r="459" spans="20:23" x14ac:dyDescent="0.3">
      <c r="T459" t="e">
        <f t="shared" si="21"/>
        <v>#N/A</v>
      </c>
      <c r="U459">
        <v>0.56000000000000005</v>
      </c>
      <c r="V459">
        <f t="shared" si="22"/>
        <v>0.34104578863035256</v>
      </c>
      <c r="W459">
        <f t="shared" si="23"/>
        <v>0.34104578863035256</v>
      </c>
    </row>
    <row r="460" spans="20:23" x14ac:dyDescent="0.3">
      <c r="T460" t="e">
        <f t="shared" si="21"/>
        <v>#N/A</v>
      </c>
      <c r="U460">
        <v>0.56999999999999995</v>
      </c>
      <c r="V460">
        <f t="shared" si="22"/>
        <v>0.33912431320419223</v>
      </c>
      <c r="W460">
        <f t="shared" si="23"/>
        <v>0.33912431320419223</v>
      </c>
    </row>
    <row r="461" spans="20:23" x14ac:dyDescent="0.3">
      <c r="T461" t="e">
        <f t="shared" si="21"/>
        <v>#N/A</v>
      </c>
      <c r="U461">
        <v>0.57999999999999996</v>
      </c>
      <c r="V461">
        <f t="shared" si="22"/>
        <v>0.33717994382238059</v>
      </c>
      <c r="W461">
        <f t="shared" si="23"/>
        <v>0.33717994382238059</v>
      </c>
    </row>
    <row r="462" spans="20:23" x14ac:dyDescent="0.3">
      <c r="T462" t="e">
        <f t="shared" si="21"/>
        <v>#N/A</v>
      </c>
      <c r="U462">
        <v>0.59</v>
      </c>
      <c r="V462">
        <f t="shared" si="22"/>
        <v>0.33521319948710609</v>
      </c>
      <c r="W462">
        <f t="shared" si="23"/>
        <v>0.33521319948710609</v>
      </c>
    </row>
    <row r="463" spans="20:23" x14ac:dyDescent="0.3">
      <c r="T463" t="e">
        <f t="shared" si="21"/>
        <v>#N/A</v>
      </c>
      <c r="U463">
        <v>0.6</v>
      </c>
      <c r="V463">
        <f t="shared" si="22"/>
        <v>0.33322460289179967</v>
      </c>
      <c r="W463">
        <f t="shared" si="23"/>
        <v>0.33322460289179967</v>
      </c>
    </row>
    <row r="464" spans="20:23" x14ac:dyDescent="0.3">
      <c r="T464" t="e">
        <f t="shared" si="21"/>
        <v>#N/A</v>
      </c>
      <c r="U464">
        <v>0.61</v>
      </c>
      <c r="V464">
        <f t="shared" si="22"/>
        <v>0.33121468019115297</v>
      </c>
      <c r="W464">
        <f t="shared" si="23"/>
        <v>0.33121468019115297</v>
      </c>
    </row>
    <row r="465" spans="20:23" x14ac:dyDescent="0.3">
      <c r="T465" t="e">
        <f t="shared" si="21"/>
        <v>#N/A</v>
      </c>
      <c r="U465">
        <v>0.62</v>
      </c>
      <c r="V465">
        <f t="shared" si="22"/>
        <v>0.32918396077076478</v>
      </c>
      <c r="W465">
        <f t="shared" si="23"/>
        <v>0.32918396077076478</v>
      </c>
    </row>
    <row r="466" spans="20:23" x14ac:dyDescent="0.3">
      <c r="T466" t="e">
        <f t="shared" si="21"/>
        <v>#N/A</v>
      </c>
      <c r="U466">
        <v>0.63</v>
      </c>
      <c r="V466">
        <f t="shared" si="22"/>
        <v>0.32713297701655447</v>
      </c>
      <c r="W466">
        <f t="shared" si="23"/>
        <v>0.32713297701655447</v>
      </c>
    </row>
    <row r="467" spans="20:23" x14ac:dyDescent="0.3">
      <c r="T467" t="e">
        <f t="shared" si="21"/>
        <v>#N/A</v>
      </c>
      <c r="U467">
        <v>0.64</v>
      </c>
      <c r="V467">
        <f t="shared" si="22"/>
        <v>0.32506226408408218</v>
      </c>
      <c r="W467">
        <f t="shared" si="23"/>
        <v>0.32506226408408218</v>
      </c>
    </row>
    <row r="468" spans="20:23" x14ac:dyDescent="0.3">
      <c r="T468" t="e">
        <f t="shared" si="21"/>
        <v>#N/A</v>
      </c>
      <c r="U468">
        <v>0.65</v>
      </c>
      <c r="V468">
        <f t="shared" si="22"/>
        <v>0.32297235966791427</v>
      </c>
      <c r="W468">
        <f t="shared" si="23"/>
        <v>0.32297235966791427</v>
      </c>
    </row>
    <row r="469" spans="20:23" x14ac:dyDescent="0.3">
      <c r="T469" t="e">
        <f t="shared" si="21"/>
        <v>#N/A</v>
      </c>
      <c r="U469">
        <v>0.66</v>
      </c>
      <c r="V469">
        <f t="shared" si="22"/>
        <v>0.32086380377117252</v>
      </c>
      <c r="W469">
        <f t="shared" si="23"/>
        <v>0.32086380377117252</v>
      </c>
    </row>
    <row r="470" spans="20:23" x14ac:dyDescent="0.3">
      <c r="T470" t="e">
        <f t="shared" si="21"/>
        <v>#N/A</v>
      </c>
      <c r="U470">
        <v>0.67</v>
      </c>
      <c r="V470">
        <f t="shared" si="22"/>
        <v>0.31873713847540153</v>
      </c>
      <c r="W470">
        <f t="shared" si="23"/>
        <v>0.31873713847540153</v>
      </c>
    </row>
    <row r="471" spans="20:23" x14ac:dyDescent="0.3">
      <c r="T471" t="e">
        <f t="shared" si="21"/>
        <v>#N/A</v>
      </c>
      <c r="U471">
        <v>0.68</v>
      </c>
      <c r="V471">
        <f t="shared" si="22"/>
        <v>0.31659290771089277</v>
      </c>
      <c r="W471">
        <f t="shared" si="23"/>
        <v>0.31659290771089277</v>
      </c>
    </row>
    <row r="472" spans="20:23" x14ac:dyDescent="0.3">
      <c r="T472" t="e">
        <f t="shared" si="21"/>
        <v>#N/A</v>
      </c>
      <c r="U472">
        <v>0.69</v>
      </c>
      <c r="V472">
        <f t="shared" si="22"/>
        <v>0.31443165702759734</v>
      </c>
      <c r="W472">
        <f t="shared" si="23"/>
        <v>0.31443165702759734</v>
      </c>
    </row>
    <row r="473" spans="20:23" x14ac:dyDescent="0.3">
      <c r="T473" t="e">
        <f t="shared" si="21"/>
        <v>#N/A</v>
      </c>
      <c r="U473">
        <v>0.7</v>
      </c>
      <c r="V473">
        <f t="shared" si="22"/>
        <v>0.31225393336676127</v>
      </c>
      <c r="W473">
        <f t="shared" si="23"/>
        <v>0.31225393336676127</v>
      </c>
    </row>
    <row r="474" spans="20:23" x14ac:dyDescent="0.3">
      <c r="T474" t="e">
        <f t="shared" si="21"/>
        <v>#N/A</v>
      </c>
      <c r="U474">
        <v>0.71</v>
      </c>
      <c r="V474">
        <f t="shared" si="22"/>
        <v>0.31006028483341613</v>
      </c>
      <c r="W474">
        <f t="shared" si="23"/>
        <v>0.31006028483341613</v>
      </c>
    </row>
    <row r="475" spans="20:23" x14ac:dyDescent="0.3">
      <c r="T475" t="e">
        <f t="shared" si="21"/>
        <v>#N/A</v>
      </c>
      <c r="U475">
        <v>0.72</v>
      </c>
      <c r="V475">
        <f t="shared" si="22"/>
        <v>0.30785126046985295</v>
      </c>
      <c r="W475">
        <f t="shared" si="23"/>
        <v>0.30785126046985295</v>
      </c>
    </row>
    <row r="476" spans="20:23" x14ac:dyDescent="0.3">
      <c r="T476" t="e">
        <f t="shared" si="21"/>
        <v>#N/A</v>
      </c>
      <c r="U476">
        <v>0.73</v>
      </c>
      <c r="V476">
        <f t="shared" si="22"/>
        <v>0.30562741003020988</v>
      </c>
      <c r="W476">
        <f t="shared" si="23"/>
        <v>0.30562741003020988</v>
      </c>
    </row>
    <row r="477" spans="20:23" x14ac:dyDescent="0.3">
      <c r="T477" t="e">
        <f t="shared" si="21"/>
        <v>#N/A</v>
      </c>
      <c r="U477">
        <v>0.74</v>
      </c>
      <c r="V477">
        <f t="shared" si="22"/>
        <v>0.30338928375630014</v>
      </c>
      <c r="W477">
        <f t="shared" si="23"/>
        <v>0.30338928375630014</v>
      </c>
    </row>
    <row r="478" spans="20:23" x14ac:dyDescent="0.3">
      <c r="T478" t="e">
        <f t="shared" si="21"/>
        <v>#N/A</v>
      </c>
      <c r="U478">
        <v>0.75</v>
      </c>
      <c r="V478">
        <f t="shared" si="22"/>
        <v>0.30113743215480443</v>
      </c>
      <c r="W478">
        <f t="shared" si="23"/>
        <v>0.30113743215480443</v>
      </c>
    </row>
    <row r="479" spans="20:23" x14ac:dyDescent="0.3">
      <c r="T479" t="e">
        <f t="shared" si="21"/>
        <v>#N/A</v>
      </c>
      <c r="U479">
        <v>0.76</v>
      </c>
      <c r="V479">
        <f t="shared" si="22"/>
        <v>0.29887240577595275</v>
      </c>
      <c r="W479">
        <f t="shared" si="23"/>
        <v>0.29887240577595275</v>
      </c>
    </row>
    <row r="480" spans="20:23" x14ac:dyDescent="0.3">
      <c r="T480" t="e">
        <f t="shared" si="21"/>
        <v>#N/A</v>
      </c>
      <c r="U480">
        <v>0.77</v>
      </c>
      <c r="V480">
        <f t="shared" si="22"/>
        <v>0.29659475499381571</v>
      </c>
      <c r="W480">
        <f t="shared" si="23"/>
        <v>0.29659475499381571</v>
      </c>
    </row>
    <row r="481" spans="20:23" x14ac:dyDescent="0.3">
      <c r="T481" t="e">
        <f t="shared" si="21"/>
        <v>#N/A</v>
      </c>
      <c r="U481">
        <v>0.78</v>
      </c>
      <c r="V481">
        <f t="shared" si="22"/>
        <v>0.29430502978832512</v>
      </c>
      <c r="W481">
        <f t="shared" si="23"/>
        <v>0.29430502978832512</v>
      </c>
    </row>
    <row r="482" spans="20:23" x14ac:dyDescent="0.3">
      <c r="T482" t="e">
        <f t="shared" si="21"/>
        <v>#N/A</v>
      </c>
      <c r="U482">
        <v>0.79</v>
      </c>
      <c r="V482">
        <f t="shared" si="22"/>
        <v>0.29200377952914142</v>
      </c>
      <c r="W482">
        <f t="shared" si="23"/>
        <v>0.29200377952914142</v>
      </c>
    </row>
    <row r="483" spans="20:23" x14ac:dyDescent="0.3">
      <c r="T483" t="e">
        <f t="shared" si="21"/>
        <v>#N/A</v>
      </c>
      <c r="U483">
        <v>0.8</v>
      </c>
      <c r="V483">
        <f t="shared" si="22"/>
        <v>0.28969155276148273</v>
      </c>
      <c r="W483">
        <f t="shared" si="23"/>
        <v>0.28969155276148273</v>
      </c>
    </row>
    <row r="484" spans="20:23" x14ac:dyDescent="0.3">
      <c r="T484" t="e">
        <f t="shared" si="21"/>
        <v>#N/A</v>
      </c>
      <c r="U484">
        <v>0.81</v>
      </c>
      <c r="V484">
        <f t="shared" si="22"/>
        <v>0.28736889699402829</v>
      </c>
      <c r="W484">
        <f t="shared" si="23"/>
        <v>0.28736889699402829</v>
      </c>
    </row>
    <row r="485" spans="20:23" x14ac:dyDescent="0.3">
      <c r="T485" t="e">
        <f t="shared" si="21"/>
        <v>#N/A</v>
      </c>
      <c r="U485">
        <v>0.82</v>
      </c>
      <c r="V485">
        <f t="shared" si="22"/>
        <v>0.28503635848900727</v>
      </c>
      <c r="W485">
        <f t="shared" si="23"/>
        <v>0.28503635848900727</v>
      </c>
    </row>
    <row r="486" spans="20:23" x14ac:dyDescent="0.3">
      <c r="T486" t="e">
        <f t="shared" si="21"/>
        <v>#N/A</v>
      </c>
      <c r="U486">
        <v>0.83</v>
      </c>
      <c r="V486">
        <f t="shared" si="22"/>
        <v>0.28269448205458025</v>
      </c>
      <c r="W486">
        <f t="shared" si="23"/>
        <v>0.28269448205458025</v>
      </c>
    </row>
    <row r="487" spans="20:23" x14ac:dyDescent="0.3">
      <c r="T487" t="e">
        <f t="shared" si="21"/>
        <v>#N/A</v>
      </c>
      <c r="U487">
        <v>0.84</v>
      </c>
      <c r="V487">
        <f t="shared" si="22"/>
        <v>0.28034381083962062</v>
      </c>
      <c r="W487">
        <f t="shared" si="23"/>
        <v>0.28034381083962062</v>
      </c>
    </row>
    <row r="488" spans="20:23" x14ac:dyDescent="0.3">
      <c r="T488" t="e">
        <f t="shared" si="21"/>
        <v>#N/A</v>
      </c>
      <c r="U488">
        <v>0.85</v>
      </c>
      <c r="V488">
        <f t="shared" si="22"/>
        <v>0.27798488613099648</v>
      </c>
      <c r="W488">
        <f t="shared" si="23"/>
        <v>0.27798488613099648</v>
      </c>
    </row>
    <row r="489" spans="20:23" x14ac:dyDescent="0.3">
      <c r="T489" t="e">
        <f t="shared" si="21"/>
        <v>#N/A</v>
      </c>
      <c r="U489">
        <v>0.86</v>
      </c>
      <c r="V489">
        <f t="shared" si="22"/>
        <v>0.27561824715345667</v>
      </c>
      <c r="W489">
        <f t="shared" si="23"/>
        <v>0.27561824715345667</v>
      </c>
    </row>
    <row r="490" spans="20:23" x14ac:dyDescent="0.3">
      <c r="T490" t="e">
        <f t="shared" si="21"/>
        <v>#N/A</v>
      </c>
      <c r="U490">
        <v>0.87</v>
      </c>
      <c r="V490">
        <f t="shared" si="22"/>
        <v>0.27324443087221623</v>
      </c>
      <c r="W490">
        <f t="shared" si="23"/>
        <v>0.27324443087221623</v>
      </c>
    </row>
    <row r="491" spans="20:23" x14ac:dyDescent="0.3">
      <c r="T491" t="e">
        <f t="shared" si="21"/>
        <v>#N/A</v>
      </c>
      <c r="U491">
        <v>0.88</v>
      </c>
      <c r="V491">
        <f t="shared" si="22"/>
        <v>0.27086397179833799</v>
      </c>
      <c r="W491">
        <f t="shared" si="23"/>
        <v>0.27086397179833799</v>
      </c>
    </row>
    <row r="492" spans="20:23" x14ac:dyDescent="0.3">
      <c r="T492" t="e">
        <f t="shared" si="21"/>
        <v>#N/A</v>
      </c>
      <c r="U492">
        <v>0.89</v>
      </c>
      <c r="V492">
        <f t="shared" si="22"/>
        <v>0.26847740179700241</v>
      </c>
      <c r="W492">
        <f t="shared" si="23"/>
        <v>0.26847740179700241</v>
      </c>
    </row>
    <row r="493" spans="20:23" x14ac:dyDescent="0.3">
      <c r="T493" t="e">
        <f t="shared" si="21"/>
        <v>#N/A</v>
      </c>
      <c r="U493">
        <v>0.9</v>
      </c>
      <c r="V493">
        <f t="shared" si="22"/>
        <v>0.26608524989875482</v>
      </c>
      <c r="W493">
        <f t="shared" si="23"/>
        <v>0.26608524989875482</v>
      </c>
    </row>
    <row r="494" spans="20:23" x14ac:dyDescent="0.3">
      <c r="T494" t="e">
        <f t="shared" si="21"/>
        <v>#N/A</v>
      </c>
      <c r="U494">
        <v>0.91</v>
      </c>
      <c r="V494">
        <f t="shared" si="22"/>
        <v>0.26368804211381813</v>
      </c>
      <c r="W494">
        <f t="shared" si="23"/>
        <v>0.26368804211381813</v>
      </c>
    </row>
    <row r="495" spans="20:23" x14ac:dyDescent="0.3">
      <c r="T495" t="e">
        <f t="shared" si="21"/>
        <v>#N/A</v>
      </c>
      <c r="U495">
        <v>0.92</v>
      </c>
      <c r="V495">
        <f t="shared" si="22"/>
        <v>0.26128630124955315</v>
      </c>
      <c r="W495">
        <f t="shared" si="23"/>
        <v>0.26128630124955315</v>
      </c>
    </row>
    <row r="496" spans="20:23" x14ac:dyDescent="0.3">
      <c r="T496" t="e">
        <f t="shared" si="21"/>
        <v>#N/A</v>
      </c>
      <c r="U496">
        <v>0.93</v>
      </c>
      <c r="V496">
        <f t="shared" si="22"/>
        <v>0.2588805467311488</v>
      </c>
      <c r="W496">
        <f t="shared" si="23"/>
        <v>0.2588805467311488</v>
      </c>
    </row>
    <row r="497" spans="20:23" x14ac:dyDescent="0.3">
      <c r="T497" t="e">
        <f t="shared" si="21"/>
        <v>#N/A</v>
      </c>
      <c r="U497">
        <v>0.94</v>
      </c>
      <c r="V497">
        <f t="shared" si="22"/>
        <v>0.25647129442562033</v>
      </c>
      <c r="W497">
        <f t="shared" si="23"/>
        <v>0.25647129442562033</v>
      </c>
    </row>
    <row r="498" spans="20:23" x14ac:dyDescent="0.3">
      <c r="T498" t="e">
        <f t="shared" si="21"/>
        <v>#N/A</v>
      </c>
      <c r="U498">
        <v>0.95</v>
      </c>
      <c r="V498">
        <f t="shared" si="22"/>
        <v>0.25405905646918903</v>
      </c>
      <c r="W498">
        <f t="shared" si="23"/>
        <v>0.25405905646918903</v>
      </c>
    </row>
    <row r="499" spans="20:23" x14ac:dyDescent="0.3">
      <c r="T499" t="e">
        <f t="shared" si="21"/>
        <v>#N/A</v>
      </c>
      <c r="U499">
        <v>0.96</v>
      </c>
      <c r="V499">
        <f t="shared" si="22"/>
        <v>0.25164434109811712</v>
      </c>
      <c r="W499">
        <f t="shared" si="23"/>
        <v>0.25164434109811712</v>
      </c>
    </row>
    <row r="500" spans="20:23" x14ac:dyDescent="0.3">
      <c r="T500" t="e">
        <f t="shared" si="21"/>
        <v>#N/A</v>
      </c>
      <c r="U500">
        <v>0.97</v>
      </c>
      <c r="V500">
        <f t="shared" si="22"/>
        <v>0.24922765248306594</v>
      </c>
      <c r="W500">
        <f t="shared" si="23"/>
        <v>0.24922765248306594</v>
      </c>
    </row>
    <row r="501" spans="20:23" x14ac:dyDescent="0.3">
      <c r="T501" t="e">
        <f t="shared" si="21"/>
        <v>#N/A</v>
      </c>
      <c r="U501">
        <v>0.98</v>
      </c>
      <c r="V501">
        <f t="shared" si="22"/>
        <v>0.24680949056704274</v>
      </c>
      <c r="W501">
        <f t="shared" si="23"/>
        <v>0.24680949056704274</v>
      </c>
    </row>
    <row r="502" spans="20:23" x14ac:dyDescent="0.3">
      <c r="T502" t="e">
        <f t="shared" si="21"/>
        <v>#N/A</v>
      </c>
      <c r="U502">
        <v>0.99</v>
      </c>
      <c r="V502">
        <f t="shared" si="22"/>
        <v>0.24439035090699956</v>
      </c>
      <c r="W502">
        <f t="shared" si="23"/>
        <v>0.24439035090699956</v>
      </c>
    </row>
    <row r="503" spans="20:23" x14ac:dyDescent="0.3">
      <c r="T503" t="e">
        <f t="shared" si="21"/>
        <v>#N/A</v>
      </c>
      <c r="U503">
        <v>1</v>
      </c>
      <c r="V503">
        <f t="shared" si="22"/>
        <v>0.24197072451914337</v>
      </c>
      <c r="W503">
        <f t="shared" si="23"/>
        <v>0.24197072451914337</v>
      </c>
    </row>
    <row r="504" spans="20:23" x14ac:dyDescent="0.3">
      <c r="T504" t="e">
        <f t="shared" si="21"/>
        <v>#N/A</v>
      </c>
      <c r="U504">
        <v>1.01</v>
      </c>
      <c r="V504">
        <f t="shared" si="22"/>
        <v>0.23955109772801336</v>
      </c>
      <c r="W504">
        <f t="shared" si="23"/>
        <v>0.23955109772801336</v>
      </c>
    </row>
    <row r="505" spans="20:23" x14ac:dyDescent="0.3">
      <c r="T505" t="e">
        <f t="shared" si="21"/>
        <v>#N/A</v>
      </c>
      <c r="U505">
        <v>1.02</v>
      </c>
      <c r="V505">
        <f t="shared" si="22"/>
        <v>0.23713195201937959</v>
      </c>
      <c r="W505">
        <f t="shared" si="23"/>
        <v>0.23713195201937959</v>
      </c>
    </row>
    <row r="506" spans="20:23" x14ac:dyDescent="0.3">
      <c r="T506" t="e">
        <f t="shared" si="21"/>
        <v>#N/A</v>
      </c>
      <c r="U506">
        <v>1.03</v>
      </c>
      <c r="V506">
        <f t="shared" si="22"/>
        <v>0.23471376389701182</v>
      </c>
      <c r="W506">
        <f t="shared" si="23"/>
        <v>0.23471376389701182</v>
      </c>
    </row>
    <row r="507" spans="20:23" x14ac:dyDescent="0.3">
      <c r="T507" t="e">
        <f t="shared" si="21"/>
        <v>#N/A</v>
      </c>
      <c r="U507">
        <v>1.04</v>
      </c>
      <c r="V507">
        <f t="shared" si="22"/>
        <v>0.2322970047433662</v>
      </c>
      <c r="W507">
        <f t="shared" si="23"/>
        <v>0.2322970047433662</v>
      </c>
    </row>
    <row r="508" spans="20:23" x14ac:dyDescent="0.3">
      <c r="T508" t="e">
        <f t="shared" si="21"/>
        <v>#N/A</v>
      </c>
      <c r="U508">
        <v>1.05</v>
      </c>
      <c r="V508">
        <f t="shared" si="22"/>
        <v>0.22988214068423302</v>
      </c>
      <c r="W508">
        <f t="shared" si="23"/>
        <v>0.22988214068423302</v>
      </c>
    </row>
    <row r="509" spans="20:23" x14ac:dyDescent="0.3">
      <c r="T509" t="e">
        <f t="shared" si="21"/>
        <v>#N/A</v>
      </c>
      <c r="U509">
        <v>1.06</v>
      </c>
      <c r="V509">
        <f t="shared" si="22"/>
        <v>0.22746963245738591</v>
      </c>
      <c r="W509">
        <f t="shared" si="23"/>
        <v>0.22746963245738591</v>
      </c>
    </row>
    <row r="510" spans="20:23" x14ac:dyDescent="0.3">
      <c r="T510" t="e">
        <f t="shared" si="21"/>
        <v>#N/A</v>
      </c>
      <c r="U510">
        <v>1.07</v>
      </c>
      <c r="V510">
        <f t="shared" si="22"/>
        <v>0.22505993528526966</v>
      </c>
      <c r="W510">
        <f t="shared" si="23"/>
        <v>0.22505993528526966</v>
      </c>
    </row>
    <row r="511" spans="20:23" x14ac:dyDescent="0.3">
      <c r="T511" t="e">
        <f t="shared" si="21"/>
        <v>#N/A</v>
      </c>
      <c r="U511">
        <v>1.08</v>
      </c>
      <c r="V511">
        <f t="shared" si="22"/>
        <v>0.22265349875176113</v>
      </c>
      <c r="W511">
        <f t="shared" si="23"/>
        <v>0.22265349875176113</v>
      </c>
    </row>
    <row r="512" spans="20:23" x14ac:dyDescent="0.3">
      <c r="T512" t="e">
        <f t="shared" si="21"/>
        <v>#N/A</v>
      </c>
      <c r="U512">
        <v>1.0900000000000001</v>
      </c>
      <c r="V512">
        <f t="shared" si="22"/>
        <v>0.22025076668303326</v>
      </c>
      <c r="W512">
        <f t="shared" si="23"/>
        <v>0.22025076668303326</v>
      </c>
    </row>
    <row r="513" spans="20:23" x14ac:dyDescent="0.3">
      <c r="T513" t="e">
        <f t="shared" si="21"/>
        <v>#N/A</v>
      </c>
      <c r="U513">
        <v>1.1000000000000001</v>
      </c>
      <c r="V513">
        <f t="shared" si="22"/>
        <v>0.21785217703255053</v>
      </c>
      <c r="W513">
        <f t="shared" si="23"/>
        <v>0.21785217703255053</v>
      </c>
    </row>
    <row r="514" spans="20:23" x14ac:dyDescent="0.3">
      <c r="T514" t="e">
        <f t="shared" si="21"/>
        <v>#N/A</v>
      </c>
      <c r="U514">
        <v>1.1100000000000001</v>
      </c>
      <c r="V514">
        <f t="shared" si="22"/>
        <v>0.21545816177021967</v>
      </c>
      <c r="W514">
        <f t="shared" si="23"/>
        <v>0.21545816177021967</v>
      </c>
    </row>
    <row r="515" spans="20:23" x14ac:dyDescent="0.3">
      <c r="T515" t="e">
        <f t="shared" si="21"/>
        <v>#N/A</v>
      </c>
      <c r="U515">
        <v>1.1200000000000001</v>
      </c>
      <c r="V515">
        <f t="shared" si="22"/>
        <v>0.21306914677571784</v>
      </c>
      <c r="W515">
        <f t="shared" si="23"/>
        <v>0.21306914677571784</v>
      </c>
    </row>
    <row r="516" spans="20:23" x14ac:dyDescent="0.3">
      <c r="T516" t="e">
        <f t="shared" ref="T516:T579" si="24">IF(ROUND($B$2,2)=ABS(U516),0,NA())</f>
        <v>#N/A</v>
      </c>
      <c r="U516">
        <v>1.1299999999999999</v>
      </c>
      <c r="V516">
        <f t="shared" ref="V516:V579" si="25">_xlfn.NORM.S.DIST(U516,0)</f>
        <v>0.21068555173601533</v>
      </c>
      <c r="W516">
        <f t="shared" ref="W516:W579" si="26">IF(ABS(U516)&lt;=$B$2,V516,NA())</f>
        <v>0.21068555173601533</v>
      </c>
    </row>
    <row r="517" spans="20:23" x14ac:dyDescent="0.3">
      <c r="T517" t="e">
        <f t="shared" si="24"/>
        <v>#N/A</v>
      </c>
      <c r="U517">
        <v>1.1399999999999999</v>
      </c>
      <c r="V517">
        <f t="shared" si="25"/>
        <v>0.20830779004710837</v>
      </c>
      <c r="W517">
        <f t="shared" si="26"/>
        <v>0.20830779004710837</v>
      </c>
    </row>
    <row r="518" spans="20:23" x14ac:dyDescent="0.3">
      <c r="T518" t="e">
        <f t="shared" si="24"/>
        <v>#N/A</v>
      </c>
      <c r="U518">
        <v>1.1499999999999999</v>
      </c>
      <c r="V518">
        <f t="shared" si="25"/>
        <v>0.20593626871997478</v>
      </c>
      <c r="W518">
        <f t="shared" si="26"/>
        <v>0.20593626871997478</v>
      </c>
    </row>
    <row r="519" spans="20:23" x14ac:dyDescent="0.3">
      <c r="T519" t="e">
        <f t="shared" si="24"/>
        <v>#N/A</v>
      </c>
      <c r="U519">
        <v>1.1599999999999999</v>
      </c>
      <c r="V519">
        <f t="shared" si="25"/>
        <v>0.20357138829075944</v>
      </c>
      <c r="W519">
        <f t="shared" si="26"/>
        <v>0.20357138829075944</v>
      </c>
    </row>
    <row r="520" spans="20:23" x14ac:dyDescent="0.3">
      <c r="T520" t="e">
        <f t="shared" si="24"/>
        <v>#N/A</v>
      </c>
      <c r="U520">
        <v>1.17</v>
      </c>
      <c r="V520">
        <f t="shared" si="25"/>
        <v>0.2012135427351974</v>
      </c>
      <c r="W520">
        <f t="shared" si="26"/>
        <v>0.2012135427351974</v>
      </c>
    </row>
    <row r="521" spans="20:23" x14ac:dyDescent="0.3">
      <c r="T521" t="e">
        <f t="shared" si="24"/>
        <v>#N/A</v>
      </c>
      <c r="U521">
        <v>1.18</v>
      </c>
      <c r="V521">
        <f t="shared" si="25"/>
        <v>0.19886311938727591</v>
      </c>
      <c r="W521">
        <f t="shared" si="26"/>
        <v>0.19886311938727591</v>
      </c>
    </row>
    <row r="522" spans="20:23" x14ac:dyDescent="0.3">
      <c r="T522" t="e">
        <f t="shared" si="24"/>
        <v>#N/A</v>
      </c>
      <c r="U522">
        <v>1.19</v>
      </c>
      <c r="V522">
        <f t="shared" si="25"/>
        <v>0.19652049886213654</v>
      </c>
      <c r="W522">
        <f t="shared" si="26"/>
        <v>0.19652049886213654</v>
      </c>
    </row>
    <row r="523" spans="20:23" x14ac:dyDescent="0.3">
      <c r="T523" t="e">
        <f t="shared" si="24"/>
        <v>#N/A</v>
      </c>
      <c r="U523">
        <v>1.2</v>
      </c>
      <c r="V523">
        <f t="shared" si="25"/>
        <v>0.19418605498321295</v>
      </c>
      <c r="W523">
        <f t="shared" si="26"/>
        <v>0.19418605498321295</v>
      </c>
    </row>
    <row r="524" spans="20:23" x14ac:dyDescent="0.3">
      <c r="T524" t="e">
        <f t="shared" si="24"/>
        <v>#N/A</v>
      </c>
      <c r="U524">
        <v>1.21</v>
      </c>
      <c r="V524">
        <f t="shared" si="25"/>
        <v>0.19186015471359938</v>
      </c>
      <c r="W524">
        <f t="shared" si="26"/>
        <v>0.19186015471359938</v>
      </c>
    </row>
    <row r="525" spans="20:23" x14ac:dyDescent="0.3">
      <c r="T525" t="e">
        <f t="shared" si="24"/>
        <v>#N/A</v>
      </c>
      <c r="U525">
        <v>1.22</v>
      </c>
      <c r="V525">
        <f t="shared" si="25"/>
        <v>0.18954315809164024</v>
      </c>
      <c r="W525">
        <f t="shared" si="26"/>
        <v>0.18954315809164024</v>
      </c>
    </row>
    <row r="526" spans="20:23" x14ac:dyDescent="0.3">
      <c r="T526" t="e">
        <f t="shared" si="24"/>
        <v>#N/A</v>
      </c>
      <c r="U526">
        <v>1.23</v>
      </c>
      <c r="V526">
        <f t="shared" si="25"/>
        <v>0.18723541817072956</v>
      </c>
      <c r="W526">
        <f t="shared" si="26"/>
        <v>0.18723541817072956</v>
      </c>
    </row>
    <row r="527" spans="20:23" x14ac:dyDescent="0.3">
      <c r="T527" t="e">
        <f t="shared" si="24"/>
        <v>#N/A</v>
      </c>
      <c r="U527">
        <v>1.24</v>
      </c>
      <c r="V527">
        <f t="shared" si="25"/>
        <v>0.18493728096330531</v>
      </c>
      <c r="W527">
        <f t="shared" si="26"/>
        <v>0.18493728096330531</v>
      </c>
    </row>
    <row r="528" spans="20:23" x14ac:dyDescent="0.3">
      <c r="T528" t="e">
        <f t="shared" si="24"/>
        <v>#N/A</v>
      </c>
      <c r="U528">
        <v>1.25</v>
      </c>
      <c r="V528">
        <f t="shared" si="25"/>
        <v>0.18264908538902191</v>
      </c>
      <c r="W528">
        <f t="shared" si="26"/>
        <v>0.18264908538902191</v>
      </c>
    </row>
    <row r="529" spans="20:23" x14ac:dyDescent="0.3">
      <c r="T529" t="e">
        <f t="shared" si="24"/>
        <v>#N/A</v>
      </c>
      <c r="U529">
        <v>1.26</v>
      </c>
      <c r="V529">
        <f t="shared" si="25"/>
        <v>0.18037116322708033</v>
      </c>
      <c r="W529">
        <f t="shared" si="26"/>
        <v>0.18037116322708033</v>
      </c>
    </row>
    <row r="530" spans="20:23" x14ac:dyDescent="0.3">
      <c r="T530" t="e">
        <f t="shared" si="24"/>
        <v>#N/A</v>
      </c>
      <c r="U530">
        <v>1.27</v>
      </c>
      <c r="V530">
        <f t="shared" si="25"/>
        <v>0.17810383907269359</v>
      </c>
      <c r="W530">
        <f t="shared" si="26"/>
        <v>0.17810383907269359</v>
      </c>
    </row>
    <row r="531" spans="20:23" x14ac:dyDescent="0.3">
      <c r="T531" t="e">
        <f t="shared" si="24"/>
        <v>#N/A</v>
      </c>
      <c r="U531">
        <v>1.28</v>
      </c>
      <c r="V531">
        <f t="shared" si="25"/>
        <v>0.17584743029766237</v>
      </c>
      <c r="W531">
        <f t="shared" si="26"/>
        <v>0.17584743029766237</v>
      </c>
    </row>
    <row r="532" spans="20:23" x14ac:dyDescent="0.3">
      <c r="T532" t="e">
        <f t="shared" si="24"/>
        <v>#N/A</v>
      </c>
      <c r="U532">
        <v>1.29</v>
      </c>
      <c r="V532">
        <f t="shared" si="25"/>
        <v>0.17360224701503299</v>
      </c>
      <c r="W532">
        <f t="shared" si="26"/>
        <v>0.17360224701503299</v>
      </c>
    </row>
    <row r="533" spans="20:23" x14ac:dyDescent="0.3">
      <c r="T533" t="e">
        <f t="shared" si="24"/>
        <v>#N/A</v>
      </c>
      <c r="U533">
        <v>1.3</v>
      </c>
      <c r="V533">
        <f t="shared" si="25"/>
        <v>0.17136859204780736</v>
      </c>
      <c r="W533">
        <f t="shared" si="26"/>
        <v>0.17136859204780736</v>
      </c>
    </row>
    <row r="534" spans="20:23" x14ac:dyDescent="0.3">
      <c r="T534" t="e">
        <f t="shared" si="24"/>
        <v>#N/A</v>
      </c>
      <c r="U534">
        <v>1.31</v>
      </c>
      <c r="V534">
        <f t="shared" si="25"/>
        <v>0.16914676090167238</v>
      </c>
      <c r="W534">
        <f t="shared" si="26"/>
        <v>0.16914676090167238</v>
      </c>
    </row>
    <row r="535" spans="20:23" x14ac:dyDescent="0.3">
      <c r="T535" t="e">
        <f t="shared" si="24"/>
        <v>#N/A</v>
      </c>
      <c r="U535">
        <v>1.32</v>
      </c>
      <c r="V535">
        <f t="shared" si="25"/>
        <v>0.16693704174171381</v>
      </c>
      <c r="W535">
        <f t="shared" si="26"/>
        <v>0.16693704174171381</v>
      </c>
    </row>
    <row r="536" spans="20:23" x14ac:dyDescent="0.3">
      <c r="T536" t="e">
        <f t="shared" si="24"/>
        <v>#N/A</v>
      </c>
      <c r="U536">
        <v>1.33</v>
      </c>
      <c r="V536">
        <f t="shared" si="25"/>
        <v>0.1647397153730768</v>
      </c>
      <c r="W536">
        <f t="shared" si="26"/>
        <v>0.1647397153730768</v>
      </c>
    </row>
    <row r="537" spans="20:23" x14ac:dyDescent="0.3">
      <c r="T537" t="e">
        <f t="shared" si="24"/>
        <v>#N/A</v>
      </c>
      <c r="U537">
        <v>1.34</v>
      </c>
      <c r="V537">
        <f t="shared" si="25"/>
        <v>0.16255505522553412</v>
      </c>
      <c r="W537">
        <f t="shared" si="26"/>
        <v>0.16255505522553412</v>
      </c>
    </row>
    <row r="538" spans="20:23" x14ac:dyDescent="0.3">
      <c r="T538" t="e">
        <f t="shared" si="24"/>
        <v>#N/A</v>
      </c>
      <c r="U538">
        <v>1.35</v>
      </c>
      <c r="V538">
        <f t="shared" si="25"/>
        <v>0.1603833273419196</v>
      </c>
      <c r="W538">
        <f t="shared" si="26"/>
        <v>0.1603833273419196</v>
      </c>
    </row>
    <row r="539" spans="20:23" x14ac:dyDescent="0.3">
      <c r="T539" t="e">
        <f t="shared" si="24"/>
        <v>#N/A</v>
      </c>
      <c r="U539">
        <v>1.36</v>
      </c>
      <c r="V539">
        <f t="shared" si="25"/>
        <v>0.15822479037038303</v>
      </c>
      <c r="W539">
        <f t="shared" si="26"/>
        <v>0.15822479037038303</v>
      </c>
    </row>
    <row r="540" spans="20:23" x14ac:dyDescent="0.3">
      <c r="T540" t="e">
        <f t="shared" si="24"/>
        <v>#N/A</v>
      </c>
      <c r="U540">
        <v>1.37</v>
      </c>
      <c r="V540">
        <f t="shared" si="25"/>
        <v>0.15607969556042084</v>
      </c>
      <c r="W540">
        <f t="shared" si="26"/>
        <v>0.15607969556042084</v>
      </c>
    </row>
    <row r="541" spans="20:23" x14ac:dyDescent="0.3">
      <c r="T541" t="e">
        <f t="shared" si="24"/>
        <v>#N/A</v>
      </c>
      <c r="U541">
        <v>1.38</v>
      </c>
      <c r="V541">
        <f t="shared" si="25"/>
        <v>0.15394828676263372</v>
      </c>
      <c r="W541">
        <f t="shared" si="26"/>
        <v>0.15394828676263372</v>
      </c>
    </row>
    <row r="542" spans="20:23" x14ac:dyDescent="0.3">
      <c r="T542" t="e">
        <f t="shared" si="24"/>
        <v>#N/A</v>
      </c>
      <c r="U542">
        <v>1.39</v>
      </c>
      <c r="V542">
        <f t="shared" si="25"/>
        <v>0.15183080043216168</v>
      </c>
      <c r="W542">
        <f t="shared" si="26"/>
        <v>0.15183080043216168</v>
      </c>
    </row>
    <row r="543" spans="20:23" x14ac:dyDescent="0.3">
      <c r="T543" t="e">
        <f t="shared" si="24"/>
        <v>#N/A</v>
      </c>
      <c r="U543">
        <v>1.4</v>
      </c>
      <c r="V543">
        <f t="shared" si="25"/>
        <v>0.14972746563574488</v>
      </c>
      <c r="W543">
        <f t="shared" si="26"/>
        <v>0.14972746563574488</v>
      </c>
    </row>
    <row r="544" spans="20:23" x14ac:dyDescent="0.3">
      <c r="T544" t="e">
        <f t="shared" si="24"/>
        <v>#N/A</v>
      </c>
      <c r="U544">
        <v>1.41</v>
      </c>
      <c r="V544">
        <f t="shared" si="25"/>
        <v>0.14763850406235574</v>
      </c>
      <c r="W544">
        <f t="shared" si="26"/>
        <v>0.14763850406235574</v>
      </c>
    </row>
    <row r="545" spans="20:23" x14ac:dyDescent="0.3">
      <c r="T545" t="e">
        <f t="shared" si="24"/>
        <v>#N/A</v>
      </c>
      <c r="U545">
        <v>1.42</v>
      </c>
      <c r="V545">
        <f t="shared" si="25"/>
        <v>0.14556413003734761</v>
      </c>
      <c r="W545">
        <f t="shared" si="26"/>
        <v>0.14556413003734761</v>
      </c>
    </row>
    <row r="546" spans="20:23" x14ac:dyDescent="0.3">
      <c r="T546" t="e">
        <f t="shared" si="24"/>
        <v>#N/A</v>
      </c>
      <c r="U546">
        <v>1.43</v>
      </c>
      <c r="V546">
        <f t="shared" si="25"/>
        <v>0.14350455054006242</v>
      </c>
      <c r="W546">
        <f t="shared" si="26"/>
        <v>0.14350455054006242</v>
      </c>
    </row>
    <row r="547" spans="20:23" x14ac:dyDescent="0.3">
      <c r="T547" t="e">
        <f t="shared" si="24"/>
        <v>#N/A</v>
      </c>
      <c r="U547">
        <v>1.44</v>
      </c>
      <c r="V547">
        <f t="shared" si="25"/>
        <v>0.14145996522483878</v>
      </c>
      <c r="W547">
        <f t="shared" si="26"/>
        <v>0.14145996522483878</v>
      </c>
    </row>
    <row r="548" spans="20:23" x14ac:dyDescent="0.3">
      <c r="T548" t="e">
        <f t="shared" si="24"/>
        <v>#N/A</v>
      </c>
      <c r="U548">
        <v>1.45</v>
      </c>
      <c r="V548">
        <f t="shared" si="25"/>
        <v>0.13943056644536028</v>
      </c>
      <c r="W548">
        <f t="shared" si="26"/>
        <v>0.13943056644536028</v>
      </c>
    </row>
    <row r="549" spans="20:23" x14ac:dyDescent="0.3">
      <c r="T549" t="e">
        <f t="shared" si="24"/>
        <v>#N/A</v>
      </c>
      <c r="U549">
        <v>1.46</v>
      </c>
      <c r="V549">
        <f t="shared" si="25"/>
        <v>0.13741653928228179</v>
      </c>
      <c r="W549">
        <f t="shared" si="26"/>
        <v>0.13741653928228179</v>
      </c>
    </row>
    <row r="550" spans="20:23" x14ac:dyDescent="0.3">
      <c r="T550" t="e">
        <f t="shared" si="24"/>
        <v>#N/A</v>
      </c>
      <c r="U550">
        <v>1.47</v>
      </c>
      <c r="V550">
        <f t="shared" si="25"/>
        <v>0.1354180615740713</v>
      </c>
      <c r="W550">
        <f t="shared" si="26"/>
        <v>0.1354180615740713</v>
      </c>
    </row>
    <row r="551" spans="20:23" x14ac:dyDescent="0.3">
      <c r="T551" t="e">
        <f t="shared" si="24"/>
        <v>#N/A</v>
      </c>
      <c r="U551">
        <v>1.48</v>
      </c>
      <c r="V551">
        <f t="shared" si="25"/>
        <v>0.13343530395100231</v>
      </c>
      <c r="W551">
        <f t="shared" si="26"/>
        <v>0.13343530395100231</v>
      </c>
    </row>
    <row r="552" spans="20:23" x14ac:dyDescent="0.3">
      <c r="T552" t="e">
        <f t="shared" si="24"/>
        <v>#N/A</v>
      </c>
      <c r="U552">
        <v>1.49</v>
      </c>
      <c r="V552">
        <f t="shared" si="25"/>
        <v>0.13146842987223104</v>
      </c>
      <c r="W552">
        <f t="shared" si="26"/>
        <v>0.13146842987223104</v>
      </c>
    </row>
    <row r="553" spans="20:23" x14ac:dyDescent="0.3">
      <c r="T553" t="e">
        <f t="shared" si="24"/>
        <v>#N/A</v>
      </c>
      <c r="U553">
        <v>1.5</v>
      </c>
      <c r="V553">
        <f t="shared" si="25"/>
        <v>0.12951759566589174</v>
      </c>
      <c r="W553">
        <f t="shared" si="26"/>
        <v>0.12951759566589174</v>
      </c>
    </row>
    <row r="554" spans="20:23" x14ac:dyDescent="0.3">
      <c r="T554" t="e">
        <f t="shared" si="24"/>
        <v>#N/A</v>
      </c>
      <c r="U554">
        <v>1.51</v>
      </c>
      <c r="V554">
        <f t="shared" si="25"/>
        <v>0.12758295057214186</v>
      </c>
      <c r="W554">
        <f t="shared" si="26"/>
        <v>0.12758295057214186</v>
      </c>
    </row>
    <row r="555" spans="20:23" x14ac:dyDescent="0.3">
      <c r="T555" t="e">
        <f t="shared" si="24"/>
        <v>#N/A</v>
      </c>
      <c r="U555">
        <v>1.52</v>
      </c>
      <c r="V555">
        <f t="shared" si="25"/>
        <v>0.12566463678908815</v>
      </c>
      <c r="W555">
        <f t="shared" si="26"/>
        <v>0.12566463678908815</v>
      </c>
    </row>
    <row r="556" spans="20:23" x14ac:dyDescent="0.3">
      <c r="T556" t="e">
        <f t="shared" si="24"/>
        <v>#N/A</v>
      </c>
      <c r="U556">
        <v>1.53</v>
      </c>
      <c r="V556">
        <f t="shared" si="25"/>
        <v>0.12376278952152313</v>
      </c>
      <c r="W556">
        <f t="shared" si="26"/>
        <v>0.12376278952152313</v>
      </c>
    </row>
    <row r="557" spans="20:23" x14ac:dyDescent="0.3">
      <c r="T557" t="e">
        <f t="shared" si="24"/>
        <v>#N/A</v>
      </c>
      <c r="U557">
        <v>1.54</v>
      </c>
      <c r="V557">
        <f t="shared" si="25"/>
        <v>0.12187753703240178</v>
      </c>
      <c r="W557">
        <f t="shared" si="26"/>
        <v>0.12187753703240178</v>
      </c>
    </row>
    <row r="558" spans="20:23" x14ac:dyDescent="0.3">
      <c r="T558" t="e">
        <f t="shared" si="24"/>
        <v>#N/A</v>
      </c>
      <c r="U558">
        <v>1.55</v>
      </c>
      <c r="V558">
        <f t="shared" si="25"/>
        <v>0.12000900069698558</v>
      </c>
      <c r="W558">
        <f t="shared" si="26"/>
        <v>0.12000900069698558</v>
      </c>
    </row>
    <row r="559" spans="20:23" x14ac:dyDescent="0.3">
      <c r="T559" t="e">
        <f t="shared" si="24"/>
        <v>#N/A</v>
      </c>
      <c r="U559">
        <v>1.56</v>
      </c>
      <c r="V559">
        <f t="shared" si="25"/>
        <v>0.11815729505958227</v>
      </c>
      <c r="W559">
        <f t="shared" si="26"/>
        <v>0.11815729505958227</v>
      </c>
    </row>
    <row r="560" spans="20:23" x14ac:dyDescent="0.3">
      <c r="T560" t="e">
        <f t="shared" si="24"/>
        <v>#N/A</v>
      </c>
      <c r="U560">
        <v>1.57</v>
      </c>
      <c r="V560">
        <f t="shared" si="25"/>
        <v>0.11632252789280709</v>
      </c>
      <c r="W560">
        <f t="shared" si="26"/>
        <v>0.11632252789280709</v>
      </c>
    </row>
    <row r="561" spans="20:23" x14ac:dyDescent="0.3">
      <c r="T561" t="e">
        <f t="shared" si="24"/>
        <v>#N/A</v>
      </c>
      <c r="U561">
        <v>1.58</v>
      </c>
      <c r="V561">
        <f t="shared" si="25"/>
        <v>0.11450480025929236</v>
      </c>
      <c r="W561">
        <f t="shared" si="26"/>
        <v>0.11450480025929236</v>
      </c>
    </row>
    <row r="562" spans="20:23" x14ac:dyDescent="0.3">
      <c r="T562" t="e">
        <f t="shared" si="24"/>
        <v>#N/A</v>
      </c>
      <c r="U562">
        <v>1.59</v>
      </c>
      <c r="V562">
        <f t="shared" si="25"/>
        <v>0.11270420657577056</v>
      </c>
      <c r="W562">
        <f t="shared" si="26"/>
        <v>0.11270420657577056</v>
      </c>
    </row>
    <row r="563" spans="20:23" x14ac:dyDescent="0.3">
      <c r="T563" t="e">
        <f t="shared" si="24"/>
        <v>#N/A</v>
      </c>
      <c r="U563">
        <v>1.6</v>
      </c>
      <c r="V563">
        <f t="shared" si="25"/>
        <v>0.11092083467945554</v>
      </c>
      <c r="W563">
        <f t="shared" si="26"/>
        <v>0.11092083467945554</v>
      </c>
    </row>
    <row r="564" spans="20:23" x14ac:dyDescent="0.3">
      <c r="T564" t="e">
        <f t="shared" si="24"/>
        <v>#N/A</v>
      </c>
      <c r="U564">
        <v>1.61</v>
      </c>
      <c r="V564">
        <f t="shared" si="25"/>
        <v>0.10915476589664735</v>
      </c>
      <c r="W564">
        <f t="shared" si="26"/>
        <v>0.10915476589664735</v>
      </c>
    </row>
    <row r="565" spans="20:23" x14ac:dyDescent="0.3">
      <c r="T565" t="e">
        <f t="shared" si="24"/>
        <v>#N/A</v>
      </c>
      <c r="U565">
        <v>1.62</v>
      </c>
      <c r="V565">
        <f t="shared" si="25"/>
        <v>0.1074060751134838</v>
      </c>
      <c r="W565">
        <f t="shared" si="26"/>
        <v>0.1074060751134838</v>
      </c>
    </row>
    <row r="566" spans="20:23" x14ac:dyDescent="0.3">
      <c r="T566" t="e">
        <f t="shared" si="24"/>
        <v>#N/A</v>
      </c>
      <c r="U566">
        <v>1.63</v>
      </c>
      <c r="V566">
        <f t="shared" si="25"/>
        <v>0.10567483084876363</v>
      </c>
      <c r="W566">
        <f t="shared" si="26"/>
        <v>0.10567483084876363</v>
      </c>
    </row>
    <row r="567" spans="20:23" x14ac:dyDescent="0.3">
      <c r="T567" t="e">
        <f t="shared" si="24"/>
        <v>#N/A</v>
      </c>
      <c r="U567">
        <v>1.64</v>
      </c>
      <c r="V567">
        <f t="shared" si="25"/>
        <v>0.10396109532876423</v>
      </c>
      <c r="W567">
        <f t="shared" si="26"/>
        <v>0.10396109532876423</v>
      </c>
    </row>
    <row r="568" spans="20:23" x14ac:dyDescent="0.3">
      <c r="T568" t="e">
        <f t="shared" si="24"/>
        <v>#N/A</v>
      </c>
      <c r="U568">
        <v>1.65</v>
      </c>
      <c r="V568">
        <f t="shared" si="25"/>
        <v>0.10226492456397804</v>
      </c>
      <c r="W568">
        <f t="shared" si="26"/>
        <v>0.10226492456397804</v>
      </c>
    </row>
    <row r="569" spans="20:23" x14ac:dyDescent="0.3">
      <c r="T569" t="e">
        <f t="shared" si="24"/>
        <v>#N/A</v>
      </c>
      <c r="U569">
        <v>1.66</v>
      </c>
      <c r="V569">
        <f t="shared" si="25"/>
        <v>0.10058636842769057</v>
      </c>
      <c r="W569">
        <f t="shared" si="26"/>
        <v>0.10058636842769057</v>
      </c>
    </row>
    <row r="570" spans="20:23" x14ac:dyDescent="0.3">
      <c r="T570" t="e">
        <f t="shared" si="24"/>
        <v>#N/A</v>
      </c>
      <c r="U570">
        <v>1.67</v>
      </c>
      <c r="V570">
        <f t="shared" si="25"/>
        <v>9.8925470736323712E-2</v>
      </c>
      <c r="W570">
        <f t="shared" si="26"/>
        <v>9.8925470736323712E-2</v>
      </c>
    </row>
    <row r="571" spans="20:23" x14ac:dyDescent="0.3">
      <c r="T571" t="e">
        <f t="shared" si="24"/>
        <v>#N/A</v>
      </c>
      <c r="U571">
        <v>1.68</v>
      </c>
      <c r="V571">
        <f t="shared" si="25"/>
        <v>9.7282269331467511E-2</v>
      </c>
      <c r="W571">
        <f t="shared" si="26"/>
        <v>9.7282269331467511E-2</v>
      </c>
    </row>
    <row r="572" spans="20:23" x14ac:dyDescent="0.3">
      <c r="T572" t="e">
        <f t="shared" si="24"/>
        <v>#N/A</v>
      </c>
      <c r="U572">
        <v>1.69</v>
      </c>
      <c r="V572">
        <f t="shared" si="25"/>
        <v>9.5656796163524016E-2</v>
      </c>
      <c r="W572">
        <f t="shared" si="26"/>
        <v>9.5656796163524016E-2</v>
      </c>
    </row>
    <row r="573" spans="20:23" x14ac:dyDescent="0.3">
      <c r="T573" t="e">
        <f t="shared" si="24"/>
        <v>#N/A</v>
      </c>
      <c r="U573">
        <v>1.7</v>
      </c>
      <c r="V573">
        <f t="shared" si="25"/>
        <v>9.4049077376886947E-2</v>
      </c>
      <c r="W573">
        <f t="shared" si="26"/>
        <v>9.4049077376886947E-2</v>
      </c>
    </row>
    <row r="574" spans="20:23" x14ac:dyDescent="0.3">
      <c r="T574" t="e">
        <f t="shared" si="24"/>
        <v>#N/A</v>
      </c>
      <c r="U574">
        <v>1.71</v>
      </c>
      <c r="V574">
        <f t="shared" si="25"/>
        <v>9.2459133396580684E-2</v>
      </c>
      <c r="W574">
        <f t="shared" si="26"/>
        <v>9.2459133396580684E-2</v>
      </c>
    </row>
    <row r="575" spans="20:23" x14ac:dyDescent="0.3">
      <c r="T575" t="e">
        <f t="shared" si="24"/>
        <v>#N/A</v>
      </c>
      <c r="U575">
        <v>1.72</v>
      </c>
      <c r="V575">
        <f t="shared" si="25"/>
        <v>9.0886979016282871E-2</v>
      </c>
      <c r="W575">
        <f t="shared" si="26"/>
        <v>9.0886979016282871E-2</v>
      </c>
    </row>
    <row r="576" spans="20:23" x14ac:dyDescent="0.3">
      <c r="T576" t="e">
        <f t="shared" si="24"/>
        <v>#N/A</v>
      </c>
      <c r="U576">
        <v>1.73</v>
      </c>
      <c r="V576">
        <f t="shared" si="25"/>
        <v>8.9332623487655E-2</v>
      </c>
      <c r="W576">
        <f t="shared" si="26"/>
        <v>8.9332623487655E-2</v>
      </c>
    </row>
    <row r="577" spans="20:23" x14ac:dyDescent="0.3">
      <c r="T577" t="e">
        <f t="shared" si="24"/>
        <v>#N/A</v>
      </c>
      <c r="U577">
        <v>1.74</v>
      </c>
      <c r="V577">
        <f t="shared" si="25"/>
        <v>8.7796070610905622E-2</v>
      </c>
      <c r="W577">
        <f t="shared" si="26"/>
        <v>8.7796070610905622E-2</v>
      </c>
    </row>
    <row r="578" spans="20:23" x14ac:dyDescent="0.3">
      <c r="T578" t="e">
        <f t="shared" si="24"/>
        <v>#N/A</v>
      </c>
      <c r="U578">
        <v>1.75</v>
      </c>
      <c r="V578">
        <f t="shared" si="25"/>
        <v>8.6277318826511532E-2</v>
      </c>
      <c r="W578">
        <f t="shared" si="26"/>
        <v>8.6277318826511532E-2</v>
      </c>
    </row>
    <row r="579" spans="20:23" x14ac:dyDescent="0.3">
      <c r="T579" t="e">
        <f t="shared" si="24"/>
        <v>#N/A</v>
      </c>
      <c r="U579">
        <v>1.76</v>
      </c>
      <c r="V579">
        <f t="shared" si="25"/>
        <v>8.4776361308022227E-2</v>
      </c>
      <c r="W579">
        <f t="shared" si="26"/>
        <v>8.4776361308022227E-2</v>
      </c>
    </row>
    <row r="580" spans="20:23" x14ac:dyDescent="0.3">
      <c r="T580" t="e">
        <f t="shared" ref="T580:T643" si="27">IF(ROUND($B$2,2)=ABS(U580),0,NA())</f>
        <v>#N/A</v>
      </c>
      <c r="U580">
        <v>1.77</v>
      </c>
      <c r="V580">
        <f t="shared" ref="V580:V643" si="28">_xlfn.NORM.S.DIST(U580,0)</f>
        <v>8.3293186055874463E-2</v>
      </c>
      <c r="W580">
        <f t="shared" ref="W580:W643" si="29">IF(ABS(U580)&lt;=$B$2,V580,NA())</f>
        <v>8.3293186055874463E-2</v>
      </c>
    </row>
    <row r="581" spans="20:23" x14ac:dyDescent="0.3">
      <c r="T581" t="e">
        <f t="shared" si="27"/>
        <v>#N/A</v>
      </c>
      <c r="U581">
        <v>1.78</v>
      </c>
      <c r="V581">
        <f t="shared" si="28"/>
        <v>8.1827775992142804E-2</v>
      </c>
      <c r="W581">
        <f t="shared" si="29"/>
        <v>8.1827775992142804E-2</v>
      </c>
    </row>
    <row r="582" spans="20:23" x14ac:dyDescent="0.3">
      <c r="T582" t="e">
        <f t="shared" si="27"/>
        <v>#N/A</v>
      </c>
      <c r="U582">
        <v>1.79</v>
      </c>
      <c r="V582">
        <f t="shared" si="28"/>
        <v>8.038010905615417E-2</v>
      </c>
      <c r="W582">
        <f t="shared" si="29"/>
        <v>8.038010905615417E-2</v>
      </c>
    </row>
    <row r="583" spans="20:23" x14ac:dyDescent="0.3">
      <c r="T583" t="e">
        <f t="shared" si="27"/>
        <v>#N/A</v>
      </c>
      <c r="U583">
        <v>1.8</v>
      </c>
      <c r="V583">
        <f t="shared" si="28"/>
        <v>7.8950158300894149E-2</v>
      </c>
      <c r="W583">
        <f t="shared" si="29"/>
        <v>7.8950158300894149E-2</v>
      </c>
    </row>
    <row r="584" spans="20:23" x14ac:dyDescent="0.3">
      <c r="T584" t="e">
        <f t="shared" si="27"/>
        <v>#N/A</v>
      </c>
      <c r="U584">
        <v>1.81</v>
      </c>
      <c r="V584">
        <f t="shared" si="28"/>
        <v>7.7537891990133986E-2</v>
      </c>
      <c r="W584">
        <f t="shared" si="29"/>
        <v>7.7537891990133986E-2</v>
      </c>
    </row>
    <row r="585" spans="20:23" x14ac:dyDescent="0.3">
      <c r="T585" t="e">
        <f t="shared" si="27"/>
        <v>#N/A</v>
      </c>
      <c r="U585">
        <v>1.82</v>
      </c>
      <c r="V585">
        <f t="shared" si="28"/>
        <v>7.6143273696207311E-2</v>
      </c>
      <c r="W585">
        <f t="shared" si="29"/>
        <v>7.6143273696207311E-2</v>
      </c>
    </row>
    <row r="586" spans="20:23" x14ac:dyDescent="0.3">
      <c r="T586" t="e">
        <f t="shared" si="27"/>
        <v>#N/A</v>
      </c>
      <c r="U586">
        <v>1.83</v>
      </c>
      <c r="V586">
        <f t="shared" si="28"/>
        <v>7.4766262398367603E-2</v>
      </c>
      <c r="W586">
        <f t="shared" si="29"/>
        <v>7.4766262398367603E-2</v>
      </c>
    </row>
    <row r="587" spans="20:23" x14ac:dyDescent="0.3">
      <c r="T587" t="e">
        <f t="shared" si="27"/>
        <v>#N/A</v>
      </c>
      <c r="U587">
        <v>1.84</v>
      </c>
      <c r="V587">
        <f t="shared" si="28"/>
        <v>7.3406812581656891E-2</v>
      </c>
      <c r="W587">
        <f t="shared" si="29"/>
        <v>7.3406812581656891E-2</v>
      </c>
    </row>
    <row r="588" spans="20:23" x14ac:dyDescent="0.3">
      <c r="T588" t="e">
        <f t="shared" si="27"/>
        <v>#N/A</v>
      </c>
      <c r="U588">
        <v>1.85</v>
      </c>
      <c r="V588">
        <f t="shared" si="28"/>
        <v>7.2064874336217985E-2</v>
      </c>
      <c r="W588">
        <f t="shared" si="29"/>
        <v>7.2064874336217985E-2</v>
      </c>
    </row>
    <row r="589" spans="20:23" x14ac:dyDescent="0.3">
      <c r="T589" t="e">
        <f t="shared" si="27"/>
        <v>#N/A</v>
      </c>
      <c r="U589">
        <v>1.86</v>
      </c>
      <c r="V589">
        <f t="shared" si="28"/>
        <v>7.074039345698338E-2</v>
      </c>
      <c r="W589">
        <f t="shared" si="29"/>
        <v>7.074039345698338E-2</v>
      </c>
    </row>
    <row r="590" spans="20:23" x14ac:dyDescent="0.3">
      <c r="T590" t="e">
        <f t="shared" si="27"/>
        <v>#N/A</v>
      </c>
      <c r="U590">
        <v>1.87</v>
      </c>
      <c r="V590">
        <f t="shared" si="28"/>
        <v>6.9433311543674187E-2</v>
      </c>
      <c r="W590">
        <f t="shared" si="29"/>
        <v>6.9433311543674187E-2</v>
      </c>
    </row>
    <row r="591" spans="20:23" x14ac:dyDescent="0.3">
      <c r="T591" t="e">
        <f t="shared" si="27"/>
        <v>#N/A</v>
      </c>
      <c r="U591">
        <v>1.88</v>
      </c>
      <c r="V591">
        <f t="shared" si="28"/>
        <v>6.8143566101044578E-2</v>
      </c>
      <c r="W591">
        <f t="shared" si="29"/>
        <v>6.8143566101044578E-2</v>
      </c>
    </row>
    <row r="592" spans="20:23" x14ac:dyDescent="0.3">
      <c r="T592" t="e">
        <f t="shared" si="27"/>
        <v>#N/A</v>
      </c>
      <c r="U592">
        <v>1.89</v>
      </c>
      <c r="V592">
        <f t="shared" si="28"/>
        <v>6.6871090639307157E-2</v>
      </c>
      <c r="W592">
        <f t="shared" si="29"/>
        <v>6.6871090639307157E-2</v>
      </c>
    </row>
    <row r="593" spans="20:23" x14ac:dyDescent="0.3">
      <c r="T593" t="e">
        <f t="shared" si="27"/>
        <v>#N/A</v>
      </c>
      <c r="U593">
        <v>1.9</v>
      </c>
      <c r="V593">
        <f t="shared" si="28"/>
        <v>6.5615814774676595E-2</v>
      </c>
      <c r="W593">
        <f t="shared" si="29"/>
        <v>6.5615814774676595E-2</v>
      </c>
    </row>
    <row r="594" spans="20:23" x14ac:dyDescent="0.3">
      <c r="T594" t="e">
        <f t="shared" si="27"/>
        <v>#N/A</v>
      </c>
      <c r="U594">
        <v>1.91</v>
      </c>
      <c r="V594">
        <f t="shared" si="28"/>
        <v>6.4377664329969359E-2</v>
      </c>
      <c r="W594">
        <f t="shared" si="29"/>
        <v>6.4377664329969359E-2</v>
      </c>
    </row>
    <row r="595" spans="20:23" x14ac:dyDescent="0.3">
      <c r="T595" t="e">
        <f t="shared" si="27"/>
        <v>#N/A</v>
      </c>
      <c r="U595">
        <v>1.92</v>
      </c>
      <c r="V595">
        <f t="shared" si="28"/>
        <v>6.3156561435198655E-2</v>
      </c>
      <c r="W595">
        <f t="shared" si="29"/>
        <v>6.3156561435198655E-2</v>
      </c>
    </row>
    <row r="596" spans="20:23" x14ac:dyDescent="0.3">
      <c r="T596" t="e">
        <f t="shared" si="27"/>
        <v>#N/A</v>
      </c>
      <c r="U596">
        <v>1.93</v>
      </c>
      <c r="V596">
        <f t="shared" si="28"/>
        <v>6.1952424628105164E-2</v>
      </c>
      <c r="W596">
        <f t="shared" si="29"/>
        <v>6.1952424628105164E-2</v>
      </c>
    </row>
    <row r="597" spans="20:23" x14ac:dyDescent="0.3">
      <c r="T597" t="e">
        <f t="shared" si="27"/>
        <v>#N/A</v>
      </c>
      <c r="U597">
        <v>1.94</v>
      </c>
      <c r="V597">
        <f t="shared" si="28"/>
        <v>6.0765168954564776E-2</v>
      </c>
      <c r="W597">
        <f t="shared" si="29"/>
        <v>6.0765168954564776E-2</v>
      </c>
    </row>
    <row r="598" spans="20:23" x14ac:dyDescent="0.3">
      <c r="T598" t="e">
        <f t="shared" si="27"/>
        <v>#N/A</v>
      </c>
      <c r="U598">
        <v>1.95</v>
      </c>
      <c r="V598">
        <f t="shared" si="28"/>
        <v>5.9594706068816075E-2</v>
      </c>
      <c r="W598">
        <f t="shared" si="29"/>
        <v>5.9594706068816075E-2</v>
      </c>
    </row>
    <row r="599" spans="20:23" x14ac:dyDescent="0.3">
      <c r="T599">
        <f t="shared" si="27"/>
        <v>0</v>
      </c>
      <c r="U599">
        <v>1.96</v>
      </c>
      <c r="V599">
        <f t="shared" si="28"/>
        <v>5.8440944333451469E-2</v>
      </c>
      <c r="W599" t="e">
        <f t="shared" si="29"/>
        <v>#N/A</v>
      </c>
    </row>
    <row r="600" spans="20:23" x14ac:dyDescent="0.3">
      <c r="T600" t="e">
        <f t="shared" si="27"/>
        <v>#N/A</v>
      </c>
      <c r="U600">
        <v>1.97</v>
      </c>
      <c r="V600">
        <f t="shared" si="28"/>
        <v>5.7303788919117131E-2</v>
      </c>
      <c r="W600" t="e">
        <f t="shared" si="29"/>
        <v>#N/A</v>
      </c>
    </row>
    <row r="601" spans="20:23" x14ac:dyDescent="0.3">
      <c r="T601" t="e">
        <f t="shared" si="27"/>
        <v>#N/A</v>
      </c>
      <c r="U601">
        <v>1.98</v>
      </c>
      <c r="V601">
        <f t="shared" si="28"/>
        <v>5.6183141903868049E-2</v>
      </c>
      <c r="W601" t="e">
        <f t="shared" si="29"/>
        <v>#N/A</v>
      </c>
    </row>
    <row r="602" spans="20:23" x14ac:dyDescent="0.3">
      <c r="T602" t="e">
        <f t="shared" si="27"/>
        <v>#N/A</v>
      </c>
      <c r="U602">
        <v>1.99</v>
      </c>
      <c r="V602">
        <f t="shared" si="28"/>
        <v>5.5078902372125767E-2</v>
      </c>
      <c r="W602" t="e">
        <f t="shared" si="29"/>
        <v>#N/A</v>
      </c>
    </row>
    <row r="603" spans="20:23" x14ac:dyDescent="0.3">
      <c r="T603" t="e">
        <f t="shared" si="27"/>
        <v>#N/A</v>
      </c>
      <c r="U603">
        <v>2</v>
      </c>
      <c r="V603">
        <f t="shared" si="28"/>
        <v>5.3990966513188063E-2</v>
      </c>
      <c r="W603" t="e">
        <f t="shared" si="29"/>
        <v>#N/A</v>
      </c>
    </row>
    <row r="604" spans="20:23" x14ac:dyDescent="0.3">
      <c r="T604" t="e">
        <f t="shared" si="27"/>
        <v>#N/A</v>
      </c>
      <c r="U604">
        <v>2.0099999999999998</v>
      </c>
      <c r="V604">
        <f t="shared" si="28"/>
        <v>5.2919227719240312E-2</v>
      </c>
      <c r="W604" t="e">
        <f t="shared" si="29"/>
        <v>#N/A</v>
      </c>
    </row>
    <row r="605" spans="20:23" x14ac:dyDescent="0.3">
      <c r="T605" t="e">
        <f t="shared" si="27"/>
        <v>#N/A</v>
      </c>
      <c r="U605">
        <v>2.02</v>
      </c>
      <c r="V605">
        <f t="shared" si="28"/>
        <v>5.1863576682820565E-2</v>
      </c>
      <c r="W605" t="e">
        <f t="shared" si="29"/>
        <v>#N/A</v>
      </c>
    </row>
    <row r="606" spans="20:23" x14ac:dyDescent="0.3">
      <c r="T606" t="e">
        <f t="shared" si="27"/>
        <v>#N/A</v>
      </c>
      <c r="U606">
        <v>2.0299999999999998</v>
      </c>
      <c r="V606">
        <f t="shared" si="28"/>
        <v>5.0823901493691204E-2</v>
      </c>
      <c r="W606" t="e">
        <f t="shared" si="29"/>
        <v>#N/A</v>
      </c>
    </row>
    <row r="607" spans="20:23" x14ac:dyDescent="0.3">
      <c r="T607" t="e">
        <f t="shared" si="27"/>
        <v>#N/A</v>
      </c>
      <c r="U607">
        <v>2.04</v>
      </c>
      <c r="V607">
        <f t="shared" si="28"/>
        <v>4.9800087735070775E-2</v>
      </c>
      <c r="W607" t="e">
        <f t="shared" si="29"/>
        <v>#N/A</v>
      </c>
    </row>
    <row r="608" spans="20:23" x14ac:dyDescent="0.3">
      <c r="T608" t="e">
        <f t="shared" si="27"/>
        <v>#N/A</v>
      </c>
      <c r="U608">
        <v>2.0499999999999998</v>
      </c>
      <c r="V608">
        <f t="shared" si="28"/>
        <v>4.8792018579182764E-2</v>
      </c>
      <c r="W608" t="e">
        <f t="shared" si="29"/>
        <v>#N/A</v>
      </c>
    </row>
    <row r="609" spans="20:23" x14ac:dyDescent="0.3">
      <c r="T609" t="e">
        <f t="shared" si="27"/>
        <v>#N/A</v>
      </c>
      <c r="U609">
        <v>2.06</v>
      </c>
      <c r="V609">
        <f t="shared" si="28"/>
        <v>4.7799574882077034E-2</v>
      </c>
      <c r="W609" t="e">
        <f t="shared" si="29"/>
        <v>#N/A</v>
      </c>
    </row>
    <row r="610" spans="20:23" x14ac:dyDescent="0.3">
      <c r="T610" t="e">
        <f t="shared" si="27"/>
        <v>#N/A</v>
      </c>
      <c r="U610">
        <v>2.0699999999999998</v>
      </c>
      <c r="V610">
        <f t="shared" si="28"/>
        <v>4.6822635277683163E-2</v>
      </c>
      <c r="W610" t="e">
        <f t="shared" si="29"/>
        <v>#N/A</v>
      </c>
    </row>
    <row r="611" spans="20:23" x14ac:dyDescent="0.3">
      <c r="T611" t="e">
        <f t="shared" si="27"/>
        <v>#N/A</v>
      </c>
      <c r="U611">
        <v>2.08</v>
      </c>
      <c r="V611">
        <f t="shared" si="28"/>
        <v>4.5861076271054887E-2</v>
      </c>
      <c r="W611" t="e">
        <f t="shared" si="29"/>
        <v>#N/A</v>
      </c>
    </row>
    <row r="612" spans="20:23" x14ac:dyDescent="0.3">
      <c r="T612" t="e">
        <f t="shared" si="27"/>
        <v>#N/A</v>
      </c>
      <c r="U612">
        <v>2.09</v>
      </c>
      <c r="V612">
        <f t="shared" si="28"/>
        <v>4.49147723307671E-2</v>
      </c>
      <c r="W612" t="e">
        <f t="shared" si="29"/>
        <v>#N/A</v>
      </c>
    </row>
    <row r="613" spans="20:23" x14ac:dyDescent="0.3">
      <c r="T613" t="e">
        <f t="shared" si="27"/>
        <v>#N/A</v>
      </c>
      <c r="U613">
        <v>2.1</v>
      </c>
      <c r="V613">
        <f t="shared" si="28"/>
        <v>4.3983595980427191E-2</v>
      </c>
      <c r="W613" t="e">
        <f t="shared" si="29"/>
        <v>#N/A</v>
      </c>
    </row>
    <row r="614" spans="20:23" x14ac:dyDescent="0.3">
      <c r="T614" t="e">
        <f t="shared" si="27"/>
        <v>#N/A</v>
      </c>
      <c r="U614">
        <v>2.11</v>
      </c>
      <c r="V614">
        <f t="shared" si="28"/>
        <v>4.3067417889265734E-2</v>
      </c>
      <c r="W614" t="e">
        <f t="shared" si="29"/>
        <v>#N/A</v>
      </c>
    </row>
    <row r="615" spans="20:23" x14ac:dyDescent="0.3">
      <c r="T615" t="e">
        <f t="shared" si="27"/>
        <v>#N/A</v>
      </c>
      <c r="U615">
        <v>2.12</v>
      </c>
      <c r="V615">
        <f t="shared" si="28"/>
        <v>4.2166106961770311E-2</v>
      </c>
      <c r="W615" t="e">
        <f t="shared" si="29"/>
        <v>#N/A</v>
      </c>
    </row>
    <row r="616" spans="20:23" x14ac:dyDescent="0.3">
      <c r="T616" t="e">
        <f t="shared" si="27"/>
        <v>#N/A</v>
      </c>
      <c r="U616">
        <v>2.13</v>
      </c>
      <c r="V616">
        <f t="shared" si="28"/>
        <v>4.1279530426330417E-2</v>
      </c>
      <c r="W616" t="e">
        <f t="shared" si="29"/>
        <v>#N/A</v>
      </c>
    </row>
    <row r="617" spans="20:23" x14ac:dyDescent="0.3">
      <c r="T617" t="e">
        <f t="shared" si="27"/>
        <v>#N/A</v>
      </c>
      <c r="U617">
        <v>2.14</v>
      </c>
      <c r="V617">
        <f t="shared" si="28"/>
        <v>4.0407553922860308E-2</v>
      </c>
      <c r="W617" t="e">
        <f t="shared" si="29"/>
        <v>#N/A</v>
      </c>
    </row>
    <row r="618" spans="20:23" x14ac:dyDescent="0.3">
      <c r="T618" t="e">
        <f t="shared" si="27"/>
        <v>#N/A</v>
      </c>
      <c r="U618">
        <v>2.15</v>
      </c>
      <c r="V618">
        <f t="shared" si="28"/>
        <v>3.955004158937022E-2</v>
      </c>
      <c r="W618" t="e">
        <f t="shared" si="29"/>
        <v>#N/A</v>
      </c>
    </row>
    <row r="619" spans="20:23" x14ac:dyDescent="0.3">
      <c r="T619" t="e">
        <f t="shared" si="27"/>
        <v>#N/A</v>
      </c>
      <c r="U619">
        <v>2.16</v>
      </c>
      <c r="V619">
        <f t="shared" si="28"/>
        <v>3.8706856147455608E-2</v>
      </c>
      <c r="W619" t="e">
        <f t="shared" si="29"/>
        <v>#N/A</v>
      </c>
    </row>
    <row r="620" spans="20:23" x14ac:dyDescent="0.3">
      <c r="T620" t="e">
        <f t="shared" si="27"/>
        <v>#N/A</v>
      </c>
      <c r="U620">
        <v>2.17</v>
      </c>
      <c r="V620">
        <f t="shared" si="28"/>
        <v>3.7877858986677483E-2</v>
      </c>
      <c r="W620" t="e">
        <f t="shared" si="29"/>
        <v>#N/A</v>
      </c>
    </row>
    <row r="621" spans="20:23" x14ac:dyDescent="0.3">
      <c r="T621" t="e">
        <f t="shared" si="27"/>
        <v>#N/A</v>
      </c>
      <c r="U621">
        <v>2.1800000000000002</v>
      </c>
      <c r="V621">
        <f t="shared" si="28"/>
        <v>3.7062910247806474E-2</v>
      </c>
      <c r="W621" t="e">
        <f t="shared" si="29"/>
        <v>#N/A</v>
      </c>
    </row>
    <row r="622" spans="20:23" x14ac:dyDescent="0.3">
      <c r="T622" t="e">
        <f t="shared" si="27"/>
        <v>#N/A</v>
      </c>
      <c r="U622">
        <v>2.19</v>
      </c>
      <c r="V622">
        <f t="shared" si="28"/>
        <v>3.6261868904906222E-2</v>
      </c>
      <c r="W622" t="e">
        <f t="shared" si="29"/>
        <v>#N/A</v>
      </c>
    </row>
    <row r="623" spans="20:23" x14ac:dyDescent="0.3">
      <c r="T623" t="e">
        <f t="shared" si="27"/>
        <v>#N/A</v>
      </c>
      <c r="U623">
        <v>2.2000000000000002</v>
      </c>
      <c r="V623">
        <f t="shared" si="28"/>
        <v>3.5474592846231424E-2</v>
      </c>
      <c r="W623" t="e">
        <f t="shared" si="29"/>
        <v>#N/A</v>
      </c>
    </row>
    <row r="624" spans="20:23" x14ac:dyDescent="0.3">
      <c r="T624" t="e">
        <f t="shared" si="27"/>
        <v>#N/A</v>
      </c>
      <c r="U624">
        <v>2.21</v>
      </c>
      <c r="V624">
        <f t="shared" si="28"/>
        <v>3.470093895391882E-2</v>
      </c>
      <c r="W624" t="e">
        <f t="shared" si="29"/>
        <v>#N/A</v>
      </c>
    </row>
    <row r="625" spans="20:23" x14ac:dyDescent="0.3">
      <c r="T625" t="e">
        <f t="shared" si="27"/>
        <v>#N/A</v>
      </c>
      <c r="U625">
        <v>2.2200000000000002</v>
      </c>
      <c r="V625">
        <f t="shared" si="28"/>
        <v>3.3940763182449186E-2</v>
      </c>
      <c r="W625" t="e">
        <f t="shared" si="29"/>
        <v>#N/A</v>
      </c>
    </row>
    <row r="626" spans="20:23" x14ac:dyDescent="0.3">
      <c r="T626" t="e">
        <f t="shared" si="27"/>
        <v>#N/A</v>
      </c>
      <c r="U626">
        <v>2.23</v>
      </c>
      <c r="V626">
        <f t="shared" si="28"/>
        <v>3.3193920635861122E-2</v>
      </c>
      <c r="W626" t="e">
        <f t="shared" si="29"/>
        <v>#N/A</v>
      </c>
    </row>
    <row r="627" spans="20:23" x14ac:dyDescent="0.3">
      <c r="T627" t="e">
        <f t="shared" si="27"/>
        <v>#N/A</v>
      </c>
      <c r="U627">
        <v>2.2400000000000002</v>
      </c>
      <c r="V627">
        <f t="shared" si="28"/>
        <v>3.2460265643697445E-2</v>
      </c>
      <c r="W627" t="e">
        <f t="shared" si="29"/>
        <v>#N/A</v>
      </c>
    </row>
    <row r="628" spans="20:23" x14ac:dyDescent="0.3">
      <c r="T628" t="e">
        <f t="shared" si="27"/>
        <v>#N/A</v>
      </c>
      <c r="U628">
        <v>2.25</v>
      </c>
      <c r="V628">
        <f t="shared" si="28"/>
        <v>3.1739651835667418E-2</v>
      </c>
      <c r="W628" t="e">
        <f t="shared" si="29"/>
        <v>#N/A</v>
      </c>
    </row>
    <row r="629" spans="20:23" x14ac:dyDescent="0.3">
      <c r="T629" t="e">
        <f t="shared" si="27"/>
        <v>#N/A</v>
      </c>
      <c r="U629">
        <v>2.2599999999999998</v>
      </c>
      <c r="V629">
        <f t="shared" si="28"/>
        <v>3.103193221500827E-2</v>
      </c>
      <c r="W629" t="e">
        <f t="shared" si="29"/>
        <v>#N/A</v>
      </c>
    </row>
    <row r="630" spans="20:23" x14ac:dyDescent="0.3">
      <c r="T630" t="e">
        <f t="shared" si="27"/>
        <v>#N/A</v>
      </c>
      <c r="U630">
        <v>2.27</v>
      </c>
      <c r="V630">
        <f t="shared" si="28"/>
        <v>3.0336959230531636E-2</v>
      </c>
      <c r="W630" t="e">
        <f t="shared" si="29"/>
        <v>#N/A</v>
      </c>
    </row>
    <row r="631" spans="20:23" x14ac:dyDescent="0.3">
      <c r="T631" t="e">
        <f t="shared" si="27"/>
        <v>#N/A</v>
      </c>
      <c r="U631">
        <v>2.2799999999999998</v>
      </c>
      <c r="V631">
        <f t="shared" si="28"/>
        <v>2.9654584847341278E-2</v>
      </c>
      <c r="W631" t="e">
        <f t="shared" si="29"/>
        <v>#N/A</v>
      </c>
    </row>
    <row r="632" spans="20:23" x14ac:dyDescent="0.3">
      <c r="T632" t="e">
        <f t="shared" si="27"/>
        <v>#N/A</v>
      </c>
      <c r="U632">
        <v>2.29</v>
      </c>
      <c r="V632">
        <f t="shared" si="28"/>
        <v>2.8984660616209412E-2</v>
      </c>
      <c r="W632" t="e">
        <f t="shared" si="29"/>
        <v>#N/A</v>
      </c>
    </row>
    <row r="633" spans="20:23" x14ac:dyDescent="0.3">
      <c r="T633" t="e">
        <f t="shared" si="27"/>
        <v>#N/A</v>
      </c>
      <c r="U633">
        <v>2.2999999999999998</v>
      </c>
      <c r="V633">
        <f t="shared" si="28"/>
        <v>2.8327037741601186E-2</v>
      </c>
      <c r="W633" t="e">
        <f t="shared" si="29"/>
        <v>#N/A</v>
      </c>
    </row>
    <row r="634" spans="20:23" x14ac:dyDescent="0.3">
      <c r="T634" t="e">
        <f t="shared" si="27"/>
        <v>#N/A</v>
      </c>
      <c r="U634">
        <v>2.31</v>
      </c>
      <c r="V634">
        <f t="shared" si="28"/>
        <v>2.7681567148336573E-2</v>
      </c>
      <c r="W634" t="e">
        <f t="shared" si="29"/>
        <v>#N/A</v>
      </c>
    </row>
    <row r="635" spans="20:23" x14ac:dyDescent="0.3">
      <c r="T635" t="e">
        <f t="shared" si="27"/>
        <v>#N/A</v>
      </c>
      <c r="U635">
        <v>2.3199999999999998</v>
      </c>
      <c r="V635">
        <f t="shared" si="28"/>
        <v>2.7048099546881785E-2</v>
      </c>
      <c r="W635" t="e">
        <f t="shared" si="29"/>
        <v>#N/A</v>
      </c>
    </row>
    <row r="636" spans="20:23" x14ac:dyDescent="0.3">
      <c r="T636" t="e">
        <f t="shared" si="27"/>
        <v>#N/A</v>
      </c>
      <c r="U636">
        <v>2.33</v>
      </c>
      <c r="V636">
        <f t="shared" si="28"/>
        <v>2.6426485497261721E-2</v>
      </c>
      <c r="W636" t="e">
        <f t="shared" si="29"/>
        <v>#N/A</v>
      </c>
    </row>
    <row r="637" spans="20:23" x14ac:dyDescent="0.3">
      <c r="T637" t="e">
        <f t="shared" si="27"/>
        <v>#N/A</v>
      </c>
      <c r="U637">
        <v>2.34</v>
      </c>
      <c r="V637">
        <f t="shared" si="28"/>
        <v>2.581657547158769E-2</v>
      </c>
      <c r="W637" t="e">
        <f t="shared" si="29"/>
        <v>#N/A</v>
      </c>
    </row>
    <row r="638" spans="20:23" x14ac:dyDescent="0.3">
      <c r="T638" t="e">
        <f t="shared" si="27"/>
        <v>#N/A</v>
      </c>
      <c r="U638">
        <v>2.35</v>
      </c>
      <c r="V638">
        <f t="shared" si="28"/>
        <v>2.5218219915194382E-2</v>
      </c>
      <c r="W638" t="e">
        <f t="shared" si="29"/>
        <v>#N/A</v>
      </c>
    </row>
    <row r="639" spans="20:23" x14ac:dyDescent="0.3">
      <c r="T639" t="e">
        <f t="shared" si="27"/>
        <v>#N/A</v>
      </c>
      <c r="U639">
        <v>2.36</v>
      </c>
      <c r="V639">
        <f t="shared" si="28"/>
        <v>2.4631269306382507E-2</v>
      </c>
      <c r="W639" t="e">
        <f t="shared" si="29"/>
        <v>#N/A</v>
      </c>
    </row>
    <row r="640" spans="20:23" x14ac:dyDescent="0.3">
      <c r="T640" t="e">
        <f t="shared" si="27"/>
        <v>#N/A</v>
      </c>
      <c r="U640">
        <v>2.37</v>
      </c>
      <c r="V640">
        <f t="shared" si="28"/>
        <v>2.4055574214762971E-2</v>
      </c>
      <c r="W640" t="e">
        <f t="shared" si="29"/>
        <v>#N/A</v>
      </c>
    </row>
    <row r="641" spans="20:23" x14ac:dyDescent="0.3">
      <c r="T641" t="e">
        <f t="shared" si="27"/>
        <v>#N/A</v>
      </c>
      <c r="U641">
        <v>2.38</v>
      </c>
      <c r="V641">
        <f t="shared" si="28"/>
        <v>2.3490985358201363E-2</v>
      </c>
      <c r="W641" t="e">
        <f t="shared" si="29"/>
        <v>#N/A</v>
      </c>
    </row>
    <row r="642" spans="20:23" x14ac:dyDescent="0.3">
      <c r="T642" t="e">
        <f t="shared" si="27"/>
        <v>#N/A</v>
      </c>
      <c r="U642">
        <v>2.39</v>
      </c>
      <c r="V642">
        <f t="shared" si="28"/>
        <v>2.2937353658360693E-2</v>
      </c>
      <c r="W642" t="e">
        <f t="shared" si="29"/>
        <v>#N/A</v>
      </c>
    </row>
    <row r="643" spans="20:23" x14ac:dyDescent="0.3">
      <c r="T643" t="e">
        <f t="shared" si="27"/>
        <v>#N/A</v>
      </c>
      <c r="U643">
        <v>2.4</v>
      </c>
      <c r="V643">
        <f t="shared" si="28"/>
        <v>2.2394530294842899E-2</v>
      </c>
      <c r="W643" t="e">
        <f t="shared" si="29"/>
        <v>#N/A</v>
      </c>
    </row>
    <row r="644" spans="20:23" x14ac:dyDescent="0.3">
      <c r="T644" t="e">
        <f t="shared" ref="T644:T707" si="30">IF(ROUND($B$2,2)=ABS(U644),0,NA())</f>
        <v>#N/A</v>
      </c>
      <c r="U644">
        <v>2.41</v>
      </c>
      <c r="V644">
        <f t="shared" ref="V644:V707" si="31">_xlfn.NORM.S.DIST(U644,0)</f>
        <v>2.1862366757929387E-2</v>
      </c>
      <c r="W644" t="e">
        <f t="shared" ref="W644:W707" si="32">IF(ABS(U644)&lt;=$B$2,V644,NA())</f>
        <v>#N/A</v>
      </c>
    </row>
    <row r="645" spans="20:23" x14ac:dyDescent="0.3">
      <c r="T645" t="e">
        <f t="shared" si="30"/>
        <v>#N/A</v>
      </c>
      <c r="U645">
        <v>2.42</v>
      </c>
      <c r="V645">
        <f t="shared" si="31"/>
        <v>2.1340714899922782E-2</v>
      </c>
      <c r="W645" t="e">
        <f t="shared" si="32"/>
        <v>#N/A</v>
      </c>
    </row>
    <row r="646" spans="20:23" x14ac:dyDescent="0.3">
      <c r="T646" t="e">
        <f t="shared" si="30"/>
        <v>#N/A</v>
      </c>
      <c r="U646">
        <v>2.4300000000000002</v>
      </c>
      <c r="V646">
        <f t="shared" si="31"/>
        <v>2.0829426985092186E-2</v>
      </c>
      <c r="W646" t="e">
        <f t="shared" si="32"/>
        <v>#N/A</v>
      </c>
    </row>
    <row r="647" spans="20:23" x14ac:dyDescent="0.3">
      <c r="T647" t="e">
        <f t="shared" si="30"/>
        <v>#N/A</v>
      </c>
      <c r="U647">
        <v>2.44</v>
      </c>
      <c r="V647">
        <f t="shared" si="31"/>
        <v>2.0328355738225837E-2</v>
      </c>
      <c r="W647" t="e">
        <f t="shared" si="32"/>
        <v>#N/A</v>
      </c>
    </row>
    <row r="648" spans="20:23" x14ac:dyDescent="0.3">
      <c r="T648" t="e">
        <f t="shared" si="30"/>
        <v>#N/A</v>
      </c>
      <c r="U648">
        <v>2.4500000000000002</v>
      </c>
      <c r="V648">
        <f t="shared" si="31"/>
        <v>1.9837354391795313E-2</v>
      </c>
      <c r="W648" t="e">
        <f t="shared" si="32"/>
        <v>#N/A</v>
      </c>
    </row>
    <row r="649" spans="20:23" x14ac:dyDescent="0.3">
      <c r="T649" t="e">
        <f t="shared" si="30"/>
        <v>#N/A</v>
      </c>
      <c r="U649">
        <v>2.46</v>
      </c>
      <c r="V649">
        <f t="shared" si="31"/>
        <v>1.9356276731736961E-2</v>
      </c>
      <c r="W649" t="e">
        <f t="shared" si="32"/>
        <v>#N/A</v>
      </c>
    </row>
    <row r="650" spans="20:23" x14ac:dyDescent="0.3">
      <c r="T650" t="e">
        <f t="shared" si="30"/>
        <v>#N/A</v>
      </c>
      <c r="U650">
        <v>2.4700000000000002</v>
      </c>
      <c r="V650">
        <f t="shared" si="31"/>
        <v>1.8884977141856163E-2</v>
      </c>
      <c r="W650" t="e">
        <f t="shared" si="32"/>
        <v>#N/A</v>
      </c>
    </row>
    <row r="651" spans="20:23" x14ac:dyDescent="0.3">
      <c r="T651" t="e">
        <f t="shared" si="30"/>
        <v>#N/A</v>
      </c>
      <c r="U651">
        <v>2.48</v>
      </c>
      <c r="V651">
        <f t="shared" si="31"/>
        <v>1.8423310646862048E-2</v>
      </c>
      <c r="W651" t="e">
        <f t="shared" si="32"/>
        <v>#N/A</v>
      </c>
    </row>
    <row r="652" spans="20:23" x14ac:dyDescent="0.3">
      <c r="T652" t="e">
        <f t="shared" si="30"/>
        <v>#N/A</v>
      </c>
      <c r="U652">
        <v>2.4900000000000002</v>
      </c>
      <c r="V652">
        <f t="shared" si="31"/>
        <v>1.7971132954039633E-2</v>
      </c>
      <c r="W652" t="e">
        <f t="shared" si="32"/>
        <v>#N/A</v>
      </c>
    </row>
    <row r="653" spans="20:23" x14ac:dyDescent="0.3">
      <c r="T653" t="e">
        <f t="shared" si="30"/>
        <v>#N/A</v>
      </c>
      <c r="U653">
        <v>2.5</v>
      </c>
      <c r="V653">
        <f t="shared" si="31"/>
        <v>1.752830049356854E-2</v>
      </c>
      <c r="W653" t="e">
        <f t="shared" si="32"/>
        <v>#N/A</v>
      </c>
    </row>
    <row r="654" spans="20:23" x14ac:dyDescent="0.3">
      <c r="T654" t="e">
        <f t="shared" si="30"/>
        <v>#N/A</v>
      </c>
      <c r="U654">
        <v>2.5099999999999998</v>
      </c>
      <c r="V654">
        <f t="shared" si="31"/>
        <v>1.7094670457496956E-2</v>
      </c>
      <c r="W654" t="e">
        <f t="shared" si="32"/>
        <v>#N/A</v>
      </c>
    </row>
    <row r="655" spans="20:23" x14ac:dyDescent="0.3">
      <c r="T655" t="e">
        <f t="shared" si="30"/>
        <v>#N/A</v>
      </c>
      <c r="U655">
        <v>2.52</v>
      </c>
      <c r="V655">
        <f t="shared" si="31"/>
        <v>1.6670100837381057E-2</v>
      </c>
      <c r="W655" t="e">
        <f t="shared" si="32"/>
        <v>#N/A</v>
      </c>
    </row>
    <row r="656" spans="20:23" x14ac:dyDescent="0.3">
      <c r="T656" t="e">
        <f t="shared" si="30"/>
        <v>#N/A</v>
      </c>
      <c r="U656">
        <v>2.5299999999999998</v>
      </c>
      <c r="V656">
        <f t="shared" si="31"/>
        <v>1.6254450460600506E-2</v>
      </c>
      <c r="W656" t="e">
        <f t="shared" si="32"/>
        <v>#N/A</v>
      </c>
    </row>
    <row r="657" spans="20:23" x14ac:dyDescent="0.3">
      <c r="T657" t="e">
        <f t="shared" si="30"/>
        <v>#N/A</v>
      </c>
      <c r="U657">
        <v>2.54</v>
      </c>
      <c r="V657">
        <f t="shared" si="31"/>
        <v>1.5847579025360818E-2</v>
      </c>
      <c r="W657" t="e">
        <f t="shared" si="32"/>
        <v>#N/A</v>
      </c>
    </row>
    <row r="658" spans="20:23" x14ac:dyDescent="0.3">
      <c r="T658" t="e">
        <f t="shared" si="30"/>
        <v>#N/A</v>
      </c>
      <c r="U658">
        <v>2.5499999999999998</v>
      </c>
      <c r="V658">
        <f t="shared" si="31"/>
        <v>1.5449347134395174E-2</v>
      </c>
      <c r="W658" t="e">
        <f t="shared" si="32"/>
        <v>#N/A</v>
      </c>
    </row>
    <row r="659" spans="20:23" x14ac:dyDescent="0.3">
      <c r="T659" t="e">
        <f t="shared" si="30"/>
        <v>#N/A</v>
      </c>
      <c r="U659">
        <v>2.56</v>
      </c>
      <c r="V659">
        <f t="shared" si="31"/>
        <v>1.5059616327377449E-2</v>
      </c>
      <c r="W659" t="e">
        <f t="shared" si="32"/>
        <v>#N/A</v>
      </c>
    </row>
    <row r="660" spans="20:23" x14ac:dyDescent="0.3">
      <c r="T660" t="e">
        <f t="shared" si="30"/>
        <v>#N/A</v>
      </c>
      <c r="U660">
        <v>2.57</v>
      </c>
      <c r="V660">
        <f t="shared" si="31"/>
        <v>1.4678249112060044E-2</v>
      </c>
      <c r="W660" t="e">
        <f t="shared" si="32"/>
        <v>#N/A</v>
      </c>
    </row>
    <row r="661" spans="20:23" x14ac:dyDescent="0.3">
      <c r="T661" t="e">
        <f t="shared" si="30"/>
        <v>#N/A</v>
      </c>
      <c r="U661">
        <v>2.58</v>
      </c>
      <c r="V661">
        <f t="shared" si="31"/>
        <v>1.430510899414969E-2</v>
      </c>
      <c r="W661" t="e">
        <f t="shared" si="32"/>
        <v>#N/A</v>
      </c>
    </row>
    <row r="662" spans="20:23" x14ac:dyDescent="0.3">
      <c r="T662" t="e">
        <f t="shared" si="30"/>
        <v>#N/A</v>
      </c>
      <c r="U662">
        <v>2.59</v>
      </c>
      <c r="V662">
        <f t="shared" si="31"/>
        <v>1.3940060505935825E-2</v>
      </c>
      <c r="W662" t="e">
        <f t="shared" si="32"/>
        <v>#N/A</v>
      </c>
    </row>
    <row r="663" spans="20:23" x14ac:dyDescent="0.3">
      <c r="T663" t="e">
        <f t="shared" si="30"/>
        <v>#N/A</v>
      </c>
      <c r="U663">
        <v>2.6</v>
      </c>
      <c r="V663">
        <f t="shared" si="31"/>
        <v>1.3582969233685613E-2</v>
      </c>
      <c r="W663" t="e">
        <f t="shared" si="32"/>
        <v>#N/A</v>
      </c>
    </row>
    <row r="664" spans="20:23" x14ac:dyDescent="0.3">
      <c r="T664" t="e">
        <f t="shared" si="30"/>
        <v>#N/A</v>
      </c>
      <c r="U664">
        <v>2.61</v>
      </c>
      <c r="V664">
        <f t="shared" si="31"/>
        <v>1.3233701843821374E-2</v>
      </c>
      <c r="W664" t="e">
        <f t="shared" si="32"/>
        <v>#N/A</v>
      </c>
    </row>
    <row r="665" spans="20:23" x14ac:dyDescent="0.3">
      <c r="T665" t="e">
        <f t="shared" si="30"/>
        <v>#N/A</v>
      </c>
      <c r="U665">
        <v>2.62</v>
      </c>
      <c r="V665">
        <f t="shared" si="31"/>
        <v>1.2892126107895304E-2</v>
      </c>
      <c r="W665" t="e">
        <f t="shared" si="32"/>
        <v>#N/A</v>
      </c>
    </row>
    <row r="666" spans="20:23" x14ac:dyDescent="0.3">
      <c r="T666" t="e">
        <f t="shared" si="30"/>
        <v>#N/A</v>
      </c>
      <c r="U666">
        <v>2.63</v>
      </c>
      <c r="V666">
        <f t="shared" si="31"/>
        <v>1.2558110926378211E-2</v>
      </c>
      <c r="W666" t="e">
        <f t="shared" si="32"/>
        <v>#N/A</v>
      </c>
    </row>
    <row r="667" spans="20:23" x14ac:dyDescent="0.3">
      <c r="T667" t="e">
        <f t="shared" si="30"/>
        <v>#N/A</v>
      </c>
      <c r="U667">
        <v>2.64</v>
      </c>
      <c r="V667">
        <f t="shared" si="31"/>
        <v>1.2231526351277971E-2</v>
      </c>
      <c r="W667" t="e">
        <f t="shared" si="32"/>
        <v>#N/A</v>
      </c>
    </row>
    <row r="668" spans="20:23" x14ac:dyDescent="0.3">
      <c r="T668" t="e">
        <f t="shared" si="30"/>
        <v>#N/A</v>
      </c>
      <c r="U668">
        <v>2.65</v>
      </c>
      <c r="V668">
        <f t="shared" si="31"/>
        <v>1.1912243607605179E-2</v>
      </c>
      <c r="W668" t="e">
        <f t="shared" si="32"/>
        <v>#N/A</v>
      </c>
    </row>
    <row r="669" spans="20:23" x14ac:dyDescent="0.3">
      <c r="T669" t="e">
        <f t="shared" si="30"/>
        <v>#N/A</v>
      </c>
      <c r="U669">
        <v>2.66</v>
      </c>
      <c r="V669">
        <f t="shared" si="31"/>
        <v>1.1600135113702561E-2</v>
      </c>
      <c r="W669" t="e">
        <f t="shared" si="32"/>
        <v>#N/A</v>
      </c>
    </row>
    <row r="670" spans="20:23" x14ac:dyDescent="0.3">
      <c r="T670" t="e">
        <f t="shared" si="30"/>
        <v>#N/A</v>
      </c>
      <c r="U670">
        <v>2.67</v>
      </c>
      <c r="V670">
        <f t="shared" si="31"/>
        <v>1.1295074500456135E-2</v>
      </c>
      <c r="W670" t="e">
        <f t="shared" si="32"/>
        <v>#N/A</v>
      </c>
    </row>
    <row r="671" spans="20:23" x14ac:dyDescent="0.3">
      <c r="T671" t="e">
        <f t="shared" si="30"/>
        <v>#N/A</v>
      </c>
      <c r="U671">
        <v>2.68</v>
      </c>
      <c r="V671">
        <f t="shared" si="31"/>
        <v>1.0996936629405572E-2</v>
      </c>
      <c r="W671" t="e">
        <f t="shared" si="32"/>
        <v>#N/A</v>
      </c>
    </row>
    <row r="672" spans="20:23" x14ac:dyDescent="0.3">
      <c r="T672" t="e">
        <f t="shared" si="30"/>
        <v>#N/A</v>
      </c>
      <c r="U672">
        <v>2.69</v>
      </c>
      <c r="V672">
        <f t="shared" si="31"/>
        <v>1.0705597609772187E-2</v>
      </c>
      <c r="W672" t="e">
        <f t="shared" si="32"/>
        <v>#N/A</v>
      </c>
    </row>
    <row r="673" spans="20:23" x14ac:dyDescent="0.3">
      <c r="T673" t="e">
        <f t="shared" si="30"/>
        <v>#N/A</v>
      </c>
      <c r="U673">
        <v>2.7</v>
      </c>
      <c r="V673">
        <f t="shared" si="31"/>
        <v>1.0420934814422592E-2</v>
      </c>
      <c r="W673" t="e">
        <f t="shared" si="32"/>
        <v>#N/A</v>
      </c>
    </row>
    <row r="674" spans="20:23" x14ac:dyDescent="0.3">
      <c r="T674" t="e">
        <f t="shared" si="30"/>
        <v>#N/A</v>
      </c>
      <c r="U674">
        <v>2.71</v>
      </c>
      <c r="V674">
        <f t="shared" si="31"/>
        <v>1.0142826894787077E-2</v>
      </c>
      <c r="W674" t="e">
        <f t="shared" si="32"/>
        <v>#N/A</v>
      </c>
    </row>
    <row r="675" spans="20:23" x14ac:dyDescent="0.3">
      <c r="T675" t="e">
        <f t="shared" si="30"/>
        <v>#N/A</v>
      </c>
      <c r="U675">
        <v>2.72</v>
      </c>
      <c r="V675">
        <f t="shared" si="31"/>
        <v>9.8711537947511301E-3</v>
      </c>
      <c r="W675" t="e">
        <f t="shared" si="32"/>
        <v>#N/A</v>
      </c>
    </row>
    <row r="676" spans="20:23" x14ac:dyDescent="0.3">
      <c r="T676" t="e">
        <f t="shared" si="30"/>
        <v>#N/A</v>
      </c>
      <c r="U676">
        <v>2.73</v>
      </c>
      <c r="V676">
        <f t="shared" si="31"/>
        <v>9.6057967635395872E-3</v>
      </c>
      <c r="W676" t="e">
        <f t="shared" si="32"/>
        <v>#N/A</v>
      </c>
    </row>
    <row r="677" spans="20:23" x14ac:dyDescent="0.3">
      <c r="T677" t="e">
        <f t="shared" si="30"/>
        <v>#N/A</v>
      </c>
      <c r="U677">
        <v>2.74</v>
      </c>
      <c r="V677">
        <f t="shared" si="31"/>
        <v>9.3466383676122835E-3</v>
      </c>
      <c r="W677" t="e">
        <f t="shared" si="32"/>
        <v>#N/A</v>
      </c>
    </row>
    <row r="678" spans="20:23" x14ac:dyDescent="0.3">
      <c r="T678" t="e">
        <f t="shared" si="30"/>
        <v>#N/A</v>
      </c>
      <c r="U678">
        <v>2.75</v>
      </c>
      <c r="V678">
        <f t="shared" si="31"/>
        <v>9.0935625015910529E-3</v>
      </c>
      <c r="W678" t="e">
        <f t="shared" si="32"/>
        <v>#N/A</v>
      </c>
    </row>
    <row r="679" spans="20:23" x14ac:dyDescent="0.3">
      <c r="T679" t="e">
        <f t="shared" si="30"/>
        <v>#N/A</v>
      </c>
      <c r="U679">
        <v>2.76</v>
      </c>
      <c r="V679">
        <f t="shared" si="31"/>
        <v>8.8464543982372315E-3</v>
      </c>
      <c r="W679" t="e">
        <f t="shared" si="32"/>
        <v>#N/A</v>
      </c>
    </row>
    <row r="680" spans="20:23" x14ac:dyDescent="0.3">
      <c r="T680" t="e">
        <f t="shared" si="30"/>
        <v>#N/A</v>
      </c>
      <c r="U680">
        <v>2.77</v>
      </c>
      <c r="V680">
        <f t="shared" si="31"/>
        <v>8.6052006374996715E-3</v>
      </c>
      <c r="W680" t="e">
        <f t="shared" si="32"/>
        <v>#N/A</v>
      </c>
    </row>
    <row r="681" spans="20:23" x14ac:dyDescent="0.3">
      <c r="T681" t="e">
        <f t="shared" si="30"/>
        <v>#N/A</v>
      </c>
      <c r="U681">
        <v>2.78</v>
      </c>
      <c r="V681">
        <f t="shared" si="31"/>
        <v>8.369689154653033E-3</v>
      </c>
      <c r="W681" t="e">
        <f t="shared" si="32"/>
        <v>#N/A</v>
      </c>
    </row>
    <row r="682" spans="20:23" x14ac:dyDescent="0.3">
      <c r="T682" t="e">
        <f t="shared" si="30"/>
        <v>#N/A</v>
      </c>
      <c r="U682">
        <v>2.79</v>
      </c>
      <c r="V682">
        <f t="shared" si="31"/>
        <v>8.1398092475460215E-3</v>
      </c>
      <c r="W682" t="e">
        <f t="shared" si="32"/>
        <v>#N/A</v>
      </c>
    </row>
    <row r="683" spans="20:23" x14ac:dyDescent="0.3">
      <c r="T683" t="e">
        <f t="shared" si="30"/>
        <v>#N/A</v>
      </c>
      <c r="U683">
        <v>2.8</v>
      </c>
      <c r="V683">
        <f t="shared" si="31"/>
        <v>7.9154515829799686E-3</v>
      </c>
      <c r="W683" t="e">
        <f t="shared" si="32"/>
        <v>#N/A</v>
      </c>
    </row>
    <row r="684" spans="20:23" x14ac:dyDescent="0.3">
      <c r="T684" t="e">
        <f t="shared" si="30"/>
        <v>#N/A</v>
      </c>
      <c r="U684">
        <v>2.81</v>
      </c>
      <c r="V684">
        <f t="shared" si="31"/>
        <v>7.6965082022373218E-3</v>
      </c>
      <c r="W684" t="e">
        <f t="shared" si="32"/>
        <v>#N/A</v>
      </c>
    </row>
    <row r="685" spans="20:23" x14ac:dyDescent="0.3">
      <c r="T685" t="e">
        <f t="shared" si="30"/>
        <v>#N/A</v>
      </c>
      <c r="U685">
        <v>2.82</v>
      </c>
      <c r="V685">
        <f t="shared" si="31"/>
        <v>7.4828725257805638E-3</v>
      </c>
      <c r="W685" t="e">
        <f t="shared" si="32"/>
        <v>#N/A</v>
      </c>
    </row>
    <row r="686" spans="20:23" x14ac:dyDescent="0.3">
      <c r="T686" t="e">
        <f t="shared" si="30"/>
        <v>#N/A</v>
      </c>
      <c r="U686">
        <v>2.83</v>
      </c>
      <c r="V686">
        <f t="shared" si="31"/>
        <v>7.2744393571412182E-3</v>
      </c>
      <c r="W686" t="e">
        <f t="shared" si="32"/>
        <v>#N/A</v>
      </c>
    </row>
    <row r="687" spans="20:23" x14ac:dyDescent="0.3">
      <c r="T687" t="e">
        <f t="shared" si="30"/>
        <v>#N/A</v>
      </c>
      <c r="U687">
        <v>2.84</v>
      </c>
      <c r="V687">
        <f t="shared" si="31"/>
        <v>7.0711048860194487E-3</v>
      </c>
      <c r="W687" t="e">
        <f t="shared" si="32"/>
        <v>#N/A</v>
      </c>
    </row>
    <row r="688" spans="20:23" x14ac:dyDescent="0.3">
      <c r="T688" t="e">
        <f t="shared" si="30"/>
        <v>#N/A</v>
      </c>
      <c r="U688">
        <v>2.85</v>
      </c>
      <c r="V688">
        <f t="shared" si="31"/>
        <v>6.8727666906139712E-3</v>
      </c>
      <c r="W688" t="e">
        <f t="shared" si="32"/>
        <v>#N/A</v>
      </c>
    </row>
    <row r="689" spans="20:23" x14ac:dyDescent="0.3">
      <c r="T689" t="e">
        <f t="shared" si="30"/>
        <v>#N/A</v>
      </c>
      <c r="U689">
        <v>2.86</v>
      </c>
      <c r="V689">
        <f t="shared" si="31"/>
        <v>6.6793237392026202E-3</v>
      </c>
      <c r="W689" t="e">
        <f t="shared" si="32"/>
        <v>#N/A</v>
      </c>
    </row>
    <row r="690" spans="20:23" x14ac:dyDescent="0.3">
      <c r="T690" t="e">
        <f t="shared" si="30"/>
        <v>#N/A</v>
      </c>
      <c r="U690">
        <v>2.87</v>
      </c>
      <c r="V690">
        <f t="shared" si="31"/>
        <v>6.4906763909933643E-3</v>
      </c>
      <c r="W690" t="e">
        <f t="shared" si="32"/>
        <v>#N/A</v>
      </c>
    </row>
    <row r="691" spans="20:23" x14ac:dyDescent="0.3">
      <c r="T691" t="e">
        <f t="shared" si="30"/>
        <v>#N/A</v>
      </c>
      <c r="U691">
        <v>2.88</v>
      </c>
      <c r="V691">
        <f t="shared" si="31"/>
        <v>6.3067263962659275E-3</v>
      </c>
      <c r="W691" t="e">
        <f t="shared" si="32"/>
        <v>#N/A</v>
      </c>
    </row>
    <row r="692" spans="20:23" x14ac:dyDescent="0.3">
      <c r="T692" t="e">
        <f t="shared" si="30"/>
        <v>#N/A</v>
      </c>
      <c r="U692">
        <v>2.89</v>
      </c>
      <c r="V692">
        <f t="shared" si="31"/>
        <v>6.1273768958236873E-3</v>
      </c>
      <c r="W692" t="e">
        <f t="shared" si="32"/>
        <v>#N/A</v>
      </c>
    </row>
    <row r="693" spans="20:23" x14ac:dyDescent="0.3">
      <c r="T693" t="e">
        <f t="shared" si="30"/>
        <v>#N/A</v>
      </c>
      <c r="U693">
        <v>2.9</v>
      </c>
      <c r="V693">
        <f t="shared" si="31"/>
        <v>5.9525324197758538E-3</v>
      </c>
      <c r="W693" t="e">
        <f t="shared" si="32"/>
        <v>#N/A</v>
      </c>
    </row>
    <row r="694" spans="20:23" x14ac:dyDescent="0.3">
      <c r="T694" t="e">
        <f t="shared" si="30"/>
        <v>#N/A</v>
      </c>
      <c r="U694">
        <v>2.91</v>
      </c>
      <c r="V694">
        <f t="shared" si="31"/>
        <v>5.7820988856694729E-3</v>
      </c>
      <c r="W694" t="e">
        <f t="shared" si="32"/>
        <v>#N/A</v>
      </c>
    </row>
    <row r="695" spans="20:23" x14ac:dyDescent="0.3">
      <c r="T695" t="e">
        <f t="shared" si="30"/>
        <v>#N/A</v>
      </c>
      <c r="U695">
        <v>2.92</v>
      </c>
      <c r="V695">
        <f t="shared" si="31"/>
        <v>5.615983595990969E-3</v>
      </c>
      <c r="W695" t="e">
        <f t="shared" si="32"/>
        <v>#N/A</v>
      </c>
    </row>
    <row r="696" spans="20:23" x14ac:dyDescent="0.3">
      <c r="T696" t="e">
        <f t="shared" si="30"/>
        <v>#N/A</v>
      </c>
      <c r="U696">
        <v>2.93</v>
      </c>
      <c r="V696">
        <f t="shared" si="31"/>
        <v>5.4540952350565454E-3</v>
      </c>
      <c r="W696" t="e">
        <f t="shared" si="32"/>
        <v>#N/A</v>
      </c>
    </row>
    <row r="697" spans="20:23" x14ac:dyDescent="0.3">
      <c r="T697" t="e">
        <f t="shared" si="30"/>
        <v>#N/A</v>
      </c>
      <c r="U697">
        <v>2.94</v>
      </c>
      <c r="V697">
        <f t="shared" si="31"/>
        <v>5.2963438653110201E-3</v>
      </c>
      <c r="W697" t="e">
        <f t="shared" si="32"/>
        <v>#N/A</v>
      </c>
    </row>
    <row r="698" spans="20:23" x14ac:dyDescent="0.3">
      <c r="T698" t="e">
        <f t="shared" si="30"/>
        <v>#N/A</v>
      </c>
      <c r="U698">
        <v>2.95</v>
      </c>
      <c r="V698">
        <f t="shared" si="31"/>
        <v>5.1426409230539392E-3</v>
      </c>
      <c r="W698" t="e">
        <f t="shared" si="32"/>
        <v>#N/A</v>
      </c>
    </row>
    <row r="699" spans="20:23" x14ac:dyDescent="0.3">
      <c r="T699" t="e">
        <f t="shared" si="30"/>
        <v>#N/A</v>
      </c>
      <c r="U699">
        <v>2.96</v>
      </c>
      <c r="V699">
        <f t="shared" si="31"/>
        <v>4.9928992136123763E-3</v>
      </c>
      <c r="W699" t="e">
        <f t="shared" si="32"/>
        <v>#N/A</v>
      </c>
    </row>
    <row r="700" spans="20:23" x14ac:dyDescent="0.3">
      <c r="T700" t="e">
        <f t="shared" si="30"/>
        <v>#N/A</v>
      </c>
      <c r="U700">
        <v>2.97</v>
      </c>
      <c r="V700">
        <f t="shared" si="31"/>
        <v>4.847032905978944E-3</v>
      </c>
      <c r="W700" t="e">
        <f t="shared" si="32"/>
        <v>#N/A</v>
      </c>
    </row>
    <row r="701" spans="20:23" x14ac:dyDescent="0.3">
      <c r="T701" t="e">
        <f t="shared" si="30"/>
        <v>#N/A</v>
      </c>
      <c r="U701">
        <v>2.98</v>
      </c>
      <c r="V701">
        <f t="shared" si="31"/>
        <v>4.7049575269339792E-3</v>
      </c>
      <c r="W701" t="e">
        <f t="shared" si="32"/>
        <v>#N/A</v>
      </c>
    </row>
    <row r="702" spans="20:23" x14ac:dyDescent="0.3">
      <c r="T702" t="e">
        <f t="shared" si="30"/>
        <v>#N/A</v>
      </c>
      <c r="U702">
        <v>2.99</v>
      </c>
      <c r="V702">
        <f t="shared" si="31"/>
        <v>4.5665899546701444E-3</v>
      </c>
      <c r="W702" t="e">
        <f t="shared" si="32"/>
        <v>#N/A</v>
      </c>
    </row>
    <row r="703" spans="20:23" x14ac:dyDescent="0.3">
      <c r="T703" t="e">
        <f t="shared" si="30"/>
        <v>#N/A</v>
      </c>
      <c r="U703">
        <v>3</v>
      </c>
      <c r="V703">
        <f t="shared" si="31"/>
        <v>4.4318484119380075E-3</v>
      </c>
      <c r="W703" t="e">
        <f t="shared" si="32"/>
        <v>#N/A</v>
      </c>
    </row>
    <row r="704" spans="20:23" x14ac:dyDescent="0.3">
      <c r="T704" t="e">
        <f t="shared" si="30"/>
        <v>#N/A</v>
      </c>
      <c r="U704">
        <v>3.01</v>
      </c>
      <c r="V704">
        <f t="shared" si="31"/>
        <v>4.3006524587304498E-3</v>
      </c>
      <c r="W704" t="e">
        <f t="shared" si="32"/>
        <v>#N/A</v>
      </c>
    </row>
    <row r="705" spans="20:23" x14ac:dyDescent="0.3">
      <c r="T705" t="e">
        <f t="shared" si="30"/>
        <v>#N/A</v>
      </c>
      <c r="U705">
        <v>3.02</v>
      </c>
      <c r="V705">
        <f t="shared" si="31"/>
        <v>4.1729229845239623E-3</v>
      </c>
      <c r="W705" t="e">
        <f t="shared" si="32"/>
        <v>#N/A</v>
      </c>
    </row>
    <row r="706" spans="20:23" x14ac:dyDescent="0.3">
      <c r="T706" t="e">
        <f t="shared" si="30"/>
        <v>#N/A</v>
      </c>
      <c r="U706">
        <v>3.03</v>
      </c>
      <c r="V706">
        <f t="shared" si="31"/>
        <v>4.04858220009443E-3</v>
      </c>
      <c r="W706" t="e">
        <f t="shared" si="32"/>
        <v>#N/A</v>
      </c>
    </row>
    <row r="707" spans="20:23" x14ac:dyDescent="0.3">
      <c r="T707" t="e">
        <f t="shared" si="30"/>
        <v>#N/A</v>
      </c>
      <c r="U707">
        <v>3.04</v>
      </c>
      <c r="V707">
        <f t="shared" si="31"/>
        <v>3.9275536289247789E-3</v>
      </c>
      <c r="W707" t="e">
        <f t="shared" si="32"/>
        <v>#N/A</v>
      </c>
    </row>
    <row r="708" spans="20:23" x14ac:dyDescent="0.3">
      <c r="T708" t="e">
        <f t="shared" ref="T708:T771" si="33">IF(ROUND($B$2,2)=ABS(U708),0,NA())</f>
        <v>#N/A</v>
      </c>
      <c r="U708">
        <v>3.05</v>
      </c>
      <c r="V708">
        <f t="shared" ref="V708:V771" si="34">_xlfn.NORM.S.DIST(U708,0)</f>
        <v>3.8097620982218104E-3</v>
      </c>
      <c r="W708" t="e">
        <f t="shared" ref="W708:W771" si="35">IF(ABS(U708)&lt;=$B$2,V708,NA())</f>
        <v>#N/A</v>
      </c>
    </row>
    <row r="709" spans="20:23" x14ac:dyDescent="0.3">
      <c r="T709" t="e">
        <f t="shared" si="33"/>
        <v>#N/A</v>
      </c>
      <c r="U709">
        <v>3.06</v>
      </c>
      <c r="V709">
        <f t="shared" si="34"/>
        <v>3.6951337295590349E-3</v>
      </c>
      <c r="W709" t="e">
        <f t="shared" si="35"/>
        <v>#N/A</v>
      </c>
    </row>
    <row r="710" spans="20:23" x14ac:dyDescent="0.3">
      <c r="T710" t="e">
        <f t="shared" si="33"/>
        <v>#N/A</v>
      </c>
      <c r="U710">
        <v>3.07</v>
      </c>
      <c r="V710">
        <f t="shared" si="34"/>
        <v>3.5835959291623614E-3</v>
      </c>
      <c r="W710" t="e">
        <f t="shared" si="35"/>
        <v>#N/A</v>
      </c>
    </row>
    <row r="711" spans="20:23" x14ac:dyDescent="0.3">
      <c r="T711" t="e">
        <f t="shared" si="33"/>
        <v>#N/A</v>
      </c>
      <c r="U711">
        <v>3.08</v>
      </c>
      <c r="V711">
        <f t="shared" si="34"/>
        <v>3.4750773778549375E-3</v>
      </c>
      <c r="W711" t="e">
        <f t="shared" si="35"/>
        <v>#N/A</v>
      </c>
    </row>
    <row r="712" spans="20:23" x14ac:dyDescent="0.3">
      <c r="T712" t="e">
        <f t="shared" si="33"/>
        <v>#N/A</v>
      </c>
      <c r="U712">
        <v>3.09</v>
      </c>
      <c r="V712">
        <f t="shared" si="34"/>
        <v>3.3695080206774812E-3</v>
      </c>
      <c r="W712" t="e">
        <f t="shared" si="35"/>
        <v>#N/A</v>
      </c>
    </row>
    <row r="713" spans="20:23" x14ac:dyDescent="0.3">
      <c r="T713" t="e">
        <f t="shared" si="33"/>
        <v>#N/A</v>
      </c>
      <c r="U713">
        <v>3.1</v>
      </c>
      <c r="V713">
        <f t="shared" si="34"/>
        <v>3.2668190561999182E-3</v>
      </c>
      <c r="W713" t="e">
        <f t="shared" si="35"/>
        <v>#N/A</v>
      </c>
    </row>
    <row r="714" spans="20:23" x14ac:dyDescent="0.3">
      <c r="T714" t="e">
        <f t="shared" si="33"/>
        <v>#N/A</v>
      </c>
      <c r="U714">
        <v>3.11</v>
      </c>
      <c r="V714">
        <f t="shared" si="34"/>
        <v>3.1669429255400811E-3</v>
      </c>
      <c r="W714" t="e">
        <f t="shared" si="35"/>
        <v>#N/A</v>
      </c>
    </row>
    <row r="715" spans="20:23" x14ac:dyDescent="0.3">
      <c r="T715" t="e">
        <f t="shared" si="33"/>
        <v>#N/A</v>
      </c>
      <c r="U715">
        <v>3.12</v>
      </c>
      <c r="V715">
        <f t="shared" si="34"/>
        <v>3.0698133011047403E-3</v>
      </c>
      <c r="W715" t="e">
        <f t="shared" si="35"/>
        <v>#N/A</v>
      </c>
    </row>
    <row r="716" spans="20:23" x14ac:dyDescent="0.3">
      <c r="T716" t="e">
        <f t="shared" si="33"/>
        <v>#N/A</v>
      </c>
      <c r="U716">
        <v>3.13</v>
      </c>
      <c r="V716">
        <f t="shared" si="34"/>
        <v>2.9753650750682535E-3</v>
      </c>
      <c r="W716" t="e">
        <f t="shared" si="35"/>
        <v>#N/A</v>
      </c>
    </row>
    <row r="717" spans="20:23" x14ac:dyDescent="0.3">
      <c r="T717" t="e">
        <f t="shared" si="33"/>
        <v>#N/A</v>
      </c>
      <c r="U717">
        <v>3.14</v>
      </c>
      <c r="V717">
        <f t="shared" si="34"/>
        <v>2.8835343476034392E-3</v>
      </c>
      <c r="W717" t="e">
        <f t="shared" si="35"/>
        <v>#N/A</v>
      </c>
    </row>
    <row r="718" spans="20:23" x14ac:dyDescent="0.3">
      <c r="T718" t="e">
        <f t="shared" si="33"/>
        <v>#N/A</v>
      </c>
      <c r="U718">
        <v>3.15</v>
      </c>
      <c r="V718">
        <f t="shared" si="34"/>
        <v>2.7942584148794472E-3</v>
      </c>
      <c r="W718" t="e">
        <f t="shared" si="35"/>
        <v>#N/A</v>
      </c>
    </row>
    <row r="719" spans="20:23" x14ac:dyDescent="0.3">
      <c r="T719" t="e">
        <f t="shared" si="33"/>
        <v>#N/A</v>
      </c>
      <c r="U719">
        <v>3.16</v>
      </c>
      <c r="V719">
        <f t="shared" si="34"/>
        <v>2.7074757568406999E-3</v>
      </c>
      <c r="W719" t="e">
        <f t="shared" si="35"/>
        <v>#N/A</v>
      </c>
    </row>
    <row r="720" spans="20:23" x14ac:dyDescent="0.3">
      <c r="T720" t="e">
        <f t="shared" si="33"/>
        <v>#N/A</v>
      </c>
      <c r="U720">
        <v>3.17</v>
      </c>
      <c r="V720">
        <f t="shared" si="34"/>
        <v>2.6231260247810244E-3</v>
      </c>
      <c r="W720" t="e">
        <f t="shared" si="35"/>
        <v>#N/A</v>
      </c>
    </row>
    <row r="721" spans="20:23" x14ac:dyDescent="0.3">
      <c r="T721" t="e">
        <f t="shared" si="33"/>
        <v>#N/A</v>
      </c>
      <c r="U721">
        <v>3.18</v>
      </c>
      <c r="V721">
        <f t="shared" si="34"/>
        <v>2.5411500287265214E-3</v>
      </c>
      <c r="W721" t="e">
        <f t="shared" si="35"/>
        <v>#N/A</v>
      </c>
    </row>
    <row r="722" spans="20:23" x14ac:dyDescent="0.3">
      <c r="T722" t="e">
        <f t="shared" si="33"/>
        <v>#N/A</v>
      </c>
      <c r="U722">
        <v>3.19</v>
      </c>
      <c r="V722">
        <f t="shared" si="34"/>
        <v>2.4614897246407006E-3</v>
      </c>
      <c r="W722" t="e">
        <f t="shared" si="35"/>
        <v>#N/A</v>
      </c>
    </row>
    <row r="723" spans="20:23" x14ac:dyDescent="0.3">
      <c r="T723" t="e">
        <f t="shared" si="33"/>
        <v>#N/A</v>
      </c>
      <c r="U723">
        <v>3.2</v>
      </c>
      <c r="V723">
        <f t="shared" si="34"/>
        <v>2.3840882014648404E-3</v>
      </c>
      <c r="W723" t="e">
        <f t="shared" si="35"/>
        <v>#N/A</v>
      </c>
    </row>
    <row r="724" spans="20:23" x14ac:dyDescent="0.3">
      <c r="T724" t="e">
        <f t="shared" si="33"/>
        <v>#N/A</v>
      </c>
      <c r="U724">
        <v>3.21</v>
      </c>
      <c r="V724">
        <f t="shared" si="34"/>
        <v>2.3088896680064958E-3</v>
      </c>
      <c r="W724" t="e">
        <f t="shared" si="35"/>
        <v>#N/A</v>
      </c>
    </row>
    <row r="725" spans="20:23" x14ac:dyDescent="0.3">
      <c r="T725" t="e">
        <f t="shared" si="33"/>
        <v>#N/A</v>
      </c>
      <c r="U725">
        <v>3.22</v>
      </c>
      <c r="V725">
        <f t="shared" si="34"/>
        <v>2.2358394396885385E-3</v>
      </c>
      <c r="W725" t="e">
        <f t="shared" si="35"/>
        <v>#N/A</v>
      </c>
    </row>
    <row r="726" spans="20:23" x14ac:dyDescent="0.3">
      <c r="T726" t="e">
        <f t="shared" si="33"/>
        <v>#N/A</v>
      </c>
      <c r="U726">
        <v>3.23</v>
      </c>
      <c r="V726">
        <f t="shared" si="34"/>
        <v>2.164883925171062E-3</v>
      </c>
      <c r="W726" t="e">
        <f t="shared" si="35"/>
        <v>#N/A</v>
      </c>
    </row>
    <row r="727" spans="20:23" x14ac:dyDescent="0.3">
      <c r="T727" t="e">
        <f t="shared" si="33"/>
        <v>#N/A</v>
      </c>
      <c r="U727">
        <v>3.24</v>
      </c>
      <c r="V727">
        <f t="shared" si="34"/>
        <v>2.0959706128579419E-3</v>
      </c>
      <c r="W727" t="e">
        <f t="shared" si="35"/>
        <v>#N/A</v>
      </c>
    </row>
    <row r="728" spans="20:23" x14ac:dyDescent="0.3">
      <c r="T728" t="e">
        <f t="shared" si="33"/>
        <v>#N/A</v>
      </c>
      <c r="U728">
        <v>3.25</v>
      </c>
      <c r="V728">
        <f t="shared" si="34"/>
        <v>2.0290480572997681E-3</v>
      </c>
      <c r="W728" t="e">
        <f t="shared" si="35"/>
        <v>#N/A</v>
      </c>
    </row>
    <row r="729" spans="20:23" x14ac:dyDescent="0.3">
      <c r="T729" t="e">
        <f t="shared" si="33"/>
        <v>#N/A</v>
      </c>
      <c r="U729">
        <v>3.26</v>
      </c>
      <c r="V729">
        <f t="shared" si="34"/>
        <v>1.9640658655043761E-3</v>
      </c>
      <c r="W729" t="e">
        <f t="shared" si="35"/>
        <v>#N/A</v>
      </c>
    </row>
    <row r="730" spans="20:23" x14ac:dyDescent="0.3">
      <c r="T730" t="e">
        <f t="shared" si="33"/>
        <v>#N/A</v>
      </c>
      <c r="U730">
        <v>3.27</v>
      </c>
      <c r="V730">
        <f t="shared" si="34"/>
        <v>1.9009746831660803E-3</v>
      </c>
      <c r="W730" t="e">
        <f t="shared" si="35"/>
        <v>#N/A</v>
      </c>
    </row>
    <row r="731" spans="20:23" x14ac:dyDescent="0.3">
      <c r="T731" t="e">
        <f t="shared" si="33"/>
        <v>#N/A</v>
      </c>
      <c r="U731">
        <v>3.28</v>
      </c>
      <c r="V731">
        <f t="shared" si="34"/>
        <v>1.839726180824281E-3</v>
      </c>
      <c r="W731" t="e">
        <f t="shared" si="35"/>
        <v>#N/A</v>
      </c>
    </row>
    <row r="732" spans="20:23" x14ac:dyDescent="0.3">
      <c r="T732" t="e">
        <f t="shared" si="33"/>
        <v>#N/A</v>
      </c>
      <c r="U732">
        <v>3.29</v>
      </c>
      <c r="V732">
        <f t="shared" si="34"/>
        <v>1.7802730399618786E-3</v>
      </c>
      <c r="W732" t="e">
        <f t="shared" si="35"/>
        <v>#N/A</v>
      </c>
    </row>
    <row r="733" spans="20:23" x14ac:dyDescent="0.3">
      <c r="T733" t="e">
        <f t="shared" si="33"/>
        <v>#N/A</v>
      </c>
      <c r="U733">
        <v>3.3</v>
      </c>
      <c r="V733">
        <f t="shared" si="34"/>
        <v>1.7225689390536812E-3</v>
      </c>
      <c r="W733" t="e">
        <f t="shared" si="35"/>
        <v>#N/A</v>
      </c>
    </row>
    <row r="734" spans="20:23" x14ac:dyDescent="0.3">
      <c r="T734" t="e">
        <f t="shared" si="33"/>
        <v>#N/A</v>
      </c>
      <c r="U734">
        <v>3.31</v>
      </c>
      <c r="V734">
        <f t="shared" si="34"/>
        <v>1.6665685395745797E-3</v>
      </c>
      <c r="W734" t="e">
        <f t="shared" si="35"/>
        <v>#N/A</v>
      </c>
    </row>
    <row r="735" spans="20:23" x14ac:dyDescent="0.3">
      <c r="T735" t="e">
        <f t="shared" si="33"/>
        <v>#N/A</v>
      </c>
      <c r="U735">
        <v>3.32</v>
      </c>
      <c r="V735">
        <f t="shared" si="34"/>
        <v>1.6122274719771244E-3</v>
      </c>
      <c r="W735" t="e">
        <f t="shared" si="35"/>
        <v>#N/A</v>
      </c>
    </row>
    <row r="736" spans="20:23" x14ac:dyDescent="0.3">
      <c r="T736" t="e">
        <f t="shared" si="33"/>
        <v>#N/A</v>
      </c>
      <c r="U736">
        <v>3.33</v>
      </c>
      <c r="V736">
        <f t="shared" si="34"/>
        <v>1.5595023216476915E-3</v>
      </c>
      <c r="W736" t="e">
        <f t="shared" si="35"/>
        <v>#N/A</v>
      </c>
    </row>
    <row r="737" spans="20:23" x14ac:dyDescent="0.3">
      <c r="T737" t="e">
        <f t="shared" si="33"/>
        <v>#N/A</v>
      </c>
      <c r="U737">
        <v>3.34</v>
      </c>
      <c r="V737">
        <f t="shared" si="34"/>
        <v>1.5083506148503073E-3</v>
      </c>
      <c r="W737" t="e">
        <f t="shared" si="35"/>
        <v>#N/A</v>
      </c>
    </row>
    <row r="738" spans="20:23" x14ac:dyDescent="0.3">
      <c r="T738" t="e">
        <f t="shared" si="33"/>
        <v>#N/A</v>
      </c>
      <c r="U738">
        <v>3.35</v>
      </c>
      <c r="V738">
        <f t="shared" si="34"/>
        <v>1.4587308046667459E-3</v>
      </c>
      <c r="W738" t="e">
        <f t="shared" si="35"/>
        <v>#N/A</v>
      </c>
    </row>
    <row r="739" spans="20:23" x14ac:dyDescent="0.3">
      <c r="T739" t="e">
        <f t="shared" si="33"/>
        <v>#N/A</v>
      </c>
      <c r="U739">
        <v>3.36</v>
      </c>
      <c r="V739">
        <f t="shared" si="34"/>
        <v>1.4106022569413848E-3</v>
      </c>
      <c r="W739" t="e">
        <f t="shared" si="35"/>
        <v>#N/A</v>
      </c>
    </row>
    <row r="740" spans="20:23" x14ac:dyDescent="0.3">
      <c r="T740" t="e">
        <f t="shared" si="33"/>
        <v>#N/A</v>
      </c>
      <c r="U740">
        <v>3.37</v>
      </c>
      <c r="V740">
        <f t="shared" si="34"/>
        <v>1.3639252362389036E-3</v>
      </c>
      <c r="W740" t="e">
        <f t="shared" si="35"/>
        <v>#N/A</v>
      </c>
    </row>
    <row r="741" spans="20:23" x14ac:dyDescent="0.3">
      <c r="T741" t="e">
        <f t="shared" si="33"/>
        <v>#N/A</v>
      </c>
      <c r="U741">
        <v>3.38</v>
      </c>
      <c r="V741">
        <f t="shared" si="34"/>
        <v>1.3186608918227423E-3</v>
      </c>
      <c r="W741" t="e">
        <f t="shared" si="35"/>
        <v>#N/A</v>
      </c>
    </row>
    <row r="742" spans="20:23" x14ac:dyDescent="0.3">
      <c r="T742" t="e">
        <f t="shared" si="33"/>
        <v>#N/A</v>
      </c>
      <c r="U742">
        <v>3.39</v>
      </c>
      <c r="V742">
        <f t="shared" si="34"/>
        <v>1.2747712436618327E-3</v>
      </c>
      <c r="W742" t="e">
        <f t="shared" si="35"/>
        <v>#N/A</v>
      </c>
    </row>
    <row r="743" spans="20:23" x14ac:dyDescent="0.3">
      <c r="T743" t="e">
        <f t="shared" si="33"/>
        <v>#N/A</v>
      </c>
      <c r="U743">
        <v>3.4</v>
      </c>
      <c r="V743">
        <f t="shared" si="34"/>
        <v>1.2322191684730199E-3</v>
      </c>
      <c r="W743" t="e">
        <f t="shared" si="35"/>
        <v>#N/A</v>
      </c>
    </row>
    <row r="744" spans="20:23" x14ac:dyDescent="0.3">
      <c r="T744" t="e">
        <f t="shared" si="33"/>
        <v>#N/A</v>
      </c>
      <c r="U744">
        <v>3.41</v>
      </c>
      <c r="V744">
        <f t="shared" si="34"/>
        <v>1.1909683858061166E-3</v>
      </c>
      <c r="W744" t="e">
        <f t="shared" si="35"/>
        <v>#N/A</v>
      </c>
    </row>
    <row r="745" spans="20:23" x14ac:dyDescent="0.3">
      <c r="T745" t="e">
        <f t="shared" si="33"/>
        <v>#N/A</v>
      </c>
      <c r="U745">
        <v>3.42</v>
      </c>
      <c r="V745">
        <f t="shared" si="34"/>
        <v>1.1509834441784845E-3</v>
      </c>
      <c r="W745" t="e">
        <f t="shared" si="35"/>
        <v>#N/A</v>
      </c>
    </row>
    <row r="746" spans="20:23" x14ac:dyDescent="0.3">
      <c r="T746" t="e">
        <f t="shared" si="33"/>
        <v>#N/A</v>
      </c>
      <c r="U746">
        <v>3.43</v>
      </c>
      <c r="V746">
        <f t="shared" si="34"/>
        <v>1.1122297072655649E-3</v>
      </c>
      <c r="W746" t="e">
        <f t="shared" si="35"/>
        <v>#N/A</v>
      </c>
    </row>
    <row r="747" spans="20:23" x14ac:dyDescent="0.3">
      <c r="T747" t="e">
        <f t="shared" si="33"/>
        <v>#N/A</v>
      </c>
      <c r="U747">
        <v>3.44</v>
      </c>
      <c r="V747">
        <f t="shared" si="34"/>
        <v>1.0746733401537356E-3</v>
      </c>
      <c r="W747" t="e">
        <f t="shared" si="35"/>
        <v>#N/A</v>
      </c>
    </row>
    <row r="748" spans="20:23" x14ac:dyDescent="0.3">
      <c r="T748" t="e">
        <f t="shared" si="33"/>
        <v>#N/A</v>
      </c>
      <c r="U748">
        <v>3.45</v>
      </c>
      <c r="V748">
        <f t="shared" si="34"/>
        <v>1.0382812956614103E-3</v>
      </c>
      <c r="W748" t="e">
        <f t="shared" si="35"/>
        <v>#N/A</v>
      </c>
    </row>
    <row r="749" spans="20:23" x14ac:dyDescent="0.3">
      <c r="T749" t="e">
        <f t="shared" si="33"/>
        <v>#N/A</v>
      </c>
      <c r="U749">
        <v>3.46</v>
      </c>
      <c r="V749">
        <f t="shared" si="34"/>
        <v>1.0030213007342376E-3</v>
      </c>
      <c r="W749" t="e">
        <f t="shared" si="35"/>
        <v>#N/A</v>
      </c>
    </row>
    <row r="750" spans="20:23" x14ac:dyDescent="0.3">
      <c r="T750" t="e">
        <f t="shared" si="33"/>
        <v>#N/A</v>
      </c>
      <c r="U750">
        <v>3.47</v>
      </c>
      <c r="V750">
        <f t="shared" si="34"/>
        <v>9.6886184291984591E-4</v>
      </c>
      <c r="W750" t="e">
        <f t="shared" si="35"/>
        <v>#N/A</v>
      </c>
    </row>
    <row r="751" spans="20:23" x14ac:dyDescent="0.3">
      <c r="T751" t="e">
        <f t="shared" si="33"/>
        <v>#N/A</v>
      </c>
      <c r="U751">
        <v>3.48</v>
      </c>
      <c r="V751">
        <f t="shared" si="34"/>
        <v>9.3577215692747977E-4</v>
      </c>
      <c r="W751" t="e">
        <f t="shared" si="35"/>
        <v>#N/A</v>
      </c>
    </row>
    <row r="752" spans="20:23" x14ac:dyDescent="0.3">
      <c r="T752" t="e">
        <f t="shared" si="33"/>
        <v>#N/A</v>
      </c>
      <c r="U752">
        <v>3.49</v>
      </c>
      <c r="V752">
        <f t="shared" si="34"/>
        <v>9.0372221127752448E-4</v>
      </c>
      <c r="W752" t="e">
        <f t="shared" si="35"/>
        <v>#N/A</v>
      </c>
    </row>
    <row r="753" spans="20:23" x14ac:dyDescent="0.3">
      <c r="T753" t="e">
        <f t="shared" si="33"/>
        <v>#N/A</v>
      </c>
      <c r="U753">
        <v>3.5</v>
      </c>
      <c r="V753">
        <f t="shared" si="34"/>
        <v>8.7268269504576015E-4</v>
      </c>
      <c r="W753" t="e">
        <f t="shared" si="35"/>
        <v>#N/A</v>
      </c>
    </row>
    <row r="754" spans="20:23" x14ac:dyDescent="0.3">
      <c r="T754" t="e">
        <f t="shared" si="33"/>
        <v>#N/A</v>
      </c>
      <c r="U754">
        <v>3.51</v>
      </c>
      <c r="V754">
        <f t="shared" si="34"/>
        <v>8.4262500470690268E-4</v>
      </c>
      <c r="W754" t="e">
        <f t="shared" si="35"/>
        <v>#N/A</v>
      </c>
    </row>
    <row r="755" spans="20:23" x14ac:dyDescent="0.3">
      <c r="T755" t="e">
        <f t="shared" si="33"/>
        <v>#N/A</v>
      </c>
      <c r="U755">
        <v>3.52</v>
      </c>
      <c r="V755">
        <f t="shared" si="34"/>
        <v>8.1352123108180841E-4</v>
      </c>
      <c r="W755" t="e">
        <f t="shared" si="35"/>
        <v>#N/A</v>
      </c>
    </row>
    <row r="756" spans="20:23" x14ac:dyDescent="0.3">
      <c r="T756" t="e">
        <f t="shared" si="33"/>
        <v>#N/A</v>
      </c>
      <c r="U756">
        <v>3.53</v>
      </c>
      <c r="V756">
        <f t="shared" si="34"/>
        <v>7.8534414639246997E-4</v>
      </c>
      <c r="W756" t="e">
        <f t="shared" si="35"/>
        <v>#N/A</v>
      </c>
    </row>
    <row r="757" spans="20:23" x14ac:dyDescent="0.3">
      <c r="T757" t="e">
        <f t="shared" si="33"/>
        <v>#N/A</v>
      </c>
      <c r="U757">
        <v>3.54</v>
      </c>
      <c r="V757">
        <f t="shared" si="34"/>
        <v>7.580671914287103E-4</v>
      </c>
      <c r="W757" t="e">
        <f t="shared" si="35"/>
        <v>#N/A</v>
      </c>
    </row>
    <row r="758" spans="20:23" x14ac:dyDescent="0.3">
      <c r="T758" t="e">
        <f t="shared" si="33"/>
        <v>#N/A</v>
      </c>
      <c r="U758">
        <v>3.55</v>
      </c>
      <c r="V758">
        <f t="shared" si="34"/>
        <v>7.3166446283031089E-4</v>
      </c>
      <c r="W758" t="e">
        <f t="shared" si="35"/>
        <v>#N/A</v>
      </c>
    </row>
    <row r="759" spans="20:23" x14ac:dyDescent="0.3">
      <c r="T759" t="e">
        <f t="shared" si="33"/>
        <v>#N/A</v>
      </c>
      <c r="U759">
        <v>3.56</v>
      </c>
      <c r="V759">
        <f t="shared" si="34"/>
        <v>7.061107004880362E-4</v>
      </c>
      <c r="W759" t="e">
        <f t="shared" si="35"/>
        <v>#N/A</v>
      </c>
    </row>
    <row r="760" spans="20:23" x14ac:dyDescent="0.3">
      <c r="T760" t="e">
        <f t="shared" si="33"/>
        <v>#N/A</v>
      </c>
      <c r="U760">
        <v>3.57</v>
      </c>
      <c r="V760">
        <f t="shared" si="34"/>
        <v>6.8138127506689212E-4</v>
      </c>
      <c r="W760" t="e">
        <f t="shared" si="35"/>
        <v>#N/A</v>
      </c>
    </row>
    <row r="761" spans="20:23" x14ac:dyDescent="0.3">
      <c r="T761" t="e">
        <f t="shared" si="33"/>
        <v>#N/A</v>
      </c>
      <c r="U761">
        <v>3.58</v>
      </c>
      <c r="V761">
        <f t="shared" si="34"/>
        <v>6.5745217565467645E-4</v>
      </c>
      <c r="W761" t="e">
        <f t="shared" si="35"/>
        <v>#N/A</v>
      </c>
    </row>
    <row r="762" spans="20:23" x14ac:dyDescent="0.3">
      <c r="T762" t="e">
        <f t="shared" si="33"/>
        <v>#N/A</v>
      </c>
      <c r="U762">
        <v>3.59</v>
      </c>
      <c r="V762">
        <f t="shared" si="34"/>
        <v>6.342999975387576E-4</v>
      </c>
      <c r="W762" t="e">
        <f t="shared" si="35"/>
        <v>#N/A</v>
      </c>
    </row>
    <row r="763" spans="20:23" x14ac:dyDescent="0.3">
      <c r="T763" t="e">
        <f t="shared" si="33"/>
        <v>#N/A</v>
      </c>
      <c r="U763">
        <v>3.6</v>
      </c>
      <c r="V763">
        <f t="shared" si="34"/>
        <v>6.119019301137719E-4</v>
      </c>
      <c r="W763" t="e">
        <f t="shared" si="35"/>
        <v>#N/A</v>
      </c>
    </row>
    <row r="764" spans="20:23" x14ac:dyDescent="0.3">
      <c r="T764" t="e">
        <f t="shared" si="33"/>
        <v>#N/A</v>
      </c>
      <c r="U764">
        <v>3.61</v>
      </c>
      <c r="V764">
        <f t="shared" si="34"/>
        <v>5.9023574492278561E-4</v>
      </c>
      <c r="W764" t="e">
        <f t="shared" si="35"/>
        <v>#N/A</v>
      </c>
    </row>
    <row r="765" spans="20:23" x14ac:dyDescent="0.3">
      <c r="T765" t="e">
        <f t="shared" si="33"/>
        <v>#N/A</v>
      </c>
      <c r="U765">
        <v>3.62</v>
      </c>
      <c r="V765">
        <f t="shared" si="34"/>
        <v>5.6927978383425261E-4</v>
      </c>
      <c r="W765" t="e">
        <f t="shared" si="35"/>
        <v>#N/A</v>
      </c>
    </row>
    <row r="766" spans="20:23" x14ac:dyDescent="0.3">
      <c r="T766" t="e">
        <f t="shared" si="33"/>
        <v>#N/A</v>
      </c>
      <c r="U766">
        <v>3.63</v>
      </c>
      <c r="V766">
        <f t="shared" si="34"/>
        <v>5.490129473569587E-4</v>
      </c>
      <c r="W766" t="e">
        <f t="shared" si="35"/>
        <v>#N/A</v>
      </c>
    </row>
    <row r="767" spans="20:23" x14ac:dyDescent="0.3">
      <c r="T767" t="e">
        <f t="shared" si="33"/>
        <v>#N/A</v>
      </c>
      <c r="U767">
        <v>3.64</v>
      </c>
      <c r="V767">
        <f t="shared" si="34"/>
        <v>5.2941468309493475E-4</v>
      </c>
      <c r="W767" t="e">
        <f t="shared" si="35"/>
        <v>#N/A</v>
      </c>
    </row>
    <row r="768" spans="20:23" x14ac:dyDescent="0.3">
      <c r="T768" t="e">
        <f t="shared" si="33"/>
        <v>#N/A</v>
      </c>
      <c r="U768">
        <v>3.65</v>
      </c>
      <c r="V768">
        <f t="shared" si="34"/>
        <v>5.104649743441856E-4</v>
      </c>
      <c r="W768" t="e">
        <f t="shared" si="35"/>
        <v>#N/A</v>
      </c>
    </row>
    <row r="769" spans="20:23" x14ac:dyDescent="0.3">
      <c r="T769" t="e">
        <f t="shared" si="33"/>
        <v>#N/A</v>
      </c>
      <c r="U769">
        <v>3.66</v>
      </c>
      <c r="V769">
        <f t="shared" si="34"/>
        <v>4.9214432883289312E-4</v>
      </c>
      <c r="W769" t="e">
        <f t="shared" si="35"/>
        <v>#N/A</v>
      </c>
    </row>
    <row r="770" spans="20:23" x14ac:dyDescent="0.3">
      <c r="T770" t="e">
        <f t="shared" si="33"/>
        <v>#N/A</v>
      </c>
      <c r="U770">
        <v>3.67</v>
      </c>
      <c r="V770">
        <f t="shared" si="34"/>
        <v>4.7443376760662064E-4</v>
      </c>
      <c r="W770" t="e">
        <f t="shared" si="35"/>
        <v>#N/A</v>
      </c>
    </row>
    <row r="771" spans="20:23" x14ac:dyDescent="0.3">
      <c r="T771" t="e">
        <f t="shared" si="33"/>
        <v>#N/A</v>
      </c>
      <c r="U771">
        <v>3.68</v>
      </c>
      <c r="V771">
        <f t="shared" si="34"/>
        <v>4.5731481405985675E-4</v>
      </c>
      <c r="W771" t="e">
        <f t="shared" si="35"/>
        <v>#N/A</v>
      </c>
    </row>
    <row r="772" spans="20:23" x14ac:dyDescent="0.3">
      <c r="T772" t="e">
        <f t="shared" ref="T772:T803" si="36">IF(ROUND($B$2,2)=ABS(U772),0,NA())</f>
        <v>#N/A</v>
      </c>
      <c r="U772">
        <v>3.69</v>
      </c>
      <c r="V772">
        <f t="shared" ref="V772:V803" si="37">_xlfn.NORM.S.DIST(U772,0)</f>
        <v>4.4076948311513252E-4</v>
      </c>
      <c r="W772" t="e">
        <f t="shared" ref="W772:W803" si="38">IF(ABS(U772)&lt;=$B$2,V772,NA())</f>
        <v>#N/A</v>
      </c>
    </row>
    <row r="773" spans="20:23" x14ac:dyDescent="0.3">
      <c r="T773" t="e">
        <f t="shared" si="36"/>
        <v>#N/A</v>
      </c>
      <c r="U773">
        <v>3.7</v>
      </c>
      <c r="V773">
        <f t="shared" si="37"/>
        <v>4.2478027055075143E-4</v>
      </c>
      <c r="W773" t="e">
        <f t="shared" si="38"/>
        <v>#N/A</v>
      </c>
    </row>
    <row r="774" spans="20:23" x14ac:dyDescent="0.3">
      <c r="T774" t="e">
        <f t="shared" si="36"/>
        <v>#N/A</v>
      </c>
      <c r="U774">
        <v>3.71</v>
      </c>
      <c r="V774">
        <f t="shared" si="37"/>
        <v>4.0933014247807883E-4</v>
      </c>
      <c r="W774" t="e">
        <f t="shared" si="38"/>
        <v>#N/A</v>
      </c>
    </row>
    <row r="775" spans="20:23" x14ac:dyDescent="0.3">
      <c r="T775" t="e">
        <f t="shared" si="36"/>
        <v>#N/A</v>
      </c>
      <c r="U775">
        <v>3.72</v>
      </c>
      <c r="V775">
        <f t="shared" si="37"/>
        <v>3.9440252496915622E-4</v>
      </c>
      <c r="W775" t="e">
        <f t="shared" si="38"/>
        <v>#N/A</v>
      </c>
    </row>
    <row r="776" spans="20:23" x14ac:dyDescent="0.3">
      <c r="T776" t="e">
        <f t="shared" si="36"/>
        <v>#N/A</v>
      </c>
      <c r="U776">
        <v>3.73</v>
      </c>
      <c r="V776">
        <f t="shared" si="37"/>
        <v>3.7998129383532141E-4</v>
      </c>
      <c r="W776" t="e">
        <f t="shared" si="38"/>
        <v>#N/A</v>
      </c>
    </row>
    <row r="777" spans="20:23" x14ac:dyDescent="0.3">
      <c r="T777" t="e">
        <f t="shared" si="36"/>
        <v>#N/A</v>
      </c>
      <c r="U777">
        <v>3.74</v>
      </c>
      <c r="V777">
        <f t="shared" si="37"/>
        <v>3.6605076455733496E-4</v>
      </c>
      <c r="W777" t="e">
        <f t="shared" si="38"/>
        <v>#N/A</v>
      </c>
    </row>
    <row r="778" spans="20:23" x14ac:dyDescent="0.3">
      <c r="T778" t="e">
        <f t="shared" si="36"/>
        <v>#N/A</v>
      </c>
      <c r="U778">
        <v>3.75</v>
      </c>
      <c r="V778">
        <f t="shared" si="37"/>
        <v>3.5259568236744541E-4</v>
      </c>
      <c r="W778" t="e">
        <f t="shared" si="38"/>
        <v>#N/A</v>
      </c>
    </row>
    <row r="779" spans="20:23" x14ac:dyDescent="0.3">
      <c r="T779" t="e">
        <f t="shared" si="36"/>
        <v>#N/A</v>
      </c>
      <c r="U779">
        <v>3.76</v>
      </c>
      <c r="V779">
        <f t="shared" si="37"/>
        <v>3.3960121248365478E-4</v>
      </c>
      <c r="W779" t="e">
        <f t="shared" si="38"/>
        <v>#N/A</v>
      </c>
    </row>
    <row r="780" spans="20:23" x14ac:dyDescent="0.3">
      <c r="T780" t="e">
        <f t="shared" si="36"/>
        <v>#N/A</v>
      </c>
      <c r="U780">
        <v>3.77</v>
      </c>
      <c r="V780">
        <f t="shared" si="37"/>
        <v>3.2705293049637498E-4</v>
      </c>
      <c r="W780" t="e">
        <f t="shared" si="38"/>
        <v>#N/A</v>
      </c>
    </row>
    <row r="781" spans="20:23" x14ac:dyDescent="0.3">
      <c r="T781" t="e">
        <f t="shared" si="36"/>
        <v>#N/A</v>
      </c>
      <c r="U781">
        <v>3.78</v>
      </c>
      <c r="V781">
        <f t="shared" si="37"/>
        <v>3.1493681290752188E-4</v>
      </c>
      <c r="W781" t="e">
        <f t="shared" si="38"/>
        <v>#N/A</v>
      </c>
    </row>
    <row r="782" spans="20:23" x14ac:dyDescent="0.3">
      <c r="T782" t="e">
        <f t="shared" si="36"/>
        <v>#N/A</v>
      </c>
      <c r="U782">
        <v>3.79</v>
      </c>
      <c r="V782">
        <f t="shared" si="37"/>
        <v>3.0323922782200417E-4</v>
      </c>
      <c r="W782" t="e">
        <f t="shared" si="38"/>
        <v>#N/A</v>
      </c>
    </row>
    <row r="783" spans="20:23" x14ac:dyDescent="0.3">
      <c r="T783" t="e">
        <f t="shared" si="36"/>
        <v>#N/A</v>
      </c>
      <c r="U783">
        <v>3.8</v>
      </c>
      <c r="V783">
        <f t="shared" si="37"/>
        <v>2.9194692579146027E-4</v>
      </c>
      <c r="W783" t="e">
        <f t="shared" si="38"/>
        <v>#N/A</v>
      </c>
    </row>
    <row r="784" spans="20:23" x14ac:dyDescent="0.3">
      <c r="T784" t="e">
        <f t="shared" si="36"/>
        <v>#N/A</v>
      </c>
      <c r="U784">
        <v>3.81</v>
      </c>
      <c r="V784">
        <f t="shared" si="37"/>
        <v>2.8104703080998632E-4</v>
      </c>
      <c r="W784" t="e">
        <f t="shared" si="38"/>
        <v>#N/A</v>
      </c>
    </row>
    <row r="785" spans="20:23" x14ac:dyDescent="0.3">
      <c r="T785" t="e">
        <f t="shared" si="36"/>
        <v>#N/A</v>
      </c>
      <c r="U785">
        <v>3.82</v>
      </c>
      <c r="V785">
        <f t="shared" si="37"/>
        <v>2.70527031461521E-4</v>
      </c>
      <c r="W785" t="e">
        <f t="shared" si="38"/>
        <v>#N/A</v>
      </c>
    </row>
    <row r="786" spans="20:23" x14ac:dyDescent="0.3">
      <c r="T786" t="e">
        <f t="shared" si="36"/>
        <v>#N/A</v>
      </c>
      <c r="U786">
        <v>3.83</v>
      </c>
      <c r="V786">
        <f t="shared" si="37"/>
        <v>2.6037477221844247E-4</v>
      </c>
      <c r="W786" t="e">
        <f t="shared" si="38"/>
        <v>#N/A</v>
      </c>
    </row>
    <row r="787" spans="20:23" x14ac:dyDescent="0.3">
      <c r="T787" t="e">
        <f t="shared" si="36"/>
        <v>#N/A</v>
      </c>
      <c r="U787">
        <v>3.84</v>
      </c>
      <c r="V787">
        <f t="shared" si="37"/>
        <v>2.5057844489086075E-4</v>
      </c>
      <c r="W787" t="e">
        <f t="shared" si="38"/>
        <v>#N/A</v>
      </c>
    </row>
    <row r="788" spans="20:23" x14ac:dyDescent="0.3">
      <c r="T788" t="e">
        <f t="shared" si="36"/>
        <v>#N/A</v>
      </c>
      <c r="U788">
        <v>3.85</v>
      </c>
      <c r="V788">
        <f t="shared" si="37"/>
        <v>2.4112658022599324E-4</v>
      </c>
      <c r="W788" t="e">
        <f t="shared" si="38"/>
        <v>#N/A</v>
      </c>
    </row>
    <row r="789" spans="20:23" x14ac:dyDescent="0.3">
      <c r="T789" t="e">
        <f t="shared" si="36"/>
        <v>#N/A</v>
      </c>
      <c r="U789">
        <v>3.86</v>
      </c>
      <c r="V789">
        <f t="shared" si="37"/>
        <v>2.3200803965694238E-4</v>
      </c>
      <c r="W789" t="e">
        <f t="shared" si="38"/>
        <v>#N/A</v>
      </c>
    </row>
    <row r="790" spans="20:23" x14ac:dyDescent="0.3">
      <c r="T790" t="e">
        <f t="shared" si="36"/>
        <v>#N/A</v>
      </c>
      <c r="U790">
        <v>3.87</v>
      </c>
      <c r="V790">
        <f t="shared" si="37"/>
        <v>2.2321200720010206E-4</v>
      </c>
      <c r="W790" t="e">
        <f t="shared" si="38"/>
        <v>#N/A</v>
      </c>
    </row>
    <row r="791" spans="20:23" x14ac:dyDescent="0.3">
      <c r="T791" t="e">
        <f t="shared" si="36"/>
        <v>#N/A</v>
      </c>
      <c r="U791">
        <v>3.88</v>
      </c>
      <c r="V791">
        <f t="shared" si="37"/>
        <v>2.1472798150036704E-4</v>
      </c>
      <c r="W791" t="e">
        <f t="shared" si="38"/>
        <v>#N/A</v>
      </c>
    </row>
    <row r="792" spans="20:23" x14ac:dyDescent="0.3">
      <c r="T792" t="e">
        <f t="shared" si="36"/>
        <v>#N/A</v>
      </c>
      <c r="U792">
        <v>3.89</v>
      </c>
      <c r="V792">
        <f t="shared" si="37"/>
        <v>2.0654576802322548E-4</v>
      </c>
      <c r="W792" t="e">
        <f t="shared" si="38"/>
        <v>#N/A</v>
      </c>
    </row>
    <row r="793" spans="20:23" x14ac:dyDescent="0.3">
      <c r="T793" t="e">
        <f t="shared" si="36"/>
        <v>#N/A</v>
      </c>
      <c r="U793">
        <v>3.9</v>
      </c>
      <c r="V793">
        <f t="shared" si="37"/>
        <v>1.9865547139277272E-4</v>
      </c>
      <c r="W793" t="e">
        <f t="shared" si="38"/>
        <v>#N/A</v>
      </c>
    </row>
    <row r="794" spans="20:23" x14ac:dyDescent="0.3">
      <c r="T794" t="e">
        <f t="shared" si="36"/>
        <v>#N/A</v>
      </c>
      <c r="U794">
        <v>3.91</v>
      </c>
      <c r="V794">
        <f t="shared" si="37"/>
        <v>1.9104748787459762E-4</v>
      </c>
      <c r="W794" t="e">
        <f t="shared" si="38"/>
        <v>#N/A</v>
      </c>
    </row>
    <row r="795" spans="20:23" x14ac:dyDescent="0.3">
      <c r="T795" t="e">
        <f t="shared" si="36"/>
        <v>#N/A</v>
      </c>
      <c r="U795">
        <v>3.92</v>
      </c>
      <c r="V795">
        <f t="shared" si="37"/>
        <v>1.8371249800245711E-4</v>
      </c>
      <c r="W795" t="e">
        <f t="shared" si="38"/>
        <v>#N/A</v>
      </c>
    </row>
    <row r="796" spans="20:23" x14ac:dyDescent="0.3">
      <c r="T796" t="e">
        <f t="shared" si="36"/>
        <v>#N/A</v>
      </c>
      <c r="U796">
        <v>3.93</v>
      </c>
      <c r="V796">
        <f t="shared" si="37"/>
        <v>1.7664145934757092E-4</v>
      </c>
      <c r="W796" t="e">
        <f t="shared" si="38"/>
        <v>#N/A</v>
      </c>
    </row>
    <row r="797" spans="20:23" x14ac:dyDescent="0.3">
      <c r="T797" t="e">
        <f t="shared" si="36"/>
        <v>#N/A</v>
      </c>
      <c r="U797">
        <v>3.94</v>
      </c>
      <c r="V797">
        <f t="shared" si="37"/>
        <v>1.6982559942934359E-4</v>
      </c>
      <c r="W797" t="e">
        <f t="shared" si="38"/>
        <v>#N/A</v>
      </c>
    </row>
    <row r="798" spans="20:23" x14ac:dyDescent="0.3">
      <c r="T798" t="e">
        <f t="shared" si="36"/>
        <v>#N/A</v>
      </c>
      <c r="U798">
        <v>3.95</v>
      </c>
      <c r="V798">
        <f t="shared" si="37"/>
        <v>1.6325640876624199E-4</v>
      </c>
      <c r="W798" t="e">
        <f t="shared" si="38"/>
        <v>#N/A</v>
      </c>
    </row>
    <row r="799" spans="20:23" x14ac:dyDescent="0.3">
      <c r="T799" t="e">
        <f t="shared" si="36"/>
        <v>#N/A</v>
      </c>
      <c r="U799">
        <v>3.96</v>
      </c>
      <c r="V799">
        <f t="shared" si="37"/>
        <v>1.5692563406553226E-4</v>
      </c>
      <c r="W799" t="e">
        <f t="shared" si="38"/>
        <v>#N/A</v>
      </c>
    </row>
    <row r="800" spans="20:23" x14ac:dyDescent="0.3">
      <c r="T800" t="e">
        <f t="shared" si="36"/>
        <v>#N/A</v>
      </c>
      <c r="U800">
        <v>3.97</v>
      </c>
      <c r="V800">
        <f t="shared" si="37"/>
        <v>1.508252715505178E-4</v>
      </c>
      <c r="W800" t="e">
        <f t="shared" si="38"/>
        <v>#N/A</v>
      </c>
    </row>
    <row r="801" spans="20:23" x14ac:dyDescent="0.3">
      <c r="T801" t="e">
        <f t="shared" si="36"/>
        <v>#N/A</v>
      </c>
      <c r="U801">
        <v>3.98</v>
      </c>
      <c r="V801">
        <f t="shared" si="37"/>
        <v>1.4494756042389106E-4</v>
      </c>
      <c r="W801" t="e">
        <f t="shared" si="38"/>
        <v>#N/A</v>
      </c>
    </row>
    <row r="802" spans="20:23" x14ac:dyDescent="0.3">
      <c r="T802" t="e">
        <f t="shared" si="36"/>
        <v>#N/A</v>
      </c>
      <c r="U802">
        <v>3.99</v>
      </c>
      <c r="V802">
        <f t="shared" si="37"/>
        <v>1.3928497646575994E-4</v>
      </c>
      <c r="W802" t="e">
        <f t="shared" si="38"/>
        <v>#N/A</v>
      </c>
    </row>
    <row r="803" spans="20:23" x14ac:dyDescent="0.3">
      <c r="T803" t="e">
        <f t="shared" si="36"/>
        <v>#N/A</v>
      </c>
      <c r="U803">
        <v>4</v>
      </c>
      <c r="V803">
        <f t="shared" si="37"/>
        <v>1.3383022576488537E-4</v>
      </c>
      <c r="W803" t="e">
        <f t="shared" si="38"/>
        <v>#N/A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08"/>
  <sheetViews>
    <sheetView topLeftCell="A10" workbookViewId="0">
      <selection activeCell="C2" sqref="C2"/>
    </sheetView>
  </sheetViews>
  <sheetFormatPr defaultRowHeight="14.4" x14ac:dyDescent="0.3"/>
  <sheetData>
    <row r="1" spans="1:1" x14ac:dyDescent="0.3">
      <c r="A1">
        <f ca="1">_xlfn.NORM.S.INV(RAND())</f>
        <v>0.74725396938437849</v>
      </c>
    </row>
    <row r="2" spans="1:1" x14ac:dyDescent="0.3">
      <c r="A2">
        <f t="shared" ref="A2:A65" ca="1" si="0">_xlfn.NORM.S.INV(RAND())</f>
        <v>0.49385469439489799</v>
      </c>
    </row>
    <row r="3" spans="1:1" x14ac:dyDescent="0.3">
      <c r="A3">
        <f t="shared" ca="1" si="0"/>
        <v>0.61689789748530455</v>
      </c>
    </row>
    <row r="4" spans="1:1" x14ac:dyDescent="0.3">
      <c r="A4">
        <f t="shared" ca="1" si="0"/>
        <v>2.0788638564801056</v>
      </c>
    </row>
    <row r="5" spans="1:1" x14ac:dyDescent="0.3">
      <c r="A5">
        <f t="shared" ca="1" si="0"/>
        <v>-0.17639506282736839</v>
      </c>
    </row>
    <row r="6" spans="1:1" x14ac:dyDescent="0.3">
      <c r="A6">
        <f t="shared" ca="1" si="0"/>
        <v>-0.78473154976810888</v>
      </c>
    </row>
    <row r="7" spans="1:1" x14ac:dyDescent="0.3">
      <c r="A7">
        <f t="shared" ca="1" si="0"/>
        <v>-1.1299030219748696</v>
      </c>
    </row>
    <row r="8" spans="1:1" x14ac:dyDescent="0.3">
      <c r="A8">
        <f t="shared" ca="1" si="0"/>
        <v>-0.49278594568727413</v>
      </c>
    </row>
    <row r="9" spans="1:1" x14ac:dyDescent="0.3">
      <c r="A9">
        <f t="shared" ca="1" si="0"/>
        <v>-1.164388864064918</v>
      </c>
    </row>
    <row r="10" spans="1:1" x14ac:dyDescent="0.3">
      <c r="A10">
        <f t="shared" ca="1" si="0"/>
        <v>1.0443873918764666</v>
      </c>
    </row>
    <row r="11" spans="1:1" x14ac:dyDescent="0.3">
      <c r="A11">
        <f t="shared" ca="1" si="0"/>
        <v>-1.4983625530163567</v>
      </c>
    </row>
    <row r="12" spans="1:1" x14ac:dyDescent="0.3">
      <c r="A12">
        <f t="shared" ca="1" si="0"/>
        <v>1.4524159734029716</v>
      </c>
    </row>
    <row r="13" spans="1:1" x14ac:dyDescent="0.3">
      <c r="A13">
        <f t="shared" ca="1" si="0"/>
        <v>0.65384044327142132</v>
      </c>
    </row>
    <row r="14" spans="1:1" x14ac:dyDescent="0.3">
      <c r="A14">
        <f t="shared" ca="1" si="0"/>
        <v>-0.91597999918349671</v>
      </c>
    </row>
    <row r="15" spans="1:1" x14ac:dyDescent="0.3">
      <c r="A15">
        <f t="shared" ca="1" si="0"/>
        <v>0.24993386923509514</v>
      </c>
    </row>
    <row r="16" spans="1:1" x14ac:dyDescent="0.3">
      <c r="A16">
        <f t="shared" ca="1" si="0"/>
        <v>-1.9865226852275888</v>
      </c>
    </row>
    <row r="17" spans="1:1" x14ac:dyDescent="0.3">
      <c r="A17">
        <f t="shared" ca="1" si="0"/>
        <v>-1.9987690336042381</v>
      </c>
    </row>
    <row r="18" spans="1:1" x14ac:dyDescent="0.3">
      <c r="A18">
        <f t="shared" ca="1" si="0"/>
        <v>0.80781608942044703</v>
      </c>
    </row>
    <row r="19" spans="1:1" x14ac:dyDescent="0.3">
      <c r="A19">
        <f t="shared" ca="1" si="0"/>
        <v>-0.87665086862969532</v>
      </c>
    </row>
    <row r="20" spans="1:1" x14ac:dyDescent="0.3">
      <c r="A20">
        <f t="shared" ca="1" si="0"/>
        <v>0.78384118427645155</v>
      </c>
    </row>
    <row r="21" spans="1:1" x14ac:dyDescent="0.3">
      <c r="A21">
        <f t="shared" ca="1" si="0"/>
        <v>-0.4162041390551931</v>
      </c>
    </row>
    <row r="22" spans="1:1" x14ac:dyDescent="0.3">
      <c r="A22">
        <f t="shared" ca="1" si="0"/>
        <v>-1.7786722811635134</v>
      </c>
    </row>
    <row r="23" spans="1:1" x14ac:dyDescent="0.3">
      <c r="A23">
        <f t="shared" ca="1" si="0"/>
        <v>-0.60527853379025176</v>
      </c>
    </row>
    <row r="24" spans="1:1" x14ac:dyDescent="0.3">
      <c r="A24">
        <f t="shared" ca="1" si="0"/>
        <v>1.0241516235170727</v>
      </c>
    </row>
    <row r="25" spans="1:1" x14ac:dyDescent="0.3">
      <c r="A25">
        <f t="shared" ca="1" si="0"/>
        <v>0.12211311878297776</v>
      </c>
    </row>
    <row r="26" spans="1:1" x14ac:dyDescent="0.3">
      <c r="A26">
        <f t="shared" ca="1" si="0"/>
        <v>-0.3035384519559482</v>
      </c>
    </row>
    <row r="27" spans="1:1" x14ac:dyDescent="0.3">
      <c r="A27">
        <f t="shared" ca="1" si="0"/>
        <v>0.67205145428532154</v>
      </c>
    </row>
    <row r="28" spans="1:1" x14ac:dyDescent="0.3">
      <c r="A28">
        <f t="shared" ca="1" si="0"/>
        <v>0.99577350515441587</v>
      </c>
    </row>
    <row r="29" spans="1:1" x14ac:dyDescent="0.3">
      <c r="A29">
        <f t="shared" ca="1" si="0"/>
        <v>-1.2647979002901704</v>
      </c>
    </row>
    <row r="30" spans="1:1" x14ac:dyDescent="0.3">
      <c r="A30">
        <f t="shared" ca="1" si="0"/>
        <v>-1.3672899183475957</v>
      </c>
    </row>
    <row r="31" spans="1:1" x14ac:dyDescent="0.3">
      <c r="A31">
        <f t="shared" ca="1" si="0"/>
        <v>-0.27904717361905262</v>
      </c>
    </row>
    <row r="32" spans="1:1" x14ac:dyDescent="0.3">
      <c r="A32">
        <f t="shared" ca="1" si="0"/>
        <v>4.63154260431307E-2</v>
      </c>
    </row>
    <row r="33" spans="1:1" x14ac:dyDescent="0.3">
      <c r="A33">
        <f t="shared" ca="1" si="0"/>
        <v>5.0713240491440242E-2</v>
      </c>
    </row>
    <row r="34" spans="1:1" x14ac:dyDescent="0.3">
      <c r="A34">
        <f t="shared" ca="1" si="0"/>
        <v>0.16437320936552313</v>
      </c>
    </row>
    <row r="35" spans="1:1" x14ac:dyDescent="0.3">
      <c r="A35">
        <f t="shared" ca="1" si="0"/>
        <v>-0.4947981389689794</v>
      </c>
    </row>
    <row r="36" spans="1:1" x14ac:dyDescent="0.3">
      <c r="A36">
        <f t="shared" ca="1" si="0"/>
        <v>6.3729644648272531E-3</v>
      </c>
    </row>
    <row r="37" spans="1:1" x14ac:dyDescent="0.3">
      <c r="A37">
        <f t="shared" ca="1" si="0"/>
        <v>0.22483770225350552</v>
      </c>
    </row>
    <row r="38" spans="1:1" x14ac:dyDescent="0.3">
      <c r="A38">
        <f t="shared" ca="1" si="0"/>
        <v>-0.54579008014062236</v>
      </c>
    </row>
    <row r="39" spans="1:1" x14ac:dyDescent="0.3">
      <c r="A39">
        <f t="shared" ca="1" si="0"/>
        <v>-0.67446708181745973</v>
      </c>
    </row>
    <row r="40" spans="1:1" x14ac:dyDescent="0.3">
      <c r="A40">
        <f t="shared" ca="1" si="0"/>
        <v>0.17386744235523593</v>
      </c>
    </row>
    <row r="41" spans="1:1" x14ac:dyDescent="0.3">
      <c r="A41">
        <f t="shared" ca="1" si="0"/>
        <v>-1.2628827937467164</v>
      </c>
    </row>
    <row r="42" spans="1:1" x14ac:dyDescent="0.3">
      <c r="A42">
        <f t="shared" ca="1" si="0"/>
        <v>0.27588086597721956</v>
      </c>
    </row>
    <row r="43" spans="1:1" x14ac:dyDescent="0.3">
      <c r="A43">
        <f t="shared" ca="1" si="0"/>
        <v>0.79578420668915772</v>
      </c>
    </row>
    <row r="44" spans="1:1" x14ac:dyDescent="0.3">
      <c r="A44">
        <f t="shared" ca="1" si="0"/>
        <v>-1.3554985286562242</v>
      </c>
    </row>
    <row r="45" spans="1:1" x14ac:dyDescent="0.3">
      <c r="A45">
        <f t="shared" ca="1" si="0"/>
        <v>3.7243659359460696E-2</v>
      </c>
    </row>
    <row r="46" spans="1:1" x14ac:dyDescent="0.3">
      <c r="A46">
        <f t="shared" ca="1" si="0"/>
        <v>-0.56201501942807952</v>
      </c>
    </row>
    <row r="47" spans="1:1" x14ac:dyDescent="0.3">
      <c r="A47">
        <f t="shared" ca="1" si="0"/>
        <v>0.94229420472753911</v>
      </c>
    </row>
    <row r="48" spans="1:1" x14ac:dyDescent="0.3">
      <c r="A48">
        <f t="shared" ca="1" si="0"/>
        <v>-0.5671835281867853</v>
      </c>
    </row>
    <row r="49" spans="1:1" x14ac:dyDescent="0.3">
      <c r="A49">
        <f t="shared" ca="1" si="0"/>
        <v>-0.7446021620343577</v>
      </c>
    </row>
    <row r="50" spans="1:1" x14ac:dyDescent="0.3">
      <c r="A50">
        <f t="shared" ca="1" si="0"/>
        <v>-9.0418269568755625E-3</v>
      </c>
    </row>
    <row r="51" spans="1:1" x14ac:dyDescent="0.3">
      <c r="A51">
        <f t="shared" ca="1" si="0"/>
        <v>1.2193243630625314</v>
      </c>
    </row>
    <row r="52" spans="1:1" x14ac:dyDescent="0.3">
      <c r="A52">
        <f t="shared" ca="1" si="0"/>
        <v>-0.64929314730730647</v>
      </c>
    </row>
    <row r="53" spans="1:1" x14ac:dyDescent="0.3">
      <c r="A53">
        <f t="shared" ca="1" si="0"/>
        <v>1.4393255707453683</v>
      </c>
    </row>
    <row r="54" spans="1:1" x14ac:dyDescent="0.3">
      <c r="A54">
        <f t="shared" ca="1" si="0"/>
        <v>1.0017561036736815</v>
      </c>
    </row>
    <row r="55" spans="1:1" x14ac:dyDescent="0.3">
      <c r="A55">
        <f t="shared" ca="1" si="0"/>
        <v>0.21299277850830803</v>
      </c>
    </row>
    <row r="56" spans="1:1" x14ac:dyDescent="0.3">
      <c r="A56">
        <f t="shared" ca="1" si="0"/>
        <v>0.23714474054659457</v>
      </c>
    </row>
    <row r="57" spans="1:1" x14ac:dyDescent="0.3">
      <c r="A57">
        <f t="shared" ca="1" si="0"/>
        <v>0.39950473588526259</v>
      </c>
    </row>
    <row r="58" spans="1:1" x14ac:dyDescent="0.3">
      <c r="A58">
        <f t="shared" ca="1" si="0"/>
        <v>-0.44693145612223406</v>
      </c>
    </row>
    <row r="59" spans="1:1" x14ac:dyDescent="0.3">
      <c r="A59">
        <f t="shared" ca="1" si="0"/>
        <v>-0.85214176612464643</v>
      </c>
    </row>
    <row r="60" spans="1:1" x14ac:dyDescent="0.3">
      <c r="A60">
        <f t="shared" ca="1" si="0"/>
        <v>2.1829737704508174</v>
      </c>
    </row>
    <row r="61" spans="1:1" x14ac:dyDescent="0.3">
      <c r="A61">
        <f t="shared" ca="1" si="0"/>
        <v>0.15595742516063085</v>
      </c>
    </row>
    <row r="62" spans="1:1" x14ac:dyDescent="0.3">
      <c r="A62">
        <f t="shared" ca="1" si="0"/>
        <v>-0.97042352506540908</v>
      </c>
    </row>
    <row r="63" spans="1:1" x14ac:dyDescent="0.3">
      <c r="A63">
        <f t="shared" ca="1" si="0"/>
        <v>0.44146430426075162</v>
      </c>
    </row>
    <row r="64" spans="1:1" x14ac:dyDescent="0.3">
      <c r="A64">
        <f t="shared" ca="1" si="0"/>
        <v>2.3538670953850955</v>
      </c>
    </row>
    <row r="65" spans="1:1" x14ac:dyDescent="0.3">
      <c r="A65">
        <f t="shared" ca="1" si="0"/>
        <v>0.92543881652187165</v>
      </c>
    </row>
    <row r="66" spans="1:1" x14ac:dyDescent="0.3">
      <c r="A66">
        <f t="shared" ref="A66:A129" ca="1" si="1">_xlfn.NORM.S.INV(RAND())</f>
        <v>-0.47608383494361156</v>
      </c>
    </row>
    <row r="67" spans="1:1" x14ac:dyDescent="0.3">
      <c r="A67">
        <f t="shared" ca="1" si="1"/>
        <v>-1.6173786994481947</v>
      </c>
    </row>
    <row r="68" spans="1:1" x14ac:dyDescent="0.3">
      <c r="A68">
        <f t="shared" ca="1" si="1"/>
        <v>2.4139122165353863</v>
      </c>
    </row>
    <row r="69" spans="1:1" x14ac:dyDescent="0.3">
      <c r="A69">
        <f t="shared" ca="1" si="1"/>
        <v>0.90455529167353332</v>
      </c>
    </row>
    <row r="70" spans="1:1" x14ac:dyDescent="0.3">
      <c r="A70">
        <f t="shared" ca="1" si="1"/>
        <v>0.8157978498642493</v>
      </c>
    </row>
    <row r="71" spans="1:1" x14ac:dyDescent="0.3">
      <c r="A71">
        <f t="shared" ca="1" si="1"/>
        <v>-0.88277542802479969</v>
      </c>
    </row>
    <row r="72" spans="1:1" x14ac:dyDescent="0.3">
      <c r="A72">
        <f t="shared" ca="1" si="1"/>
        <v>0.76263277358580173</v>
      </c>
    </row>
    <row r="73" spans="1:1" x14ac:dyDescent="0.3">
      <c r="A73">
        <f t="shared" ca="1" si="1"/>
        <v>-0.61364064594774159</v>
      </c>
    </row>
    <row r="74" spans="1:1" x14ac:dyDescent="0.3">
      <c r="A74">
        <f t="shared" ca="1" si="1"/>
        <v>0.42698673840795404</v>
      </c>
    </row>
    <row r="75" spans="1:1" x14ac:dyDescent="0.3">
      <c r="A75">
        <f t="shared" ca="1" si="1"/>
        <v>-0.32755570659141919</v>
      </c>
    </row>
    <row r="76" spans="1:1" x14ac:dyDescent="0.3">
      <c r="A76">
        <f t="shared" ca="1" si="1"/>
        <v>0.36272120850850764</v>
      </c>
    </row>
    <row r="77" spans="1:1" x14ac:dyDescent="0.3">
      <c r="A77">
        <f t="shared" ca="1" si="1"/>
        <v>-1.4827755471228614</v>
      </c>
    </row>
    <row r="78" spans="1:1" x14ac:dyDescent="0.3">
      <c r="A78">
        <f t="shared" ca="1" si="1"/>
        <v>-0.28437339225989772</v>
      </c>
    </row>
    <row r="79" spans="1:1" x14ac:dyDescent="0.3">
      <c r="A79">
        <f t="shared" ca="1" si="1"/>
        <v>-0.32089062007589086</v>
      </c>
    </row>
    <row r="80" spans="1:1" x14ac:dyDescent="0.3">
      <c r="A80">
        <f t="shared" ca="1" si="1"/>
        <v>2.2392118722605249E-2</v>
      </c>
    </row>
    <row r="81" spans="1:1" x14ac:dyDescent="0.3">
      <c r="A81">
        <f t="shared" ca="1" si="1"/>
        <v>-0.37896261669245984</v>
      </c>
    </row>
    <row r="82" spans="1:1" x14ac:dyDescent="0.3">
      <c r="A82">
        <f t="shared" ca="1" si="1"/>
        <v>1.6288854264840751</v>
      </c>
    </row>
    <row r="83" spans="1:1" x14ac:dyDescent="0.3">
      <c r="A83">
        <f t="shared" ca="1" si="1"/>
        <v>-0.85312019631386615</v>
      </c>
    </row>
    <row r="84" spans="1:1" x14ac:dyDescent="0.3">
      <c r="A84">
        <f t="shared" ca="1" si="1"/>
        <v>0.64842667271903942</v>
      </c>
    </row>
    <row r="85" spans="1:1" x14ac:dyDescent="0.3">
      <c r="A85">
        <f t="shared" ca="1" si="1"/>
        <v>1.9394264766797131</v>
      </c>
    </row>
    <row r="86" spans="1:1" x14ac:dyDescent="0.3">
      <c r="A86">
        <f t="shared" ca="1" si="1"/>
        <v>-1.053702468082131</v>
      </c>
    </row>
    <row r="87" spans="1:1" x14ac:dyDescent="0.3">
      <c r="A87">
        <f t="shared" ca="1" si="1"/>
        <v>0.38070703227613334</v>
      </c>
    </row>
    <row r="88" spans="1:1" x14ac:dyDescent="0.3">
      <c r="A88">
        <f t="shared" ca="1" si="1"/>
        <v>0.32659745348064434</v>
      </c>
    </row>
    <row r="89" spans="1:1" x14ac:dyDescent="0.3">
      <c r="A89">
        <f t="shared" ca="1" si="1"/>
        <v>1.5157907244535258</v>
      </c>
    </row>
    <row r="90" spans="1:1" x14ac:dyDescent="0.3">
      <c r="A90">
        <f t="shared" ca="1" si="1"/>
        <v>0.31024417123505527</v>
      </c>
    </row>
    <row r="91" spans="1:1" x14ac:dyDescent="0.3">
      <c r="A91">
        <f t="shared" ca="1" si="1"/>
        <v>-2.2061077706730448</v>
      </c>
    </row>
    <row r="92" spans="1:1" x14ac:dyDescent="0.3">
      <c r="A92">
        <f t="shared" ca="1" si="1"/>
        <v>-0.2655571279618214</v>
      </c>
    </row>
    <row r="93" spans="1:1" x14ac:dyDescent="0.3">
      <c r="A93">
        <f t="shared" ca="1" si="1"/>
        <v>1.8761385882912147</v>
      </c>
    </row>
    <row r="94" spans="1:1" x14ac:dyDescent="0.3">
      <c r="A94">
        <f t="shared" ca="1" si="1"/>
        <v>-0.74963378050681839</v>
      </c>
    </row>
    <row r="95" spans="1:1" x14ac:dyDescent="0.3">
      <c r="A95">
        <f t="shared" ca="1" si="1"/>
        <v>-0.48908835718861654</v>
      </c>
    </row>
    <row r="96" spans="1:1" x14ac:dyDescent="0.3">
      <c r="A96">
        <f t="shared" ca="1" si="1"/>
        <v>1.1248319525124522</v>
      </c>
    </row>
    <row r="97" spans="1:1" x14ac:dyDescent="0.3">
      <c r="A97">
        <f t="shared" ca="1" si="1"/>
        <v>0.37995471132900566</v>
      </c>
    </row>
    <row r="98" spans="1:1" x14ac:dyDescent="0.3">
      <c r="A98">
        <f t="shared" ca="1" si="1"/>
        <v>-0.39911793436554122</v>
      </c>
    </row>
    <row r="99" spans="1:1" x14ac:dyDescent="0.3">
      <c r="A99">
        <f t="shared" ca="1" si="1"/>
        <v>-0.2123419958251499</v>
      </c>
    </row>
    <row r="100" spans="1:1" x14ac:dyDescent="0.3">
      <c r="A100">
        <f t="shared" ca="1" si="1"/>
        <v>-3.5527787772083604E-2</v>
      </c>
    </row>
    <row r="101" spans="1:1" x14ac:dyDescent="0.3">
      <c r="A101">
        <f t="shared" ca="1" si="1"/>
        <v>0.6742080998623865</v>
      </c>
    </row>
    <row r="102" spans="1:1" x14ac:dyDescent="0.3">
      <c r="A102">
        <f t="shared" ca="1" si="1"/>
        <v>-0.77592184020655575</v>
      </c>
    </row>
    <row r="103" spans="1:1" x14ac:dyDescent="0.3">
      <c r="A103">
        <f t="shared" ca="1" si="1"/>
        <v>0.51222852198828839</v>
      </c>
    </row>
    <row r="104" spans="1:1" x14ac:dyDescent="0.3">
      <c r="A104">
        <f t="shared" ca="1" si="1"/>
        <v>2.6341961751130114E-2</v>
      </c>
    </row>
    <row r="105" spans="1:1" x14ac:dyDescent="0.3">
      <c r="A105">
        <f t="shared" ca="1" si="1"/>
        <v>1.9970591604898553</v>
      </c>
    </row>
    <row r="106" spans="1:1" x14ac:dyDescent="0.3">
      <c r="A106">
        <f t="shared" ca="1" si="1"/>
        <v>0.64891138028105355</v>
      </c>
    </row>
    <row r="107" spans="1:1" x14ac:dyDescent="0.3">
      <c r="A107">
        <f t="shared" ca="1" si="1"/>
        <v>0.23774977672213365</v>
      </c>
    </row>
    <row r="108" spans="1:1" x14ac:dyDescent="0.3">
      <c r="A108">
        <f t="shared" ca="1" si="1"/>
        <v>0.77914750030048774</v>
      </c>
    </row>
    <row r="109" spans="1:1" x14ac:dyDescent="0.3">
      <c r="A109">
        <f t="shared" ca="1" si="1"/>
        <v>-1.9219113162070363</v>
      </c>
    </row>
    <row r="110" spans="1:1" x14ac:dyDescent="0.3">
      <c r="A110">
        <f t="shared" ca="1" si="1"/>
        <v>-0.29966657058843116</v>
      </c>
    </row>
    <row r="111" spans="1:1" x14ac:dyDescent="0.3">
      <c r="A111">
        <f t="shared" ca="1" si="1"/>
        <v>-0.57600775083333033</v>
      </c>
    </row>
    <row r="112" spans="1:1" x14ac:dyDescent="0.3">
      <c r="A112">
        <f t="shared" ca="1" si="1"/>
        <v>1.1142717882258304</v>
      </c>
    </row>
    <row r="113" spans="1:1" x14ac:dyDescent="0.3">
      <c r="A113">
        <f t="shared" ca="1" si="1"/>
        <v>0.76402255389754969</v>
      </c>
    </row>
    <row r="114" spans="1:1" x14ac:dyDescent="0.3">
      <c r="A114">
        <f t="shared" ca="1" si="1"/>
        <v>-0.23728719111038726</v>
      </c>
    </row>
    <row r="115" spans="1:1" x14ac:dyDescent="0.3">
      <c r="A115">
        <f t="shared" ca="1" si="1"/>
        <v>-1.2861761663385789</v>
      </c>
    </row>
    <row r="116" spans="1:1" x14ac:dyDescent="0.3">
      <c r="A116">
        <f t="shared" ca="1" si="1"/>
        <v>-0.65753855446791265</v>
      </c>
    </row>
    <row r="117" spans="1:1" x14ac:dyDescent="0.3">
      <c r="A117">
        <f t="shared" ca="1" si="1"/>
        <v>0.2413233807828109</v>
      </c>
    </row>
    <row r="118" spans="1:1" x14ac:dyDescent="0.3">
      <c r="A118">
        <f t="shared" ca="1" si="1"/>
        <v>0.38505215776684992</v>
      </c>
    </row>
    <row r="119" spans="1:1" x14ac:dyDescent="0.3">
      <c r="A119">
        <f t="shared" ca="1" si="1"/>
        <v>0.22973094585664194</v>
      </c>
    </row>
    <row r="120" spans="1:1" x14ac:dyDescent="0.3">
      <c r="A120">
        <f t="shared" ca="1" si="1"/>
        <v>2.1952920184952041E-2</v>
      </c>
    </row>
    <row r="121" spans="1:1" x14ac:dyDescent="0.3">
      <c r="A121">
        <f t="shared" ca="1" si="1"/>
        <v>-0.36808359864594026</v>
      </c>
    </row>
    <row r="122" spans="1:1" x14ac:dyDescent="0.3">
      <c r="A122">
        <f t="shared" ca="1" si="1"/>
        <v>-1.5022990859858278</v>
      </c>
    </row>
    <row r="123" spans="1:1" x14ac:dyDescent="0.3">
      <c r="A123">
        <f t="shared" ca="1" si="1"/>
        <v>-1.0638754925399772</v>
      </c>
    </row>
    <row r="124" spans="1:1" x14ac:dyDescent="0.3">
      <c r="A124">
        <f t="shared" ca="1" si="1"/>
        <v>0.66085323185828027</v>
      </c>
    </row>
    <row r="125" spans="1:1" x14ac:dyDescent="0.3">
      <c r="A125">
        <f t="shared" ca="1" si="1"/>
        <v>1.4716152280293335</v>
      </c>
    </row>
    <row r="126" spans="1:1" x14ac:dyDescent="0.3">
      <c r="A126">
        <f t="shared" ca="1" si="1"/>
        <v>0.82308533008782847</v>
      </c>
    </row>
    <row r="127" spans="1:1" x14ac:dyDescent="0.3">
      <c r="A127">
        <f t="shared" ca="1" si="1"/>
        <v>-0.24236283010178761</v>
      </c>
    </row>
    <row r="128" spans="1:1" x14ac:dyDescent="0.3">
      <c r="A128">
        <f t="shared" ca="1" si="1"/>
        <v>-0.82010214834451134</v>
      </c>
    </row>
    <row r="129" spans="1:1" x14ac:dyDescent="0.3">
      <c r="A129">
        <f t="shared" ca="1" si="1"/>
        <v>1.9034035329598655E-2</v>
      </c>
    </row>
    <row r="130" spans="1:1" x14ac:dyDescent="0.3">
      <c r="A130">
        <f t="shared" ref="A130:A193" ca="1" si="2">_xlfn.NORM.S.INV(RAND())</f>
        <v>-0.59881337804499002</v>
      </c>
    </row>
    <row r="131" spans="1:1" x14ac:dyDescent="0.3">
      <c r="A131">
        <f t="shared" ca="1" si="2"/>
        <v>0.57078126604842161</v>
      </c>
    </row>
    <row r="132" spans="1:1" x14ac:dyDescent="0.3">
      <c r="A132">
        <f t="shared" ca="1" si="2"/>
        <v>-2.0831175948675731</v>
      </c>
    </row>
    <row r="133" spans="1:1" x14ac:dyDescent="0.3">
      <c r="A133">
        <f t="shared" ca="1" si="2"/>
        <v>2.7179737941768374</v>
      </c>
    </row>
    <row r="134" spans="1:1" x14ac:dyDescent="0.3">
      <c r="A134">
        <f t="shared" ca="1" si="2"/>
        <v>2.3356364068489381</v>
      </c>
    </row>
    <row r="135" spans="1:1" x14ac:dyDescent="0.3">
      <c r="A135">
        <f t="shared" ca="1" si="2"/>
        <v>0.68757023069371082</v>
      </c>
    </row>
    <row r="136" spans="1:1" x14ac:dyDescent="0.3">
      <c r="A136">
        <f t="shared" ca="1" si="2"/>
        <v>1.4509821645264667</v>
      </c>
    </row>
    <row r="137" spans="1:1" x14ac:dyDescent="0.3">
      <c r="A137">
        <f t="shared" ca="1" si="2"/>
        <v>0.75273462676212455</v>
      </c>
    </row>
    <row r="138" spans="1:1" x14ac:dyDescent="0.3">
      <c r="A138">
        <f t="shared" ca="1" si="2"/>
        <v>-0.92735751166251923</v>
      </c>
    </row>
    <row r="139" spans="1:1" x14ac:dyDescent="0.3">
      <c r="A139">
        <f t="shared" ca="1" si="2"/>
        <v>-0.73093655176221717</v>
      </c>
    </row>
    <row r="140" spans="1:1" x14ac:dyDescent="0.3">
      <c r="A140">
        <f t="shared" ca="1" si="2"/>
        <v>-1.1477461478524338</v>
      </c>
    </row>
    <row r="141" spans="1:1" x14ac:dyDescent="0.3">
      <c r="A141">
        <f t="shared" ca="1" si="2"/>
        <v>-2.0399075849167794</v>
      </c>
    </row>
    <row r="142" spans="1:1" x14ac:dyDescent="0.3">
      <c r="A142">
        <f t="shared" ca="1" si="2"/>
        <v>-0.17420423753623149</v>
      </c>
    </row>
    <row r="143" spans="1:1" x14ac:dyDescent="0.3">
      <c r="A143">
        <f t="shared" ca="1" si="2"/>
        <v>-0.47324748055780996</v>
      </c>
    </row>
    <row r="144" spans="1:1" x14ac:dyDescent="0.3">
      <c r="A144">
        <f t="shared" ca="1" si="2"/>
        <v>-0.96001907507707807</v>
      </c>
    </row>
    <row r="145" spans="1:1" x14ac:dyDescent="0.3">
      <c r="A145">
        <f t="shared" ca="1" si="2"/>
        <v>-0.41920304713092721</v>
      </c>
    </row>
    <row r="146" spans="1:1" x14ac:dyDescent="0.3">
      <c r="A146">
        <f t="shared" ca="1" si="2"/>
        <v>2.0175990891161866</v>
      </c>
    </row>
    <row r="147" spans="1:1" x14ac:dyDescent="0.3">
      <c r="A147">
        <f t="shared" ca="1" si="2"/>
        <v>0.37836714315059572</v>
      </c>
    </row>
    <row r="148" spans="1:1" x14ac:dyDescent="0.3">
      <c r="A148">
        <f t="shared" ca="1" si="2"/>
        <v>-1.0119860761331065</v>
      </c>
    </row>
    <row r="149" spans="1:1" x14ac:dyDescent="0.3">
      <c r="A149">
        <f t="shared" ca="1" si="2"/>
        <v>-0.36964337127016622</v>
      </c>
    </row>
    <row r="150" spans="1:1" x14ac:dyDescent="0.3">
      <c r="A150">
        <f t="shared" ca="1" si="2"/>
        <v>0.76757570843739709</v>
      </c>
    </row>
    <row r="151" spans="1:1" x14ac:dyDescent="0.3">
      <c r="A151">
        <f t="shared" ca="1" si="2"/>
        <v>1.019457570299114</v>
      </c>
    </row>
    <row r="152" spans="1:1" x14ac:dyDescent="0.3">
      <c r="A152">
        <f t="shared" ca="1" si="2"/>
        <v>0.33986874530980787</v>
      </c>
    </row>
    <row r="153" spans="1:1" x14ac:dyDescent="0.3">
      <c r="A153">
        <f t="shared" ca="1" si="2"/>
        <v>-0.84447660559779936</v>
      </c>
    </row>
    <row r="154" spans="1:1" x14ac:dyDescent="0.3">
      <c r="A154">
        <f t="shared" ca="1" si="2"/>
        <v>-7.6206605415614942E-2</v>
      </c>
    </row>
    <row r="155" spans="1:1" x14ac:dyDescent="0.3">
      <c r="A155">
        <f t="shared" ca="1" si="2"/>
        <v>0.67918104347247676</v>
      </c>
    </row>
    <row r="156" spans="1:1" x14ac:dyDescent="0.3">
      <c r="A156">
        <f t="shared" ca="1" si="2"/>
        <v>0.2546911415691448</v>
      </c>
    </row>
    <row r="157" spans="1:1" x14ac:dyDescent="0.3">
      <c r="A157">
        <f t="shared" ca="1" si="2"/>
        <v>-0.52502932065552144</v>
      </c>
    </row>
    <row r="158" spans="1:1" x14ac:dyDescent="0.3">
      <c r="A158">
        <f t="shared" ca="1" si="2"/>
        <v>0.61892658347140217</v>
      </c>
    </row>
    <row r="159" spans="1:1" x14ac:dyDescent="0.3">
      <c r="A159">
        <f t="shared" ca="1" si="2"/>
        <v>-0.82518878085001379</v>
      </c>
    </row>
    <row r="160" spans="1:1" x14ac:dyDescent="0.3">
      <c r="A160">
        <f t="shared" ca="1" si="2"/>
        <v>-1.2658146600982323</v>
      </c>
    </row>
    <row r="161" spans="1:1" x14ac:dyDescent="0.3">
      <c r="A161">
        <f t="shared" ca="1" si="2"/>
        <v>1.2430377097102214</v>
      </c>
    </row>
    <row r="162" spans="1:1" x14ac:dyDescent="0.3">
      <c r="A162">
        <f t="shared" ca="1" si="2"/>
        <v>0.12627387646085048</v>
      </c>
    </row>
    <row r="163" spans="1:1" x14ac:dyDescent="0.3">
      <c r="A163">
        <f t="shared" ca="1" si="2"/>
        <v>0.41402544000201613</v>
      </c>
    </row>
    <row r="164" spans="1:1" x14ac:dyDescent="0.3">
      <c r="A164">
        <f t="shared" ca="1" si="2"/>
        <v>-0.21908449776579106</v>
      </c>
    </row>
    <row r="165" spans="1:1" x14ac:dyDescent="0.3">
      <c r="A165">
        <f t="shared" ca="1" si="2"/>
        <v>-3.5200327594890592E-2</v>
      </c>
    </row>
    <row r="166" spans="1:1" x14ac:dyDescent="0.3">
      <c r="A166">
        <f t="shared" ca="1" si="2"/>
        <v>-0.66226301663142395</v>
      </c>
    </row>
    <row r="167" spans="1:1" x14ac:dyDescent="0.3">
      <c r="A167">
        <f t="shared" ca="1" si="2"/>
        <v>1.5602312167367023</v>
      </c>
    </row>
    <row r="168" spans="1:1" x14ac:dyDescent="0.3">
      <c r="A168">
        <f t="shared" ca="1" si="2"/>
        <v>-1.1736037670270225</v>
      </c>
    </row>
    <row r="169" spans="1:1" x14ac:dyDescent="0.3">
      <c r="A169">
        <f t="shared" ca="1" si="2"/>
        <v>-1.3254775012025246</v>
      </c>
    </row>
    <row r="170" spans="1:1" x14ac:dyDescent="0.3">
      <c r="A170">
        <f t="shared" ca="1" si="2"/>
        <v>-0.27144691202298737</v>
      </c>
    </row>
    <row r="171" spans="1:1" x14ac:dyDescent="0.3">
      <c r="A171">
        <f t="shared" ca="1" si="2"/>
        <v>1.859177581509722E-2</v>
      </c>
    </row>
    <row r="172" spans="1:1" x14ac:dyDescent="0.3">
      <c r="A172">
        <f t="shared" ca="1" si="2"/>
        <v>-0.36195239861608897</v>
      </c>
    </row>
    <row r="173" spans="1:1" x14ac:dyDescent="0.3">
      <c r="A173">
        <f t="shared" ca="1" si="2"/>
        <v>2.0925408157896883</v>
      </c>
    </row>
    <row r="174" spans="1:1" x14ac:dyDescent="0.3">
      <c r="A174">
        <f t="shared" ca="1" si="2"/>
        <v>0.70264355810120871</v>
      </c>
    </row>
    <row r="175" spans="1:1" x14ac:dyDescent="0.3">
      <c r="A175">
        <f t="shared" ca="1" si="2"/>
        <v>0.71654792982581628</v>
      </c>
    </row>
    <row r="176" spans="1:1" x14ac:dyDescent="0.3">
      <c r="A176">
        <f t="shared" ca="1" si="2"/>
        <v>0.27153725585185129</v>
      </c>
    </row>
    <row r="177" spans="1:1" x14ac:dyDescent="0.3">
      <c r="A177">
        <f t="shared" ca="1" si="2"/>
        <v>-0.9522656572982654</v>
      </c>
    </row>
    <row r="178" spans="1:1" x14ac:dyDescent="0.3">
      <c r="A178">
        <f t="shared" ca="1" si="2"/>
        <v>1.2352482812896382</v>
      </c>
    </row>
    <row r="179" spans="1:1" x14ac:dyDescent="0.3">
      <c r="A179">
        <f t="shared" ca="1" si="2"/>
        <v>0.78509385723770442</v>
      </c>
    </row>
    <row r="180" spans="1:1" x14ac:dyDescent="0.3">
      <c r="A180">
        <f t="shared" ca="1" si="2"/>
        <v>0.16696640131067375</v>
      </c>
    </row>
    <row r="181" spans="1:1" x14ac:dyDescent="0.3">
      <c r="A181">
        <f t="shared" ca="1" si="2"/>
        <v>1.3399852754884842</v>
      </c>
    </row>
    <row r="182" spans="1:1" x14ac:dyDescent="0.3">
      <c r="A182">
        <f t="shared" ca="1" si="2"/>
        <v>0.38055298293200152</v>
      </c>
    </row>
    <row r="183" spans="1:1" x14ac:dyDescent="0.3">
      <c r="A183">
        <f t="shared" ca="1" si="2"/>
        <v>-1.87395620556922</v>
      </c>
    </row>
    <row r="184" spans="1:1" x14ac:dyDescent="0.3">
      <c r="A184">
        <f t="shared" ca="1" si="2"/>
        <v>-0.31682831038401282</v>
      </c>
    </row>
    <row r="185" spans="1:1" x14ac:dyDescent="0.3">
      <c r="A185">
        <f t="shared" ca="1" si="2"/>
        <v>-0.33700234883942509</v>
      </c>
    </row>
    <row r="186" spans="1:1" x14ac:dyDescent="0.3">
      <c r="A186">
        <f t="shared" ca="1" si="2"/>
        <v>-0.58731232961553104</v>
      </c>
    </row>
    <row r="187" spans="1:1" x14ac:dyDescent="0.3">
      <c r="A187">
        <f t="shared" ca="1" si="2"/>
        <v>0.64836528628226564</v>
      </c>
    </row>
    <row r="188" spans="1:1" x14ac:dyDescent="0.3">
      <c r="A188">
        <f t="shared" ca="1" si="2"/>
        <v>1.0845592606474876</v>
      </c>
    </row>
    <row r="189" spans="1:1" x14ac:dyDescent="0.3">
      <c r="A189">
        <f t="shared" ca="1" si="2"/>
        <v>2.1183074262552313</v>
      </c>
    </row>
    <row r="190" spans="1:1" x14ac:dyDescent="0.3">
      <c r="A190">
        <f t="shared" ca="1" si="2"/>
        <v>-0.87471075785238728</v>
      </c>
    </row>
    <row r="191" spans="1:1" x14ac:dyDescent="0.3">
      <c r="A191">
        <f t="shared" ca="1" si="2"/>
        <v>-0.80907723514423779</v>
      </c>
    </row>
    <row r="192" spans="1:1" x14ac:dyDescent="0.3">
      <c r="A192">
        <f t="shared" ca="1" si="2"/>
        <v>-2.8912504780327621</v>
      </c>
    </row>
    <row r="193" spans="1:1" x14ac:dyDescent="0.3">
      <c r="A193">
        <f t="shared" ca="1" si="2"/>
        <v>-2.053336081305444</v>
      </c>
    </row>
    <row r="194" spans="1:1" x14ac:dyDescent="0.3">
      <c r="A194">
        <f t="shared" ref="A194:A257" ca="1" si="3">_xlfn.NORM.S.INV(RAND())</f>
        <v>-0.71450188587768637</v>
      </c>
    </row>
    <row r="195" spans="1:1" x14ac:dyDescent="0.3">
      <c r="A195">
        <f t="shared" ca="1" si="3"/>
        <v>0.46052317793417846</v>
      </c>
    </row>
    <row r="196" spans="1:1" x14ac:dyDescent="0.3">
      <c r="A196">
        <f t="shared" ca="1" si="3"/>
        <v>0.96185655724571029</v>
      </c>
    </row>
    <row r="197" spans="1:1" x14ac:dyDescent="0.3">
      <c r="A197">
        <f t="shared" ca="1" si="3"/>
        <v>-0.76295779529813523</v>
      </c>
    </row>
    <row r="198" spans="1:1" x14ac:dyDescent="0.3">
      <c r="A198">
        <f t="shared" ca="1" si="3"/>
        <v>-0.634766226601441</v>
      </c>
    </row>
    <row r="199" spans="1:1" x14ac:dyDescent="0.3">
      <c r="A199">
        <f t="shared" ca="1" si="3"/>
        <v>-1.5401501564997875</v>
      </c>
    </row>
    <row r="200" spans="1:1" x14ac:dyDescent="0.3">
      <c r="A200">
        <f t="shared" ca="1" si="3"/>
        <v>-0.21352853362797614</v>
      </c>
    </row>
    <row r="201" spans="1:1" x14ac:dyDescent="0.3">
      <c r="A201">
        <f t="shared" ca="1" si="3"/>
        <v>-0.92484978382863825</v>
      </c>
    </row>
    <row r="202" spans="1:1" x14ac:dyDescent="0.3">
      <c r="A202">
        <f t="shared" ca="1" si="3"/>
        <v>1.6839662364605934</v>
      </c>
    </row>
    <row r="203" spans="1:1" x14ac:dyDescent="0.3">
      <c r="A203">
        <f t="shared" ca="1" si="3"/>
        <v>7.5260128831433501E-2</v>
      </c>
    </row>
    <row r="204" spans="1:1" x14ac:dyDescent="0.3">
      <c r="A204">
        <f t="shared" ca="1" si="3"/>
        <v>-1.3085858263778953</v>
      </c>
    </row>
    <row r="205" spans="1:1" x14ac:dyDescent="0.3">
      <c r="A205">
        <f t="shared" ca="1" si="3"/>
        <v>-0.14655547082075948</v>
      </c>
    </row>
    <row r="206" spans="1:1" x14ac:dyDescent="0.3">
      <c r="A206">
        <f t="shared" ca="1" si="3"/>
        <v>1.0671711271751025</v>
      </c>
    </row>
    <row r="207" spans="1:1" x14ac:dyDescent="0.3">
      <c r="A207">
        <f t="shared" ca="1" si="3"/>
        <v>6.4007663476613783E-2</v>
      </c>
    </row>
    <row r="208" spans="1:1" x14ac:dyDescent="0.3">
      <c r="A208">
        <f t="shared" ca="1" si="3"/>
        <v>1.4201965194386574</v>
      </c>
    </row>
    <row r="209" spans="1:1" x14ac:dyDescent="0.3">
      <c r="A209">
        <f t="shared" ca="1" si="3"/>
        <v>0.94410210738937961</v>
      </c>
    </row>
    <row r="210" spans="1:1" x14ac:dyDescent="0.3">
      <c r="A210">
        <f t="shared" ca="1" si="3"/>
        <v>-0.60557394523764585</v>
      </c>
    </row>
    <row r="211" spans="1:1" x14ac:dyDescent="0.3">
      <c r="A211">
        <f t="shared" ca="1" si="3"/>
        <v>-3.1278116845796226E-2</v>
      </c>
    </row>
    <row r="212" spans="1:1" x14ac:dyDescent="0.3">
      <c r="A212">
        <f t="shared" ca="1" si="3"/>
        <v>1.2362631500211025</v>
      </c>
    </row>
    <row r="213" spans="1:1" x14ac:dyDescent="0.3">
      <c r="A213">
        <f t="shared" ca="1" si="3"/>
        <v>0.165773727416969</v>
      </c>
    </row>
    <row r="214" spans="1:1" x14ac:dyDescent="0.3">
      <c r="A214">
        <f t="shared" ca="1" si="3"/>
        <v>2.0119252841106108</v>
      </c>
    </row>
    <row r="215" spans="1:1" x14ac:dyDescent="0.3">
      <c r="A215">
        <f t="shared" ca="1" si="3"/>
        <v>-2.3992322972956979</v>
      </c>
    </row>
    <row r="216" spans="1:1" x14ac:dyDescent="0.3">
      <c r="A216">
        <f t="shared" ca="1" si="3"/>
        <v>-0.14935131233700291</v>
      </c>
    </row>
    <row r="217" spans="1:1" x14ac:dyDescent="0.3">
      <c r="A217">
        <f t="shared" ca="1" si="3"/>
        <v>0.11515976022137024</v>
      </c>
    </row>
    <row r="218" spans="1:1" x14ac:dyDescent="0.3">
      <c r="A218">
        <f t="shared" ca="1" si="3"/>
        <v>-6.3615322847042591E-2</v>
      </c>
    </row>
    <row r="219" spans="1:1" x14ac:dyDescent="0.3">
      <c r="A219">
        <f t="shared" ca="1" si="3"/>
        <v>-2.0006503579158039</v>
      </c>
    </row>
    <row r="220" spans="1:1" x14ac:dyDescent="0.3">
      <c r="A220">
        <f t="shared" ca="1" si="3"/>
        <v>0.75870015778048028</v>
      </c>
    </row>
    <row r="221" spans="1:1" x14ac:dyDescent="0.3">
      <c r="A221">
        <f t="shared" ca="1" si="3"/>
        <v>-0.60747884108419881</v>
      </c>
    </row>
    <row r="222" spans="1:1" x14ac:dyDescent="0.3">
      <c r="A222">
        <f t="shared" ca="1" si="3"/>
        <v>-1.1405135389541043</v>
      </c>
    </row>
    <row r="223" spans="1:1" x14ac:dyDescent="0.3">
      <c r="A223">
        <f t="shared" ca="1" si="3"/>
        <v>-1.5588853336028921</v>
      </c>
    </row>
    <row r="224" spans="1:1" x14ac:dyDescent="0.3">
      <c r="A224">
        <f t="shared" ca="1" si="3"/>
        <v>0.48604637380230253</v>
      </c>
    </row>
    <row r="225" spans="1:1" x14ac:dyDescent="0.3">
      <c r="A225">
        <f t="shared" ca="1" si="3"/>
        <v>1.1987151360573316</v>
      </c>
    </row>
    <row r="226" spans="1:1" x14ac:dyDescent="0.3">
      <c r="A226">
        <f t="shared" ca="1" si="3"/>
        <v>-0.99644660138525554</v>
      </c>
    </row>
    <row r="227" spans="1:1" x14ac:dyDescent="0.3">
      <c r="A227">
        <f t="shared" ca="1" si="3"/>
        <v>0.24784550468247307</v>
      </c>
    </row>
    <row r="228" spans="1:1" x14ac:dyDescent="0.3">
      <c r="A228">
        <f t="shared" ca="1" si="3"/>
        <v>0.12118501175059332</v>
      </c>
    </row>
    <row r="229" spans="1:1" x14ac:dyDescent="0.3">
      <c r="A229">
        <f t="shared" ca="1" si="3"/>
        <v>0.33997194204243769</v>
      </c>
    </row>
    <row r="230" spans="1:1" x14ac:dyDescent="0.3">
      <c r="A230">
        <f t="shared" ca="1" si="3"/>
        <v>2.1484624711019094</v>
      </c>
    </row>
    <row r="231" spans="1:1" x14ac:dyDescent="0.3">
      <c r="A231">
        <f t="shared" ca="1" si="3"/>
        <v>-0.53815024857558746</v>
      </c>
    </row>
    <row r="232" spans="1:1" x14ac:dyDescent="0.3">
      <c r="A232">
        <f t="shared" ca="1" si="3"/>
        <v>1.2365121138385</v>
      </c>
    </row>
    <row r="233" spans="1:1" x14ac:dyDescent="0.3">
      <c r="A233">
        <f t="shared" ca="1" si="3"/>
        <v>-0.26277583114390324</v>
      </c>
    </row>
    <row r="234" spans="1:1" x14ac:dyDescent="0.3">
      <c r="A234">
        <f t="shared" ca="1" si="3"/>
        <v>0.27609636224220291</v>
      </c>
    </row>
    <row r="235" spans="1:1" x14ac:dyDescent="0.3">
      <c r="A235">
        <f t="shared" ca="1" si="3"/>
        <v>-1.6201362476516538E-2</v>
      </c>
    </row>
    <row r="236" spans="1:1" x14ac:dyDescent="0.3">
      <c r="A236">
        <f t="shared" ca="1" si="3"/>
        <v>-0.17007136808281972</v>
      </c>
    </row>
    <row r="237" spans="1:1" x14ac:dyDescent="0.3">
      <c r="A237">
        <f t="shared" ca="1" si="3"/>
        <v>-1.9295096635304294</v>
      </c>
    </row>
    <row r="238" spans="1:1" x14ac:dyDescent="0.3">
      <c r="A238">
        <f t="shared" ca="1" si="3"/>
        <v>-0.39671737630503479</v>
      </c>
    </row>
    <row r="239" spans="1:1" x14ac:dyDescent="0.3">
      <c r="A239">
        <f t="shared" ca="1" si="3"/>
        <v>-0.16395131493497833</v>
      </c>
    </row>
    <row r="240" spans="1:1" x14ac:dyDescent="0.3">
      <c r="A240">
        <f t="shared" ca="1" si="3"/>
        <v>0.85945759292314783</v>
      </c>
    </row>
    <row r="241" spans="1:1" x14ac:dyDescent="0.3">
      <c r="A241">
        <f t="shared" ca="1" si="3"/>
        <v>0.6172531864973545</v>
      </c>
    </row>
    <row r="242" spans="1:1" x14ac:dyDescent="0.3">
      <c r="A242">
        <f t="shared" ca="1" si="3"/>
        <v>2.1958365347569022</v>
      </c>
    </row>
    <row r="243" spans="1:1" x14ac:dyDescent="0.3">
      <c r="A243">
        <f t="shared" ca="1" si="3"/>
        <v>1.2361904441937486</v>
      </c>
    </row>
    <row r="244" spans="1:1" x14ac:dyDescent="0.3">
      <c r="A244">
        <f t="shared" ca="1" si="3"/>
        <v>0.12167811554234795</v>
      </c>
    </row>
    <row r="245" spans="1:1" x14ac:dyDescent="0.3">
      <c r="A245">
        <f t="shared" ca="1" si="3"/>
        <v>-0.84217625830323417</v>
      </c>
    </row>
    <row r="246" spans="1:1" x14ac:dyDescent="0.3">
      <c r="A246">
        <f t="shared" ca="1" si="3"/>
        <v>0.55650816185322183</v>
      </c>
    </row>
    <row r="247" spans="1:1" x14ac:dyDescent="0.3">
      <c r="A247">
        <f t="shared" ca="1" si="3"/>
        <v>-0.17543170107870393</v>
      </c>
    </row>
    <row r="248" spans="1:1" x14ac:dyDescent="0.3">
      <c r="A248">
        <f t="shared" ca="1" si="3"/>
        <v>0.24930404160634512</v>
      </c>
    </row>
    <row r="249" spans="1:1" x14ac:dyDescent="0.3">
      <c r="A249">
        <f t="shared" ca="1" si="3"/>
        <v>-0.87631060996227184</v>
      </c>
    </row>
    <row r="250" spans="1:1" x14ac:dyDescent="0.3">
      <c r="A250">
        <f t="shared" ca="1" si="3"/>
        <v>-0.75873378741396935</v>
      </c>
    </row>
    <row r="251" spans="1:1" x14ac:dyDescent="0.3">
      <c r="A251">
        <f t="shared" ca="1" si="3"/>
        <v>4.2212699241081696E-2</v>
      </c>
    </row>
    <row r="252" spans="1:1" x14ac:dyDescent="0.3">
      <c r="A252">
        <f t="shared" ca="1" si="3"/>
        <v>-1.1978202326868124</v>
      </c>
    </row>
    <row r="253" spans="1:1" x14ac:dyDescent="0.3">
      <c r="A253">
        <f t="shared" ca="1" si="3"/>
        <v>-1.6739404421564277</v>
      </c>
    </row>
    <row r="254" spans="1:1" x14ac:dyDescent="0.3">
      <c r="A254">
        <f t="shared" ca="1" si="3"/>
        <v>-1.1707433901499316</v>
      </c>
    </row>
    <row r="255" spans="1:1" x14ac:dyDescent="0.3">
      <c r="A255">
        <f t="shared" ca="1" si="3"/>
        <v>-0.18668855703023327</v>
      </c>
    </row>
    <row r="256" spans="1:1" x14ac:dyDescent="0.3">
      <c r="A256">
        <f t="shared" ca="1" si="3"/>
        <v>1.7453013100972061</v>
      </c>
    </row>
    <row r="257" spans="1:1" x14ac:dyDescent="0.3">
      <c r="A257">
        <f t="shared" ca="1" si="3"/>
        <v>1.1934338309755514</v>
      </c>
    </row>
    <row r="258" spans="1:1" x14ac:dyDescent="0.3">
      <c r="A258">
        <f t="shared" ref="A258:A321" ca="1" si="4">_xlfn.NORM.S.INV(RAND())</f>
        <v>1.9651470683822418</v>
      </c>
    </row>
    <row r="259" spans="1:1" x14ac:dyDescent="0.3">
      <c r="A259">
        <f t="shared" ca="1" si="4"/>
        <v>1.5774032738497372</v>
      </c>
    </row>
    <row r="260" spans="1:1" x14ac:dyDescent="0.3">
      <c r="A260">
        <f t="shared" ca="1" si="4"/>
        <v>2.8688189488275666E-2</v>
      </c>
    </row>
    <row r="261" spans="1:1" x14ac:dyDescent="0.3">
      <c r="A261">
        <f t="shared" ca="1" si="4"/>
        <v>-1.6303211987616397</v>
      </c>
    </row>
    <row r="262" spans="1:1" x14ac:dyDescent="0.3">
      <c r="A262">
        <f t="shared" ca="1" si="4"/>
        <v>0.52700355292725043</v>
      </c>
    </row>
    <row r="263" spans="1:1" x14ac:dyDescent="0.3">
      <c r="A263">
        <f t="shared" ca="1" si="4"/>
        <v>1.646297094520212</v>
      </c>
    </row>
    <row r="264" spans="1:1" x14ac:dyDescent="0.3">
      <c r="A264">
        <f t="shared" ca="1" si="4"/>
        <v>-1.3337109051196188</v>
      </c>
    </row>
    <row r="265" spans="1:1" x14ac:dyDescent="0.3">
      <c r="A265">
        <f t="shared" ca="1" si="4"/>
        <v>-0.87993148970214896</v>
      </c>
    </row>
    <row r="266" spans="1:1" x14ac:dyDescent="0.3">
      <c r="A266">
        <f t="shared" ca="1" si="4"/>
        <v>0.58135475398269287</v>
      </c>
    </row>
    <row r="267" spans="1:1" x14ac:dyDescent="0.3">
      <c r="A267">
        <f t="shared" ca="1" si="4"/>
        <v>-0.23155546262337021</v>
      </c>
    </row>
    <row r="268" spans="1:1" x14ac:dyDescent="0.3">
      <c r="A268">
        <f t="shared" ca="1" si="4"/>
        <v>-1.2373819196367049</v>
      </c>
    </row>
    <row r="269" spans="1:1" x14ac:dyDescent="0.3">
      <c r="A269">
        <f t="shared" ca="1" si="4"/>
        <v>-0.40029298231488775</v>
      </c>
    </row>
    <row r="270" spans="1:1" x14ac:dyDescent="0.3">
      <c r="A270">
        <f t="shared" ca="1" si="4"/>
        <v>-1.3311447462896777</v>
      </c>
    </row>
    <row r="271" spans="1:1" x14ac:dyDescent="0.3">
      <c r="A271">
        <f t="shared" ca="1" si="4"/>
        <v>-0.99131689936294731</v>
      </c>
    </row>
    <row r="272" spans="1:1" x14ac:dyDescent="0.3">
      <c r="A272">
        <f t="shared" ca="1" si="4"/>
        <v>-0.30147808400060899</v>
      </c>
    </row>
    <row r="273" spans="1:1" x14ac:dyDescent="0.3">
      <c r="A273">
        <f t="shared" ca="1" si="4"/>
        <v>0.17747375268095575</v>
      </c>
    </row>
    <row r="274" spans="1:1" x14ac:dyDescent="0.3">
      <c r="A274">
        <f t="shared" ca="1" si="4"/>
        <v>-0.32824074238965489</v>
      </c>
    </row>
    <row r="275" spans="1:1" x14ac:dyDescent="0.3">
      <c r="A275">
        <f t="shared" ca="1" si="4"/>
        <v>-0.8193383455093487</v>
      </c>
    </row>
    <row r="276" spans="1:1" x14ac:dyDescent="0.3">
      <c r="A276">
        <f t="shared" ca="1" si="4"/>
        <v>1.8894661598159574</v>
      </c>
    </row>
    <row r="277" spans="1:1" x14ac:dyDescent="0.3">
      <c r="A277">
        <f t="shared" ca="1" si="4"/>
        <v>-0.78000452663435738</v>
      </c>
    </row>
    <row r="278" spans="1:1" x14ac:dyDescent="0.3">
      <c r="A278">
        <f t="shared" ca="1" si="4"/>
        <v>-0.57726546455643613</v>
      </c>
    </row>
    <row r="279" spans="1:1" x14ac:dyDescent="0.3">
      <c r="A279">
        <f t="shared" ca="1" si="4"/>
        <v>-0.17016295076288926</v>
      </c>
    </row>
    <row r="280" spans="1:1" x14ac:dyDescent="0.3">
      <c r="A280">
        <f t="shared" ca="1" si="4"/>
        <v>1.8190450618805625</v>
      </c>
    </row>
    <row r="281" spans="1:1" x14ac:dyDescent="0.3">
      <c r="A281">
        <f t="shared" ca="1" si="4"/>
        <v>0.53105082297938433</v>
      </c>
    </row>
    <row r="282" spans="1:1" x14ac:dyDescent="0.3">
      <c r="A282">
        <f t="shared" ca="1" si="4"/>
        <v>0.8441610091783408</v>
      </c>
    </row>
    <row r="283" spans="1:1" x14ac:dyDescent="0.3">
      <c r="A283">
        <f t="shared" ca="1" si="4"/>
        <v>-1.0726589682590368</v>
      </c>
    </row>
    <row r="284" spans="1:1" x14ac:dyDescent="0.3">
      <c r="A284">
        <f t="shared" ca="1" si="4"/>
        <v>0.68861384410039084</v>
      </c>
    </row>
    <row r="285" spans="1:1" x14ac:dyDescent="0.3">
      <c r="A285">
        <f t="shared" ca="1" si="4"/>
        <v>1.0310531138304437</v>
      </c>
    </row>
    <row r="286" spans="1:1" x14ac:dyDescent="0.3">
      <c r="A286">
        <f t="shared" ca="1" si="4"/>
        <v>2.7614013203580079</v>
      </c>
    </row>
    <row r="287" spans="1:1" x14ac:dyDescent="0.3">
      <c r="A287">
        <f t="shared" ca="1" si="4"/>
        <v>-0.31251787823038796</v>
      </c>
    </row>
    <row r="288" spans="1:1" x14ac:dyDescent="0.3">
      <c r="A288">
        <f t="shared" ca="1" si="4"/>
        <v>0.82370801322519316</v>
      </c>
    </row>
    <row r="289" spans="1:1" x14ac:dyDescent="0.3">
      <c r="A289">
        <f t="shared" ca="1" si="4"/>
        <v>0.92476229740192262</v>
      </c>
    </row>
    <row r="290" spans="1:1" x14ac:dyDescent="0.3">
      <c r="A290">
        <f t="shared" ca="1" si="4"/>
        <v>2.4153776698216296</v>
      </c>
    </row>
    <row r="291" spans="1:1" x14ac:dyDescent="0.3">
      <c r="A291">
        <f t="shared" ca="1" si="4"/>
        <v>2.070618406644642</v>
      </c>
    </row>
    <row r="292" spans="1:1" x14ac:dyDescent="0.3">
      <c r="A292">
        <f t="shared" ca="1" si="4"/>
        <v>0.26437176438065713</v>
      </c>
    </row>
    <row r="293" spans="1:1" x14ac:dyDescent="0.3">
      <c r="A293">
        <f t="shared" ca="1" si="4"/>
        <v>-0.49323169958923713</v>
      </c>
    </row>
    <row r="294" spans="1:1" x14ac:dyDescent="0.3">
      <c r="A294">
        <f t="shared" ca="1" si="4"/>
        <v>1.0006781008442964</v>
      </c>
    </row>
    <row r="295" spans="1:1" x14ac:dyDescent="0.3">
      <c r="A295">
        <f t="shared" ca="1" si="4"/>
        <v>0.23521218217775988</v>
      </c>
    </row>
    <row r="296" spans="1:1" x14ac:dyDescent="0.3">
      <c r="A296">
        <f t="shared" ca="1" si="4"/>
        <v>-0.99047774785020437</v>
      </c>
    </row>
    <row r="297" spans="1:1" x14ac:dyDescent="0.3">
      <c r="A297">
        <f t="shared" ca="1" si="4"/>
        <v>0.16757056894346165</v>
      </c>
    </row>
    <row r="298" spans="1:1" x14ac:dyDescent="0.3">
      <c r="A298">
        <f t="shared" ca="1" si="4"/>
        <v>1.428985624047602</v>
      </c>
    </row>
    <row r="299" spans="1:1" x14ac:dyDescent="0.3">
      <c r="A299">
        <f t="shared" ca="1" si="4"/>
        <v>-0.60986705541861663</v>
      </c>
    </row>
    <row r="300" spans="1:1" x14ac:dyDescent="0.3">
      <c r="A300">
        <f t="shared" ca="1" si="4"/>
        <v>1.2462677859789775</v>
      </c>
    </row>
    <row r="301" spans="1:1" x14ac:dyDescent="0.3">
      <c r="A301">
        <f t="shared" ca="1" si="4"/>
        <v>1.3612200223514657</v>
      </c>
    </row>
    <row r="302" spans="1:1" x14ac:dyDescent="0.3">
      <c r="A302">
        <f t="shared" ca="1" si="4"/>
        <v>0.14087453068916367</v>
      </c>
    </row>
    <row r="303" spans="1:1" x14ac:dyDescent="0.3">
      <c r="A303">
        <f t="shared" ca="1" si="4"/>
        <v>0.26180822673444137</v>
      </c>
    </row>
    <row r="304" spans="1:1" x14ac:dyDescent="0.3">
      <c r="A304">
        <f t="shared" ca="1" si="4"/>
        <v>0.95157492137122823</v>
      </c>
    </row>
    <row r="305" spans="1:1" x14ac:dyDescent="0.3">
      <c r="A305">
        <f t="shared" ca="1" si="4"/>
        <v>0.67495860275569775</v>
      </c>
    </row>
    <row r="306" spans="1:1" x14ac:dyDescent="0.3">
      <c r="A306">
        <f t="shared" ca="1" si="4"/>
        <v>0.60228715868188554</v>
      </c>
    </row>
    <row r="307" spans="1:1" x14ac:dyDescent="0.3">
      <c r="A307">
        <f t="shared" ca="1" si="4"/>
        <v>0.26059833724003606</v>
      </c>
    </row>
    <row r="308" spans="1:1" x14ac:dyDescent="0.3">
      <c r="A308">
        <f t="shared" ca="1" si="4"/>
        <v>-1.5800253715616059</v>
      </c>
    </row>
    <row r="309" spans="1:1" x14ac:dyDescent="0.3">
      <c r="A309">
        <f t="shared" ca="1" si="4"/>
        <v>-1.798740036698083</v>
      </c>
    </row>
    <row r="310" spans="1:1" x14ac:dyDescent="0.3">
      <c r="A310">
        <f t="shared" ca="1" si="4"/>
        <v>-1.1210312092886159</v>
      </c>
    </row>
    <row r="311" spans="1:1" x14ac:dyDescent="0.3">
      <c r="A311">
        <f t="shared" ca="1" si="4"/>
        <v>-0.52264354310530381</v>
      </c>
    </row>
    <row r="312" spans="1:1" x14ac:dyDescent="0.3">
      <c r="A312">
        <f t="shared" ca="1" si="4"/>
        <v>8.5096626709058112E-3</v>
      </c>
    </row>
    <row r="313" spans="1:1" x14ac:dyDescent="0.3">
      <c r="A313">
        <f t="shared" ca="1" si="4"/>
        <v>8.5337721337733069E-2</v>
      </c>
    </row>
    <row r="314" spans="1:1" x14ac:dyDescent="0.3">
      <c r="A314">
        <f t="shared" ca="1" si="4"/>
        <v>0.99271363296787318</v>
      </c>
    </row>
    <row r="315" spans="1:1" x14ac:dyDescent="0.3">
      <c r="A315">
        <f t="shared" ca="1" si="4"/>
        <v>0.12002333634838638</v>
      </c>
    </row>
    <row r="316" spans="1:1" x14ac:dyDescent="0.3">
      <c r="A316">
        <f t="shared" ca="1" si="4"/>
        <v>-3.0535678246892361E-2</v>
      </c>
    </row>
    <row r="317" spans="1:1" x14ac:dyDescent="0.3">
      <c r="A317">
        <f t="shared" ca="1" si="4"/>
        <v>-1.3368873771389316</v>
      </c>
    </row>
    <row r="318" spans="1:1" x14ac:dyDescent="0.3">
      <c r="A318">
        <f t="shared" ca="1" si="4"/>
        <v>1.1429703683106882</v>
      </c>
    </row>
    <row r="319" spans="1:1" x14ac:dyDescent="0.3">
      <c r="A319">
        <f t="shared" ca="1" si="4"/>
        <v>-1.3379450124516601</v>
      </c>
    </row>
    <row r="320" spans="1:1" x14ac:dyDescent="0.3">
      <c r="A320">
        <f t="shared" ca="1" si="4"/>
        <v>0.4468826168841647</v>
      </c>
    </row>
    <row r="321" spans="1:1" x14ac:dyDescent="0.3">
      <c r="A321">
        <f t="shared" ca="1" si="4"/>
        <v>1.7830713549559556</v>
      </c>
    </row>
    <row r="322" spans="1:1" x14ac:dyDescent="0.3">
      <c r="A322">
        <f t="shared" ref="A322:A385" ca="1" si="5">_xlfn.NORM.S.INV(RAND())</f>
        <v>0.8765124597450209</v>
      </c>
    </row>
    <row r="323" spans="1:1" x14ac:dyDescent="0.3">
      <c r="A323">
        <f t="shared" ca="1" si="5"/>
        <v>0.20775561367829751</v>
      </c>
    </row>
    <row r="324" spans="1:1" x14ac:dyDescent="0.3">
      <c r="A324">
        <f t="shared" ca="1" si="5"/>
        <v>1.0107100904818485</v>
      </c>
    </row>
    <row r="325" spans="1:1" x14ac:dyDescent="0.3">
      <c r="A325">
        <f t="shared" ca="1" si="5"/>
        <v>0.85367641310394804</v>
      </c>
    </row>
    <row r="326" spans="1:1" x14ac:dyDescent="0.3">
      <c r="A326">
        <f t="shared" ca="1" si="5"/>
        <v>2.9088157910806984</v>
      </c>
    </row>
    <row r="327" spans="1:1" x14ac:dyDescent="0.3">
      <c r="A327">
        <f t="shared" ca="1" si="5"/>
        <v>1.131226866528952</v>
      </c>
    </row>
    <row r="328" spans="1:1" x14ac:dyDescent="0.3">
      <c r="A328">
        <f t="shared" ca="1" si="5"/>
        <v>1.0988060151112453E-2</v>
      </c>
    </row>
    <row r="329" spans="1:1" x14ac:dyDescent="0.3">
      <c r="A329">
        <f t="shared" ca="1" si="5"/>
        <v>1.1358116511272001</v>
      </c>
    </row>
    <row r="330" spans="1:1" x14ac:dyDescent="0.3">
      <c r="A330">
        <f t="shared" ca="1" si="5"/>
        <v>-0.55776390817059818</v>
      </c>
    </row>
    <row r="331" spans="1:1" x14ac:dyDescent="0.3">
      <c r="A331">
        <f t="shared" ca="1" si="5"/>
        <v>0.2627334620962164</v>
      </c>
    </row>
    <row r="332" spans="1:1" x14ac:dyDescent="0.3">
      <c r="A332">
        <f t="shared" ca="1" si="5"/>
        <v>-1.7978581943772658</v>
      </c>
    </row>
    <row r="333" spans="1:1" x14ac:dyDescent="0.3">
      <c r="A333">
        <f t="shared" ca="1" si="5"/>
        <v>-0.55473609303940685</v>
      </c>
    </row>
    <row r="334" spans="1:1" x14ac:dyDescent="0.3">
      <c r="A334">
        <f t="shared" ca="1" si="5"/>
        <v>-1.2974833132697476</v>
      </c>
    </row>
    <row r="335" spans="1:1" x14ac:dyDescent="0.3">
      <c r="A335">
        <f t="shared" ca="1" si="5"/>
        <v>0.79154327642926159</v>
      </c>
    </row>
    <row r="336" spans="1:1" x14ac:dyDescent="0.3">
      <c r="A336">
        <f t="shared" ca="1" si="5"/>
        <v>1.002126886954517</v>
      </c>
    </row>
    <row r="337" spans="1:1" x14ac:dyDescent="0.3">
      <c r="A337">
        <f t="shared" ca="1" si="5"/>
        <v>0.21359321908770618</v>
      </c>
    </row>
    <row r="338" spans="1:1" x14ac:dyDescent="0.3">
      <c r="A338">
        <f t="shared" ca="1" si="5"/>
        <v>-0.50027586548974468</v>
      </c>
    </row>
    <row r="339" spans="1:1" x14ac:dyDescent="0.3">
      <c r="A339">
        <f t="shared" ca="1" si="5"/>
        <v>0.36608482921062246</v>
      </c>
    </row>
    <row r="340" spans="1:1" x14ac:dyDescent="0.3">
      <c r="A340">
        <f t="shared" ca="1" si="5"/>
        <v>-1.842933241495724</v>
      </c>
    </row>
    <row r="341" spans="1:1" x14ac:dyDescent="0.3">
      <c r="A341">
        <f t="shared" ca="1" si="5"/>
        <v>-0.13445911152453871</v>
      </c>
    </row>
    <row r="342" spans="1:1" x14ac:dyDescent="0.3">
      <c r="A342">
        <f t="shared" ca="1" si="5"/>
        <v>-1.3213870865513837</v>
      </c>
    </row>
    <row r="343" spans="1:1" x14ac:dyDescent="0.3">
      <c r="A343">
        <f t="shared" ca="1" si="5"/>
        <v>0.50394447062761427</v>
      </c>
    </row>
    <row r="344" spans="1:1" x14ac:dyDescent="0.3">
      <c r="A344">
        <f t="shared" ca="1" si="5"/>
        <v>0.61905373196159486</v>
      </c>
    </row>
    <row r="345" spans="1:1" x14ac:dyDescent="0.3">
      <c r="A345">
        <f t="shared" ca="1" si="5"/>
        <v>0.33749420395833513</v>
      </c>
    </row>
    <row r="346" spans="1:1" x14ac:dyDescent="0.3">
      <c r="A346">
        <f t="shared" ca="1" si="5"/>
        <v>0.76482874248150823</v>
      </c>
    </row>
    <row r="347" spans="1:1" x14ac:dyDescent="0.3">
      <c r="A347">
        <f t="shared" ca="1" si="5"/>
        <v>0.29954246605460172</v>
      </c>
    </row>
    <row r="348" spans="1:1" x14ac:dyDescent="0.3">
      <c r="A348">
        <f t="shared" ca="1" si="5"/>
        <v>-0.57263870697720509</v>
      </c>
    </row>
    <row r="349" spans="1:1" x14ac:dyDescent="0.3">
      <c r="A349">
        <f t="shared" ca="1" si="5"/>
        <v>-8.6137478822990582E-2</v>
      </c>
    </row>
    <row r="350" spans="1:1" x14ac:dyDescent="0.3">
      <c r="A350">
        <f t="shared" ca="1" si="5"/>
        <v>-0.64774637333496055</v>
      </c>
    </row>
    <row r="351" spans="1:1" x14ac:dyDescent="0.3">
      <c r="A351">
        <f t="shared" ca="1" si="5"/>
        <v>-0.9329785743766793</v>
      </c>
    </row>
    <row r="352" spans="1:1" x14ac:dyDescent="0.3">
      <c r="A352">
        <f t="shared" ca="1" si="5"/>
        <v>-0.85095414459806207</v>
      </c>
    </row>
    <row r="353" spans="1:1" x14ac:dyDescent="0.3">
      <c r="A353">
        <f t="shared" ca="1" si="5"/>
        <v>-8.7548202777712608E-2</v>
      </c>
    </row>
    <row r="354" spans="1:1" x14ac:dyDescent="0.3">
      <c r="A354">
        <f t="shared" ca="1" si="5"/>
        <v>-0.95313519736342034</v>
      </c>
    </row>
    <row r="355" spans="1:1" x14ac:dyDescent="0.3">
      <c r="A355">
        <f t="shared" ca="1" si="5"/>
        <v>0.6066668958294551</v>
      </c>
    </row>
    <row r="356" spans="1:1" x14ac:dyDescent="0.3">
      <c r="A356">
        <f t="shared" ca="1" si="5"/>
        <v>-0.65053214073046028</v>
      </c>
    </row>
    <row r="357" spans="1:1" x14ac:dyDescent="0.3">
      <c r="A357">
        <f t="shared" ca="1" si="5"/>
        <v>1.3389558271435895</v>
      </c>
    </row>
    <row r="358" spans="1:1" x14ac:dyDescent="0.3">
      <c r="A358">
        <f t="shared" ca="1" si="5"/>
        <v>0.34991712898095401</v>
      </c>
    </row>
    <row r="359" spans="1:1" x14ac:dyDescent="0.3">
      <c r="A359">
        <f t="shared" ca="1" si="5"/>
        <v>1.1090913052083626</v>
      </c>
    </row>
    <row r="360" spans="1:1" x14ac:dyDescent="0.3">
      <c r="A360">
        <f t="shared" ca="1" si="5"/>
        <v>0.11416033614036321</v>
      </c>
    </row>
    <row r="361" spans="1:1" x14ac:dyDescent="0.3">
      <c r="A361">
        <f t="shared" ca="1" si="5"/>
        <v>-0.80795642937403633</v>
      </c>
    </row>
    <row r="362" spans="1:1" x14ac:dyDescent="0.3">
      <c r="A362">
        <f t="shared" ca="1" si="5"/>
        <v>-1.0818448344003915</v>
      </c>
    </row>
    <row r="363" spans="1:1" x14ac:dyDescent="0.3">
      <c r="A363">
        <f t="shared" ca="1" si="5"/>
        <v>0.47733527658473196</v>
      </c>
    </row>
    <row r="364" spans="1:1" x14ac:dyDescent="0.3">
      <c r="A364">
        <f t="shared" ca="1" si="5"/>
        <v>0.35683973249677525</v>
      </c>
    </row>
    <row r="365" spans="1:1" x14ac:dyDescent="0.3">
      <c r="A365">
        <f t="shared" ca="1" si="5"/>
        <v>0.58790595372396914</v>
      </c>
    </row>
    <row r="366" spans="1:1" x14ac:dyDescent="0.3">
      <c r="A366">
        <f t="shared" ca="1" si="5"/>
        <v>-1.9610353570246854E-2</v>
      </c>
    </row>
    <row r="367" spans="1:1" x14ac:dyDescent="0.3">
      <c r="A367">
        <f t="shared" ca="1" si="5"/>
        <v>0.32696611892720062</v>
      </c>
    </row>
    <row r="368" spans="1:1" x14ac:dyDescent="0.3">
      <c r="A368">
        <f t="shared" ca="1" si="5"/>
        <v>1.638427479669891</v>
      </c>
    </row>
    <row r="369" spans="1:1" x14ac:dyDescent="0.3">
      <c r="A369">
        <f t="shared" ca="1" si="5"/>
        <v>-0.46153270973747701</v>
      </c>
    </row>
    <row r="370" spans="1:1" x14ac:dyDescent="0.3">
      <c r="A370">
        <f t="shared" ca="1" si="5"/>
        <v>0.50250547433645032</v>
      </c>
    </row>
    <row r="371" spans="1:1" x14ac:dyDescent="0.3">
      <c r="A371">
        <f t="shared" ca="1" si="5"/>
        <v>0.44827237968206152</v>
      </c>
    </row>
    <row r="372" spans="1:1" x14ac:dyDescent="0.3">
      <c r="A372">
        <f t="shared" ca="1" si="5"/>
        <v>-1.4453215987510244</v>
      </c>
    </row>
    <row r="373" spans="1:1" x14ac:dyDescent="0.3">
      <c r="A373">
        <f t="shared" ca="1" si="5"/>
        <v>1.413735028683476</v>
      </c>
    </row>
    <row r="374" spans="1:1" x14ac:dyDescent="0.3">
      <c r="A374">
        <f t="shared" ca="1" si="5"/>
        <v>-0.13694279013603863</v>
      </c>
    </row>
    <row r="375" spans="1:1" x14ac:dyDescent="0.3">
      <c r="A375">
        <f t="shared" ca="1" si="5"/>
        <v>0.31847590492413969</v>
      </c>
    </row>
    <row r="376" spans="1:1" x14ac:dyDescent="0.3">
      <c r="A376">
        <f t="shared" ca="1" si="5"/>
        <v>-0.44839399028067783</v>
      </c>
    </row>
    <row r="377" spans="1:1" x14ac:dyDescent="0.3">
      <c r="A377">
        <f t="shared" ca="1" si="5"/>
        <v>1.9648163446307325</v>
      </c>
    </row>
    <row r="378" spans="1:1" x14ac:dyDescent="0.3">
      <c r="A378">
        <f t="shared" ca="1" si="5"/>
        <v>-0.48972583824333077</v>
      </c>
    </row>
    <row r="379" spans="1:1" x14ac:dyDescent="0.3">
      <c r="A379">
        <f t="shared" ca="1" si="5"/>
        <v>0.23476118811314364</v>
      </c>
    </row>
    <row r="380" spans="1:1" x14ac:dyDescent="0.3">
      <c r="A380">
        <f t="shared" ca="1" si="5"/>
        <v>-0.72359606998107151</v>
      </c>
    </row>
    <row r="381" spans="1:1" x14ac:dyDescent="0.3">
      <c r="A381">
        <f t="shared" ca="1" si="5"/>
        <v>0.89587350810589084</v>
      </c>
    </row>
    <row r="382" spans="1:1" x14ac:dyDescent="0.3">
      <c r="A382">
        <f t="shared" ca="1" si="5"/>
        <v>0.43723178825286002</v>
      </c>
    </row>
    <row r="383" spans="1:1" x14ac:dyDescent="0.3">
      <c r="A383">
        <f t="shared" ca="1" si="5"/>
        <v>0.81544247422783922</v>
      </c>
    </row>
    <row r="384" spans="1:1" x14ac:dyDescent="0.3">
      <c r="A384">
        <f t="shared" ca="1" si="5"/>
        <v>-0.28304972594604172</v>
      </c>
    </row>
    <row r="385" spans="1:1" x14ac:dyDescent="0.3">
      <c r="A385">
        <f t="shared" ca="1" si="5"/>
        <v>1.2495262280232386</v>
      </c>
    </row>
    <row r="386" spans="1:1" x14ac:dyDescent="0.3">
      <c r="A386">
        <f t="shared" ref="A386:A449" ca="1" si="6">_xlfn.NORM.S.INV(RAND())</f>
        <v>1.8614874930681462</v>
      </c>
    </row>
    <row r="387" spans="1:1" x14ac:dyDescent="0.3">
      <c r="A387">
        <f t="shared" ca="1" si="6"/>
        <v>1.3609086657217151</v>
      </c>
    </row>
    <row r="388" spans="1:1" x14ac:dyDescent="0.3">
      <c r="A388">
        <f t="shared" ca="1" si="6"/>
        <v>1.4314186001451312</v>
      </c>
    </row>
    <row r="389" spans="1:1" x14ac:dyDescent="0.3">
      <c r="A389">
        <f t="shared" ca="1" si="6"/>
        <v>5.8109912606008569E-2</v>
      </c>
    </row>
    <row r="390" spans="1:1" x14ac:dyDescent="0.3">
      <c r="A390">
        <f t="shared" ca="1" si="6"/>
        <v>8.0030961420004598E-2</v>
      </c>
    </row>
    <row r="391" spans="1:1" x14ac:dyDescent="0.3">
      <c r="A391">
        <f t="shared" ca="1" si="6"/>
        <v>0.28660168468436076</v>
      </c>
    </row>
    <row r="392" spans="1:1" x14ac:dyDescent="0.3">
      <c r="A392">
        <f t="shared" ca="1" si="6"/>
        <v>-0.41303068353048794</v>
      </c>
    </row>
    <row r="393" spans="1:1" x14ac:dyDescent="0.3">
      <c r="A393">
        <f t="shared" ca="1" si="6"/>
        <v>-0.57738099116567165</v>
      </c>
    </row>
    <row r="394" spans="1:1" x14ac:dyDescent="0.3">
      <c r="A394">
        <f t="shared" ca="1" si="6"/>
        <v>-1.0498639513313872</v>
      </c>
    </row>
    <row r="395" spans="1:1" x14ac:dyDescent="0.3">
      <c r="A395">
        <f t="shared" ca="1" si="6"/>
        <v>0.64335927813087501</v>
      </c>
    </row>
    <row r="396" spans="1:1" x14ac:dyDescent="0.3">
      <c r="A396">
        <f t="shared" ca="1" si="6"/>
        <v>0.59763560130486282</v>
      </c>
    </row>
    <row r="397" spans="1:1" x14ac:dyDescent="0.3">
      <c r="A397">
        <f t="shared" ca="1" si="6"/>
        <v>0.59664312642334383</v>
      </c>
    </row>
    <row r="398" spans="1:1" x14ac:dyDescent="0.3">
      <c r="A398">
        <f t="shared" ca="1" si="6"/>
        <v>-0.85005887189157703</v>
      </c>
    </row>
    <row r="399" spans="1:1" x14ac:dyDescent="0.3">
      <c r="A399">
        <f t="shared" ca="1" si="6"/>
        <v>-2.0916460759014592E-2</v>
      </c>
    </row>
    <row r="400" spans="1:1" x14ac:dyDescent="0.3">
      <c r="A400">
        <f t="shared" ca="1" si="6"/>
        <v>6.9288269476315096E-3</v>
      </c>
    </row>
    <row r="401" spans="1:1" x14ac:dyDescent="0.3">
      <c r="A401">
        <f t="shared" ca="1" si="6"/>
        <v>-0.13896605868489553</v>
      </c>
    </row>
    <row r="402" spans="1:1" x14ac:dyDescent="0.3">
      <c r="A402">
        <f t="shared" ca="1" si="6"/>
        <v>-9.7737607728934875E-2</v>
      </c>
    </row>
    <row r="403" spans="1:1" x14ac:dyDescent="0.3">
      <c r="A403">
        <f t="shared" ca="1" si="6"/>
        <v>1.0737053928651168</v>
      </c>
    </row>
    <row r="404" spans="1:1" x14ac:dyDescent="0.3">
      <c r="A404">
        <f t="shared" ca="1" si="6"/>
        <v>0.97722260101909719</v>
      </c>
    </row>
    <row r="405" spans="1:1" x14ac:dyDescent="0.3">
      <c r="A405">
        <f t="shared" ca="1" si="6"/>
        <v>0.35882426441000426</v>
      </c>
    </row>
    <row r="406" spans="1:1" x14ac:dyDescent="0.3">
      <c r="A406">
        <f t="shared" ca="1" si="6"/>
        <v>0.67979421490188074</v>
      </c>
    </row>
    <row r="407" spans="1:1" x14ac:dyDescent="0.3">
      <c r="A407">
        <f t="shared" ca="1" si="6"/>
        <v>0.97795919514819729</v>
      </c>
    </row>
    <row r="408" spans="1:1" x14ac:dyDescent="0.3">
      <c r="A408">
        <f t="shared" ca="1" si="6"/>
        <v>0.36722109681774073</v>
      </c>
    </row>
    <row r="409" spans="1:1" x14ac:dyDescent="0.3">
      <c r="A409">
        <f t="shared" ca="1" si="6"/>
        <v>-3.6948436500823391E-2</v>
      </c>
    </row>
    <row r="410" spans="1:1" x14ac:dyDescent="0.3">
      <c r="A410">
        <f t="shared" ca="1" si="6"/>
        <v>0.70844858451118164</v>
      </c>
    </row>
    <row r="411" spans="1:1" x14ac:dyDescent="0.3">
      <c r="A411">
        <f t="shared" ca="1" si="6"/>
        <v>0.58237395829349492</v>
      </c>
    </row>
    <row r="412" spans="1:1" x14ac:dyDescent="0.3">
      <c r="A412">
        <f t="shared" ca="1" si="6"/>
        <v>0.57939556424304273</v>
      </c>
    </row>
    <row r="413" spans="1:1" x14ac:dyDescent="0.3">
      <c r="A413">
        <f t="shared" ca="1" si="6"/>
        <v>-0.43071465114013646</v>
      </c>
    </row>
    <row r="414" spans="1:1" x14ac:dyDescent="0.3">
      <c r="A414">
        <f t="shared" ca="1" si="6"/>
        <v>-0.73889895189433652</v>
      </c>
    </row>
    <row r="415" spans="1:1" x14ac:dyDescent="0.3">
      <c r="A415">
        <f t="shared" ca="1" si="6"/>
        <v>-9.6739147599152267E-2</v>
      </c>
    </row>
    <row r="416" spans="1:1" x14ac:dyDescent="0.3">
      <c r="A416">
        <f t="shared" ca="1" si="6"/>
        <v>0.39909421539012485</v>
      </c>
    </row>
    <row r="417" spans="1:1" x14ac:dyDescent="0.3">
      <c r="A417">
        <f t="shared" ca="1" si="6"/>
        <v>-0.85364799527110258</v>
      </c>
    </row>
    <row r="418" spans="1:1" x14ac:dyDescent="0.3">
      <c r="A418">
        <f t="shared" ca="1" si="6"/>
        <v>-0.2967734919446825</v>
      </c>
    </row>
    <row r="419" spans="1:1" x14ac:dyDescent="0.3">
      <c r="A419">
        <f t="shared" ca="1" si="6"/>
        <v>1.4595745651960608</v>
      </c>
    </row>
    <row r="420" spans="1:1" x14ac:dyDescent="0.3">
      <c r="A420">
        <f t="shared" ca="1" si="6"/>
        <v>-6.4279788513400382E-2</v>
      </c>
    </row>
    <row r="421" spans="1:1" x14ac:dyDescent="0.3">
      <c r="A421">
        <f t="shared" ca="1" si="6"/>
        <v>-0.86777983859972652</v>
      </c>
    </row>
    <row r="422" spans="1:1" x14ac:dyDescent="0.3">
      <c r="A422">
        <f t="shared" ca="1" si="6"/>
        <v>1.4610582272000046</v>
      </c>
    </row>
    <row r="423" spans="1:1" x14ac:dyDescent="0.3">
      <c r="A423">
        <f t="shared" ca="1" si="6"/>
        <v>-0.48830906479778302</v>
      </c>
    </row>
    <row r="424" spans="1:1" x14ac:dyDescent="0.3">
      <c r="A424">
        <f t="shared" ca="1" si="6"/>
        <v>-0.3569646273949833</v>
      </c>
    </row>
    <row r="425" spans="1:1" x14ac:dyDescent="0.3">
      <c r="A425">
        <f t="shared" ca="1" si="6"/>
        <v>0.55873302728823826</v>
      </c>
    </row>
    <row r="426" spans="1:1" x14ac:dyDescent="0.3">
      <c r="A426">
        <f t="shared" ca="1" si="6"/>
        <v>0.47894322608019768</v>
      </c>
    </row>
    <row r="427" spans="1:1" x14ac:dyDescent="0.3">
      <c r="A427">
        <f t="shared" ca="1" si="6"/>
        <v>-9.4109681273090426E-2</v>
      </c>
    </row>
    <row r="428" spans="1:1" x14ac:dyDescent="0.3">
      <c r="A428">
        <f t="shared" ca="1" si="6"/>
        <v>-1.1636081495489068</v>
      </c>
    </row>
    <row r="429" spans="1:1" x14ac:dyDescent="0.3">
      <c r="A429">
        <f t="shared" ca="1" si="6"/>
        <v>1.7006947736367959</v>
      </c>
    </row>
    <row r="430" spans="1:1" x14ac:dyDescent="0.3">
      <c r="A430">
        <f t="shared" ca="1" si="6"/>
        <v>1.844331784754377</v>
      </c>
    </row>
    <row r="431" spans="1:1" x14ac:dyDescent="0.3">
      <c r="A431">
        <f t="shared" ca="1" si="6"/>
        <v>2.6657412474858888</v>
      </c>
    </row>
    <row r="432" spans="1:1" x14ac:dyDescent="0.3">
      <c r="A432">
        <f t="shared" ca="1" si="6"/>
        <v>1.5701563432671208</v>
      </c>
    </row>
    <row r="433" spans="1:1" x14ac:dyDescent="0.3">
      <c r="A433">
        <f t="shared" ca="1" si="6"/>
        <v>0.78224723889784453</v>
      </c>
    </row>
    <row r="434" spans="1:1" x14ac:dyDescent="0.3">
      <c r="A434">
        <f t="shared" ca="1" si="6"/>
        <v>0.94698333250995359</v>
      </c>
    </row>
    <row r="435" spans="1:1" x14ac:dyDescent="0.3">
      <c r="A435">
        <f t="shared" ca="1" si="6"/>
        <v>0.50182307324083397</v>
      </c>
    </row>
    <row r="436" spans="1:1" x14ac:dyDescent="0.3">
      <c r="A436">
        <f t="shared" ca="1" si="6"/>
        <v>-0.57642773100833866</v>
      </c>
    </row>
    <row r="437" spans="1:1" x14ac:dyDescent="0.3">
      <c r="A437">
        <f t="shared" ca="1" si="6"/>
        <v>0.81675621866366843</v>
      </c>
    </row>
    <row r="438" spans="1:1" x14ac:dyDescent="0.3">
      <c r="A438">
        <f t="shared" ca="1" si="6"/>
        <v>-1.021763590550431</v>
      </c>
    </row>
    <row r="439" spans="1:1" x14ac:dyDescent="0.3">
      <c r="A439">
        <f t="shared" ca="1" si="6"/>
        <v>-0.62934096121750793</v>
      </c>
    </row>
    <row r="440" spans="1:1" x14ac:dyDescent="0.3">
      <c r="A440">
        <f t="shared" ca="1" si="6"/>
        <v>0.99693041344165967</v>
      </c>
    </row>
    <row r="441" spans="1:1" x14ac:dyDescent="0.3">
      <c r="A441">
        <f t="shared" ca="1" si="6"/>
        <v>1.0639339666590577</v>
      </c>
    </row>
    <row r="442" spans="1:1" x14ac:dyDescent="0.3">
      <c r="A442">
        <f t="shared" ca="1" si="6"/>
        <v>0.50939212801799572</v>
      </c>
    </row>
    <row r="443" spans="1:1" x14ac:dyDescent="0.3">
      <c r="A443">
        <f t="shared" ca="1" si="6"/>
        <v>0.3455453678909377</v>
      </c>
    </row>
    <row r="444" spans="1:1" x14ac:dyDescent="0.3">
      <c r="A444">
        <f t="shared" ca="1" si="6"/>
        <v>-0.3067281549998635</v>
      </c>
    </row>
    <row r="445" spans="1:1" x14ac:dyDescent="0.3">
      <c r="A445">
        <f t="shared" ca="1" si="6"/>
        <v>0.7066038804441479</v>
      </c>
    </row>
    <row r="446" spans="1:1" x14ac:dyDescent="0.3">
      <c r="A446">
        <f t="shared" ca="1" si="6"/>
        <v>-1.3315024909064377</v>
      </c>
    </row>
    <row r="447" spans="1:1" x14ac:dyDescent="0.3">
      <c r="A447">
        <f t="shared" ca="1" si="6"/>
        <v>4.5884752676438642E-2</v>
      </c>
    </row>
    <row r="448" spans="1:1" x14ac:dyDescent="0.3">
      <c r="A448">
        <f t="shared" ca="1" si="6"/>
        <v>-0.50926543595429841</v>
      </c>
    </row>
    <row r="449" spans="1:1" x14ac:dyDescent="0.3">
      <c r="A449">
        <f t="shared" ca="1" si="6"/>
        <v>-1.0705655278017085</v>
      </c>
    </row>
    <row r="450" spans="1:1" x14ac:dyDescent="0.3">
      <c r="A450">
        <f t="shared" ref="A450:A508" ca="1" si="7">_xlfn.NORM.S.INV(RAND())</f>
        <v>-0.56018051771098187</v>
      </c>
    </row>
    <row r="451" spans="1:1" x14ac:dyDescent="0.3">
      <c r="A451">
        <f t="shared" ca="1" si="7"/>
        <v>0.17818991120581348</v>
      </c>
    </row>
    <row r="452" spans="1:1" x14ac:dyDescent="0.3">
      <c r="A452">
        <f t="shared" ca="1" si="7"/>
        <v>0.73643443130270314</v>
      </c>
    </row>
    <row r="453" spans="1:1" x14ac:dyDescent="0.3">
      <c r="A453">
        <f t="shared" ca="1" si="7"/>
        <v>-0.96369657826366795</v>
      </c>
    </row>
    <row r="454" spans="1:1" x14ac:dyDescent="0.3">
      <c r="A454">
        <f t="shared" ca="1" si="7"/>
        <v>-0.61636109219468704</v>
      </c>
    </row>
    <row r="455" spans="1:1" x14ac:dyDescent="0.3">
      <c r="A455">
        <f t="shared" ca="1" si="7"/>
        <v>-0.55042170309322547</v>
      </c>
    </row>
    <row r="456" spans="1:1" x14ac:dyDescent="0.3">
      <c r="A456">
        <f t="shared" ca="1" si="7"/>
        <v>0.26581781544687766</v>
      </c>
    </row>
    <row r="457" spans="1:1" x14ac:dyDescent="0.3">
      <c r="A457">
        <f t="shared" ca="1" si="7"/>
        <v>1.8297950544402399</v>
      </c>
    </row>
    <row r="458" spans="1:1" x14ac:dyDescent="0.3">
      <c r="A458">
        <f t="shared" ca="1" si="7"/>
        <v>0.97012964926842216</v>
      </c>
    </row>
    <row r="459" spans="1:1" x14ac:dyDescent="0.3">
      <c r="A459">
        <f t="shared" ca="1" si="7"/>
        <v>-1.5915039869917695</v>
      </c>
    </row>
    <row r="460" spans="1:1" x14ac:dyDescent="0.3">
      <c r="A460">
        <f t="shared" ca="1" si="7"/>
        <v>-2.757163837744447</v>
      </c>
    </row>
    <row r="461" spans="1:1" x14ac:dyDescent="0.3">
      <c r="A461">
        <f t="shared" ca="1" si="7"/>
        <v>1.5795341228536441</v>
      </c>
    </row>
    <row r="462" spans="1:1" x14ac:dyDescent="0.3">
      <c r="A462">
        <f t="shared" ca="1" si="7"/>
        <v>0.15828116818058124</v>
      </c>
    </row>
    <row r="463" spans="1:1" x14ac:dyDescent="0.3">
      <c r="A463">
        <f t="shared" ca="1" si="7"/>
        <v>1.447758666387732</v>
      </c>
    </row>
    <row r="464" spans="1:1" x14ac:dyDescent="0.3">
      <c r="A464">
        <f t="shared" ca="1" si="7"/>
        <v>0.92106579827576918</v>
      </c>
    </row>
    <row r="465" spans="1:1" x14ac:dyDescent="0.3">
      <c r="A465">
        <f t="shared" ca="1" si="7"/>
        <v>-0.34770421381560407</v>
      </c>
    </row>
    <row r="466" spans="1:1" x14ac:dyDescent="0.3">
      <c r="A466">
        <f t="shared" ca="1" si="7"/>
        <v>-0.17366454810304208</v>
      </c>
    </row>
    <row r="467" spans="1:1" x14ac:dyDescent="0.3">
      <c r="A467">
        <f t="shared" ca="1" si="7"/>
        <v>0.30282045651240641</v>
      </c>
    </row>
    <row r="468" spans="1:1" x14ac:dyDescent="0.3">
      <c r="A468">
        <f t="shared" ca="1" si="7"/>
        <v>8.0608871273989802E-2</v>
      </c>
    </row>
    <row r="469" spans="1:1" x14ac:dyDescent="0.3">
      <c r="A469">
        <f t="shared" ca="1" si="7"/>
        <v>1.0823602450239622</v>
      </c>
    </row>
    <row r="470" spans="1:1" x14ac:dyDescent="0.3">
      <c r="A470">
        <f t="shared" ca="1" si="7"/>
        <v>-0.69662614264189537</v>
      </c>
    </row>
    <row r="471" spans="1:1" x14ac:dyDescent="0.3">
      <c r="A471">
        <f t="shared" ca="1" si="7"/>
        <v>0.49927458030495814</v>
      </c>
    </row>
    <row r="472" spans="1:1" x14ac:dyDescent="0.3">
      <c r="A472">
        <f t="shared" ca="1" si="7"/>
        <v>0.17951201533254832</v>
      </c>
    </row>
    <row r="473" spans="1:1" x14ac:dyDescent="0.3">
      <c r="A473">
        <f t="shared" ca="1" si="7"/>
        <v>-0.80383622884156092</v>
      </c>
    </row>
    <row r="474" spans="1:1" x14ac:dyDescent="0.3">
      <c r="A474">
        <f t="shared" ca="1" si="7"/>
        <v>0.39001413025857656</v>
      </c>
    </row>
    <row r="475" spans="1:1" x14ac:dyDescent="0.3">
      <c r="A475">
        <f t="shared" ca="1" si="7"/>
        <v>0.16905651134049426</v>
      </c>
    </row>
    <row r="476" spans="1:1" x14ac:dyDescent="0.3">
      <c r="A476">
        <f t="shared" ca="1" si="7"/>
        <v>0.26270579333983496</v>
      </c>
    </row>
    <row r="477" spans="1:1" x14ac:dyDescent="0.3">
      <c r="A477">
        <f t="shared" ca="1" si="7"/>
        <v>-1.5042307125783039</v>
      </c>
    </row>
    <row r="478" spans="1:1" x14ac:dyDescent="0.3">
      <c r="A478">
        <f t="shared" ca="1" si="7"/>
        <v>-0.20428280008644181</v>
      </c>
    </row>
    <row r="479" spans="1:1" x14ac:dyDescent="0.3">
      <c r="A479">
        <f t="shared" ca="1" si="7"/>
        <v>-1.2989100070999946</v>
      </c>
    </row>
    <row r="480" spans="1:1" x14ac:dyDescent="0.3">
      <c r="A480">
        <f t="shared" ca="1" si="7"/>
        <v>-1.5178301237698615</v>
      </c>
    </row>
    <row r="481" spans="1:1" x14ac:dyDescent="0.3">
      <c r="A481">
        <f t="shared" ca="1" si="7"/>
        <v>-0.85761276014732091</v>
      </c>
    </row>
    <row r="482" spans="1:1" x14ac:dyDescent="0.3">
      <c r="A482">
        <f t="shared" ca="1" si="7"/>
        <v>-0.47892662894767796</v>
      </c>
    </row>
    <row r="483" spans="1:1" x14ac:dyDescent="0.3">
      <c r="A483">
        <f t="shared" ca="1" si="7"/>
        <v>-0.40049364838968404</v>
      </c>
    </row>
    <row r="484" spans="1:1" x14ac:dyDescent="0.3">
      <c r="A484">
        <f t="shared" ca="1" si="7"/>
        <v>-0.78429512891125597</v>
      </c>
    </row>
    <row r="485" spans="1:1" x14ac:dyDescent="0.3">
      <c r="A485">
        <f t="shared" ca="1" si="7"/>
        <v>0.73941606828055029</v>
      </c>
    </row>
    <row r="486" spans="1:1" x14ac:dyDescent="0.3">
      <c r="A486">
        <f t="shared" ca="1" si="7"/>
        <v>1.4957867053452025</v>
      </c>
    </row>
    <row r="487" spans="1:1" x14ac:dyDescent="0.3">
      <c r="A487">
        <f t="shared" ca="1" si="7"/>
        <v>-0.24244630822939103</v>
      </c>
    </row>
    <row r="488" spans="1:1" x14ac:dyDescent="0.3">
      <c r="A488">
        <f t="shared" ca="1" si="7"/>
        <v>0.17099144624261681</v>
      </c>
    </row>
    <row r="489" spans="1:1" x14ac:dyDescent="0.3">
      <c r="A489">
        <f t="shared" ca="1" si="7"/>
        <v>-0.4652966272414194</v>
      </c>
    </row>
    <row r="490" spans="1:1" x14ac:dyDescent="0.3">
      <c r="A490">
        <f t="shared" ca="1" si="7"/>
        <v>-0.67190938911060172</v>
      </c>
    </row>
    <row r="491" spans="1:1" x14ac:dyDescent="0.3">
      <c r="A491">
        <f t="shared" ca="1" si="7"/>
        <v>-1.2876944593896518</v>
      </c>
    </row>
    <row r="492" spans="1:1" x14ac:dyDescent="0.3">
      <c r="A492">
        <f t="shared" ca="1" si="7"/>
        <v>1.4105414445968516</v>
      </c>
    </row>
    <row r="493" spans="1:1" x14ac:dyDescent="0.3">
      <c r="A493">
        <f t="shared" ca="1" si="7"/>
        <v>-0.19417673142669545</v>
      </c>
    </row>
    <row r="494" spans="1:1" x14ac:dyDescent="0.3">
      <c r="A494">
        <f t="shared" ca="1" si="7"/>
        <v>-0.5095837241196568</v>
      </c>
    </row>
    <row r="495" spans="1:1" x14ac:dyDescent="0.3">
      <c r="A495">
        <f t="shared" ca="1" si="7"/>
        <v>-0.28360479576404191</v>
      </c>
    </row>
    <row r="496" spans="1:1" x14ac:dyDescent="0.3">
      <c r="A496">
        <f t="shared" ca="1" si="7"/>
        <v>0.10742293620287094</v>
      </c>
    </row>
    <row r="497" spans="1:1" x14ac:dyDescent="0.3">
      <c r="A497">
        <f t="shared" ca="1" si="7"/>
        <v>-0.28181573062922494</v>
      </c>
    </row>
    <row r="498" spans="1:1" x14ac:dyDescent="0.3">
      <c r="A498">
        <f t="shared" ca="1" si="7"/>
        <v>0.9851426765643001</v>
      </c>
    </row>
    <row r="499" spans="1:1" x14ac:dyDescent="0.3">
      <c r="A499">
        <f t="shared" ca="1" si="7"/>
        <v>-0.31286439117710357</v>
      </c>
    </row>
    <row r="500" spans="1:1" x14ac:dyDescent="0.3">
      <c r="A500">
        <f t="shared" ca="1" si="7"/>
        <v>0.58319820448312631</v>
      </c>
    </row>
    <row r="501" spans="1:1" x14ac:dyDescent="0.3">
      <c r="A501">
        <f t="shared" ca="1" si="7"/>
        <v>-2.8185381141062952E-2</v>
      </c>
    </row>
    <row r="502" spans="1:1" x14ac:dyDescent="0.3">
      <c r="A502">
        <f t="shared" ca="1" si="7"/>
        <v>-0.77926070086565968</v>
      </c>
    </row>
    <row r="503" spans="1:1" x14ac:dyDescent="0.3">
      <c r="A503">
        <f t="shared" ca="1" si="7"/>
        <v>0.95818088657882583</v>
      </c>
    </row>
    <row r="504" spans="1:1" x14ac:dyDescent="0.3">
      <c r="A504">
        <f t="shared" ca="1" si="7"/>
        <v>-0.51551479491722196</v>
      </c>
    </row>
    <row r="505" spans="1:1" x14ac:dyDescent="0.3">
      <c r="A505">
        <f t="shared" ca="1" si="7"/>
        <v>0.73008350860137694</v>
      </c>
    </row>
    <row r="506" spans="1:1" x14ac:dyDescent="0.3">
      <c r="A506">
        <f t="shared" ca="1" si="7"/>
        <v>-0.5073992874447063</v>
      </c>
    </row>
    <row r="507" spans="1:1" x14ac:dyDescent="0.3">
      <c r="A507">
        <f t="shared" ca="1" si="7"/>
        <v>0.30686389049662188</v>
      </c>
    </row>
    <row r="508" spans="1:1" x14ac:dyDescent="0.3">
      <c r="A508">
        <f t="shared" ca="1" si="7"/>
        <v>1.1698113396597773E-2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803"/>
  <sheetViews>
    <sheetView topLeftCell="A13" workbookViewId="0">
      <selection activeCell="C2" sqref="C2"/>
    </sheetView>
  </sheetViews>
  <sheetFormatPr defaultRowHeight="14.4" x14ac:dyDescent="0.3"/>
  <cols>
    <col min="23" max="23" width="12" bestFit="1" customWidth="1"/>
    <col min="24" max="24" width="12" customWidth="1"/>
  </cols>
  <sheetData>
    <row r="1" spans="1:27" x14ac:dyDescent="0.3">
      <c r="A1" s="3" t="s">
        <v>12</v>
      </c>
      <c r="B1" s="3" t="s">
        <v>7</v>
      </c>
    </row>
    <row r="2" spans="1:27" x14ac:dyDescent="0.3">
      <c r="A2" s="2">
        <v>2</v>
      </c>
      <c r="B2" s="2">
        <f>ROUND(2*_xlfn.NORM.S.DIST(A2,1)-1,4)</f>
        <v>0.95450000000000002</v>
      </c>
      <c r="U2" t="s">
        <v>10</v>
      </c>
      <c r="V2" t="s">
        <v>0</v>
      </c>
      <c r="W2" t="s">
        <v>4</v>
      </c>
      <c r="X2" t="s">
        <v>5</v>
      </c>
      <c r="Y2" t="s">
        <v>15</v>
      </c>
      <c r="Z2" t="s">
        <v>6</v>
      </c>
      <c r="AA2">
        <v>0</v>
      </c>
    </row>
    <row r="3" spans="1:27" x14ac:dyDescent="0.3">
      <c r="U3" t="e">
        <f>IF($A$2=ABS(V3),0,NA())</f>
        <v>#N/A</v>
      </c>
      <c r="V3">
        <v>-4</v>
      </c>
      <c r="W3">
        <f>_xlfn.NORM.S.DIST(V3,0)</f>
        <v>1.3383022576488537E-4</v>
      </c>
      <c r="X3" t="e">
        <f>IF(ABS(V3)=$A$2,W3,NA())</f>
        <v>#N/A</v>
      </c>
      <c r="Y3">
        <f>IF(V3&lt;=$A$2,W3,NA())</f>
        <v>1.3383022576488537E-4</v>
      </c>
      <c r="Z3" t="e">
        <f>IF(ABS(V3)&lt;=$A$2,W3,NA())</f>
        <v>#N/A</v>
      </c>
    </row>
    <row r="4" spans="1:27" x14ac:dyDescent="0.3">
      <c r="U4" t="e">
        <f t="shared" ref="U4:U67" si="0">IF($A$2=ABS(V4),0,NA())</f>
        <v>#N/A</v>
      </c>
      <c r="V4">
        <v>-3.99</v>
      </c>
      <c r="W4">
        <f t="shared" ref="W4:W67" si="1">_xlfn.NORM.S.DIST(V4,0)</f>
        <v>1.3928497646575994E-4</v>
      </c>
      <c r="X4" t="e">
        <f t="shared" ref="X4:X67" si="2">IF(ABS(V4)=$A$2,W4,NA())</f>
        <v>#N/A</v>
      </c>
      <c r="Y4">
        <f t="shared" ref="Y4:Y67" si="3">IF(V4&lt;=$A$2,W4,NA())</f>
        <v>1.3928497646575994E-4</v>
      </c>
      <c r="Z4" t="e">
        <f t="shared" ref="Z4:Z67" si="4">IF(ABS(V4)&lt;=$A$2,W4,NA())</f>
        <v>#N/A</v>
      </c>
    </row>
    <row r="5" spans="1:27" x14ac:dyDescent="0.3">
      <c r="U5" t="e">
        <f t="shared" si="0"/>
        <v>#N/A</v>
      </c>
      <c r="V5">
        <v>-3.98</v>
      </c>
      <c r="W5">
        <f t="shared" si="1"/>
        <v>1.4494756042389106E-4</v>
      </c>
      <c r="X5" t="e">
        <f t="shared" si="2"/>
        <v>#N/A</v>
      </c>
      <c r="Y5">
        <f t="shared" si="3"/>
        <v>1.4494756042389106E-4</v>
      </c>
      <c r="Z5" t="e">
        <f t="shared" si="4"/>
        <v>#N/A</v>
      </c>
    </row>
    <row r="6" spans="1:27" x14ac:dyDescent="0.3">
      <c r="U6" t="e">
        <f t="shared" si="0"/>
        <v>#N/A</v>
      </c>
      <c r="V6">
        <v>-3.97</v>
      </c>
      <c r="W6">
        <f t="shared" si="1"/>
        <v>1.508252715505178E-4</v>
      </c>
      <c r="X6" t="e">
        <f t="shared" si="2"/>
        <v>#N/A</v>
      </c>
      <c r="Y6">
        <f t="shared" si="3"/>
        <v>1.508252715505178E-4</v>
      </c>
      <c r="Z6" t="e">
        <f t="shared" si="4"/>
        <v>#N/A</v>
      </c>
    </row>
    <row r="7" spans="1:27" x14ac:dyDescent="0.3">
      <c r="U7" t="e">
        <f t="shared" si="0"/>
        <v>#N/A</v>
      </c>
      <c r="V7">
        <v>-3.96</v>
      </c>
      <c r="W7">
        <f t="shared" si="1"/>
        <v>1.5692563406553226E-4</v>
      </c>
      <c r="X7" t="e">
        <f t="shared" si="2"/>
        <v>#N/A</v>
      </c>
      <c r="Y7">
        <f t="shared" si="3"/>
        <v>1.5692563406553226E-4</v>
      </c>
      <c r="Z7" t="e">
        <f t="shared" si="4"/>
        <v>#N/A</v>
      </c>
    </row>
    <row r="8" spans="1:27" x14ac:dyDescent="0.3">
      <c r="U8" t="e">
        <f t="shared" si="0"/>
        <v>#N/A</v>
      </c>
      <c r="V8">
        <v>-3.95</v>
      </c>
      <c r="W8">
        <f t="shared" si="1"/>
        <v>1.6325640876624199E-4</v>
      </c>
      <c r="X8" t="e">
        <f t="shared" si="2"/>
        <v>#N/A</v>
      </c>
      <c r="Y8">
        <f t="shared" si="3"/>
        <v>1.6325640876624199E-4</v>
      </c>
      <c r="Z8" t="e">
        <f t="shared" si="4"/>
        <v>#N/A</v>
      </c>
    </row>
    <row r="9" spans="1:27" x14ac:dyDescent="0.3">
      <c r="U9" t="e">
        <f t="shared" si="0"/>
        <v>#N/A</v>
      </c>
      <c r="V9">
        <v>-3.94</v>
      </c>
      <c r="W9">
        <f t="shared" si="1"/>
        <v>1.6982559942934359E-4</v>
      </c>
      <c r="X9" t="e">
        <f t="shared" si="2"/>
        <v>#N/A</v>
      </c>
      <c r="Y9">
        <f t="shared" si="3"/>
        <v>1.6982559942934359E-4</v>
      </c>
      <c r="Z9" t="e">
        <f t="shared" si="4"/>
        <v>#N/A</v>
      </c>
    </row>
    <row r="10" spans="1:27" x14ac:dyDescent="0.3">
      <c r="U10" t="e">
        <f t="shared" si="0"/>
        <v>#N/A</v>
      </c>
      <c r="V10">
        <v>-3.93</v>
      </c>
      <c r="W10">
        <f t="shared" si="1"/>
        <v>1.7664145934757092E-4</v>
      </c>
      <c r="X10" t="e">
        <f t="shared" si="2"/>
        <v>#N/A</v>
      </c>
      <c r="Y10">
        <f t="shared" si="3"/>
        <v>1.7664145934757092E-4</v>
      </c>
      <c r="Z10" t="e">
        <f t="shared" si="4"/>
        <v>#N/A</v>
      </c>
    </row>
    <row r="11" spans="1:27" x14ac:dyDescent="0.3">
      <c r="U11" t="e">
        <f t="shared" si="0"/>
        <v>#N/A</v>
      </c>
      <c r="V11">
        <v>-3.92</v>
      </c>
      <c r="W11">
        <f t="shared" si="1"/>
        <v>1.8371249800245711E-4</v>
      </c>
      <c r="X11" t="e">
        <f t="shared" si="2"/>
        <v>#N/A</v>
      </c>
      <c r="Y11">
        <f t="shared" si="3"/>
        <v>1.8371249800245711E-4</v>
      </c>
      <c r="Z11" t="e">
        <f t="shared" si="4"/>
        <v>#N/A</v>
      </c>
    </row>
    <row r="12" spans="1:27" x14ac:dyDescent="0.3">
      <c r="U12" t="e">
        <f t="shared" si="0"/>
        <v>#N/A</v>
      </c>
      <c r="V12">
        <v>-3.91</v>
      </c>
      <c r="W12">
        <f t="shared" si="1"/>
        <v>1.9104748787459762E-4</v>
      </c>
      <c r="X12" t="e">
        <f t="shared" si="2"/>
        <v>#N/A</v>
      </c>
      <c r="Y12">
        <f t="shared" si="3"/>
        <v>1.9104748787459762E-4</v>
      </c>
      <c r="Z12" t="e">
        <f t="shared" si="4"/>
        <v>#N/A</v>
      </c>
    </row>
    <row r="13" spans="1:27" x14ac:dyDescent="0.3">
      <c r="U13" t="e">
        <f t="shared" si="0"/>
        <v>#N/A</v>
      </c>
      <c r="V13">
        <v>-3.9</v>
      </c>
      <c r="W13">
        <f t="shared" si="1"/>
        <v>1.9865547139277272E-4</v>
      </c>
      <c r="X13" t="e">
        <f t="shared" si="2"/>
        <v>#N/A</v>
      </c>
      <c r="Y13">
        <f t="shared" si="3"/>
        <v>1.9865547139277272E-4</v>
      </c>
      <c r="Z13" t="e">
        <f t="shared" si="4"/>
        <v>#N/A</v>
      </c>
    </row>
    <row r="14" spans="1:27" x14ac:dyDescent="0.3">
      <c r="U14" t="e">
        <f t="shared" si="0"/>
        <v>#N/A</v>
      </c>
      <c r="V14">
        <v>-3.89</v>
      </c>
      <c r="W14">
        <f t="shared" si="1"/>
        <v>2.0654576802322548E-4</v>
      </c>
      <c r="X14" t="e">
        <f t="shared" si="2"/>
        <v>#N/A</v>
      </c>
      <c r="Y14">
        <f t="shared" si="3"/>
        <v>2.0654576802322548E-4</v>
      </c>
      <c r="Z14" t="e">
        <f t="shared" si="4"/>
        <v>#N/A</v>
      </c>
    </row>
    <row r="15" spans="1:27" x14ac:dyDescent="0.3">
      <c r="U15" t="e">
        <f t="shared" si="0"/>
        <v>#N/A</v>
      </c>
      <c r="V15">
        <v>-3.88</v>
      </c>
      <c r="W15">
        <f t="shared" si="1"/>
        <v>2.1472798150036704E-4</v>
      </c>
      <c r="X15" t="e">
        <f t="shared" si="2"/>
        <v>#N/A</v>
      </c>
      <c r="Y15">
        <f t="shared" si="3"/>
        <v>2.1472798150036704E-4</v>
      </c>
      <c r="Z15" t="e">
        <f t="shared" si="4"/>
        <v>#N/A</v>
      </c>
    </row>
    <row r="16" spans="1:27" x14ac:dyDescent="0.3">
      <c r="U16" t="e">
        <f t="shared" si="0"/>
        <v>#N/A</v>
      </c>
      <c r="V16">
        <v>-3.87</v>
      </c>
      <c r="W16">
        <f t="shared" si="1"/>
        <v>2.2321200720010206E-4</v>
      </c>
      <c r="X16" t="e">
        <f t="shared" si="2"/>
        <v>#N/A</v>
      </c>
      <c r="Y16">
        <f t="shared" si="3"/>
        <v>2.2321200720010206E-4</v>
      </c>
      <c r="Z16" t="e">
        <f t="shared" si="4"/>
        <v>#N/A</v>
      </c>
    </row>
    <row r="17" spans="21:26" x14ac:dyDescent="0.3">
      <c r="U17" t="e">
        <f t="shared" si="0"/>
        <v>#N/A</v>
      </c>
      <c r="V17">
        <v>-3.86</v>
      </c>
      <c r="W17">
        <f t="shared" si="1"/>
        <v>2.3200803965694238E-4</v>
      </c>
      <c r="X17" t="e">
        <f t="shared" si="2"/>
        <v>#N/A</v>
      </c>
      <c r="Y17">
        <f t="shared" si="3"/>
        <v>2.3200803965694238E-4</v>
      </c>
      <c r="Z17" t="e">
        <f t="shared" si="4"/>
        <v>#N/A</v>
      </c>
    </row>
    <row r="18" spans="21:26" x14ac:dyDescent="0.3">
      <c r="U18" t="e">
        <f t="shared" si="0"/>
        <v>#N/A</v>
      </c>
      <c r="V18">
        <v>-3.85</v>
      </c>
      <c r="W18">
        <f t="shared" si="1"/>
        <v>2.4112658022599324E-4</v>
      </c>
      <c r="X18" t="e">
        <f t="shared" si="2"/>
        <v>#N/A</v>
      </c>
      <c r="Y18">
        <f t="shared" si="3"/>
        <v>2.4112658022599324E-4</v>
      </c>
      <c r="Z18" t="e">
        <f t="shared" si="4"/>
        <v>#N/A</v>
      </c>
    </row>
    <row r="19" spans="21:26" x14ac:dyDescent="0.3">
      <c r="U19" t="e">
        <f t="shared" si="0"/>
        <v>#N/A</v>
      </c>
      <c r="V19">
        <v>-3.84</v>
      </c>
      <c r="W19">
        <f t="shared" si="1"/>
        <v>2.5057844489086075E-4</v>
      </c>
      <c r="X19" t="e">
        <f t="shared" si="2"/>
        <v>#N/A</v>
      </c>
      <c r="Y19">
        <f t="shared" si="3"/>
        <v>2.5057844489086075E-4</v>
      </c>
      <c r="Z19" t="e">
        <f t="shared" si="4"/>
        <v>#N/A</v>
      </c>
    </row>
    <row r="20" spans="21:26" x14ac:dyDescent="0.3">
      <c r="U20" t="e">
        <f t="shared" si="0"/>
        <v>#N/A</v>
      </c>
      <c r="V20">
        <v>-3.83</v>
      </c>
      <c r="W20">
        <f t="shared" si="1"/>
        <v>2.6037477221844247E-4</v>
      </c>
      <c r="X20" t="e">
        <f t="shared" si="2"/>
        <v>#N/A</v>
      </c>
      <c r="Y20">
        <f t="shared" si="3"/>
        <v>2.6037477221844247E-4</v>
      </c>
      <c r="Z20" t="e">
        <f t="shared" si="4"/>
        <v>#N/A</v>
      </c>
    </row>
    <row r="21" spans="21:26" x14ac:dyDescent="0.3">
      <c r="U21" t="e">
        <f t="shared" si="0"/>
        <v>#N/A</v>
      </c>
      <c r="V21">
        <v>-3.82</v>
      </c>
      <c r="W21">
        <f t="shared" si="1"/>
        <v>2.70527031461521E-4</v>
      </c>
      <c r="X21" t="e">
        <f t="shared" si="2"/>
        <v>#N/A</v>
      </c>
      <c r="Y21">
        <f t="shared" si="3"/>
        <v>2.70527031461521E-4</v>
      </c>
      <c r="Z21" t="e">
        <f t="shared" si="4"/>
        <v>#N/A</v>
      </c>
    </row>
    <row r="22" spans="21:26" x14ac:dyDescent="0.3">
      <c r="U22" t="e">
        <f t="shared" si="0"/>
        <v>#N/A</v>
      </c>
      <c r="V22">
        <v>-3.81</v>
      </c>
      <c r="W22">
        <f t="shared" si="1"/>
        <v>2.8104703080998632E-4</v>
      </c>
      <c r="X22" t="e">
        <f t="shared" si="2"/>
        <v>#N/A</v>
      </c>
      <c r="Y22">
        <f t="shared" si="3"/>
        <v>2.8104703080998632E-4</v>
      </c>
      <c r="Z22" t="e">
        <f t="shared" si="4"/>
        <v>#N/A</v>
      </c>
    </row>
    <row r="23" spans="21:26" x14ac:dyDescent="0.3">
      <c r="U23" t="e">
        <f t="shared" si="0"/>
        <v>#N/A</v>
      </c>
      <c r="V23">
        <v>-3.8</v>
      </c>
      <c r="W23">
        <f t="shared" si="1"/>
        <v>2.9194692579146027E-4</v>
      </c>
      <c r="X23" t="e">
        <f t="shared" si="2"/>
        <v>#N/A</v>
      </c>
      <c r="Y23">
        <f t="shared" si="3"/>
        <v>2.9194692579146027E-4</v>
      </c>
      <c r="Z23" t="e">
        <f t="shared" si="4"/>
        <v>#N/A</v>
      </c>
    </row>
    <row r="24" spans="21:26" x14ac:dyDescent="0.3">
      <c r="U24" t="e">
        <f t="shared" si="0"/>
        <v>#N/A</v>
      </c>
      <c r="V24">
        <v>-3.79</v>
      </c>
      <c r="W24">
        <f t="shared" si="1"/>
        <v>3.0323922782200417E-4</v>
      </c>
      <c r="X24" t="e">
        <f t="shared" si="2"/>
        <v>#N/A</v>
      </c>
      <c r="Y24">
        <f t="shared" si="3"/>
        <v>3.0323922782200417E-4</v>
      </c>
      <c r="Z24" t="e">
        <f t="shared" si="4"/>
        <v>#N/A</v>
      </c>
    </row>
    <row r="25" spans="21:26" x14ac:dyDescent="0.3">
      <c r="U25" t="e">
        <f t="shared" si="0"/>
        <v>#N/A</v>
      </c>
      <c r="V25">
        <v>-3.78</v>
      </c>
      <c r="W25">
        <f t="shared" si="1"/>
        <v>3.1493681290752188E-4</v>
      </c>
      <c r="X25" t="e">
        <f t="shared" si="2"/>
        <v>#N/A</v>
      </c>
      <c r="Y25">
        <f t="shared" si="3"/>
        <v>3.1493681290752188E-4</v>
      </c>
      <c r="Z25" t="e">
        <f t="shared" si="4"/>
        <v>#N/A</v>
      </c>
    </row>
    <row r="26" spans="21:26" x14ac:dyDescent="0.3">
      <c r="U26" t="e">
        <f t="shared" si="0"/>
        <v>#N/A</v>
      </c>
      <c r="V26">
        <v>-3.77</v>
      </c>
      <c r="W26">
        <f t="shared" si="1"/>
        <v>3.2705293049637498E-4</v>
      </c>
      <c r="X26" t="e">
        <f t="shared" si="2"/>
        <v>#N/A</v>
      </c>
      <c r="Y26">
        <f t="shared" si="3"/>
        <v>3.2705293049637498E-4</v>
      </c>
      <c r="Z26" t="e">
        <f t="shared" si="4"/>
        <v>#N/A</v>
      </c>
    </row>
    <row r="27" spans="21:26" x14ac:dyDescent="0.3">
      <c r="U27" t="e">
        <f t="shared" si="0"/>
        <v>#N/A</v>
      </c>
      <c r="V27">
        <v>-3.76</v>
      </c>
      <c r="W27">
        <f t="shared" si="1"/>
        <v>3.3960121248365478E-4</v>
      </c>
      <c r="X27" t="e">
        <f t="shared" si="2"/>
        <v>#N/A</v>
      </c>
      <c r="Y27">
        <f t="shared" si="3"/>
        <v>3.3960121248365478E-4</v>
      </c>
      <c r="Z27" t="e">
        <f t="shared" si="4"/>
        <v>#N/A</v>
      </c>
    </row>
    <row r="28" spans="21:26" x14ac:dyDescent="0.3">
      <c r="U28" t="e">
        <f t="shared" si="0"/>
        <v>#N/A</v>
      </c>
      <c r="V28">
        <v>-3.75</v>
      </c>
      <c r="W28">
        <f t="shared" si="1"/>
        <v>3.5259568236744541E-4</v>
      </c>
      <c r="X28" t="e">
        <f t="shared" si="2"/>
        <v>#N/A</v>
      </c>
      <c r="Y28">
        <f t="shared" si="3"/>
        <v>3.5259568236744541E-4</v>
      </c>
      <c r="Z28" t="e">
        <f t="shared" si="4"/>
        <v>#N/A</v>
      </c>
    </row>
    <row r="29" spans="21:26" x14ac:dyDescent="0.3">
      <c r="U29" t="e">
        <f t="shared" si="0"/>
        <v>#N/A</v>
      </c>
      <c r="V29">
        <v>-3.74</v>
      </c>
      <c r="W29">
        <f t="shared" si="1"/>
        <v>3.6605076455733496E-4</v>
      </c>
      <c r="X29" t="e">
        <f t="shared" si="2"/>
        <v>#N/A</v>
      </c>
      <c r="Y29">
        <f t="shared" si="3"/>
        <v>3.6605076455733496E-4</v>
      </c>
      <c r="Z29" t="e">
        <f t="shared" si="4"/>
        <v>#N/A</v>
      </c>
    </row>
    <row r="30" spans="21:26" x14ac:dyDescent="0.3">
      <c r="U30" t="e">
        <f t="shared" si="0"/>
        <v>#N/A</v>
      </c>
      <c r="V30">
        <v>-3.73</v>
      </c>
      <c r="W30">
        <f t="shared" si="1"/>
        <v>3.7998129383532141E-4</v>
      </c>
      <c r="X30" t="e">
        <f t="shared" si="2"/>
        <v>#N/A</v>
      </c>
      <c r="Y30">
        <f t="shared" si="3"/>
        <v>3.7998129383532141E-4</v>
      </c>
      <c r="Z30" t="e">
        <f t="shared" si="4"/>
        <v>#N/A</v>
      </c>
    </row>
    <row r="31" spans="21:26" x14ac:dyDescent="0.3">
      <c r="U31" t="e">
        <f t="shared" si="0"/>
        <v>#N/A</v>
      </c>
      <c r="V31">
        <v>-3.72</v>
      </c>
      <c r="W31">
        <f t="shared" si="1"/>
        <v>3.9440252496915622E-4</v>
      </c>
      <c r="X31" t="e">
        <f t="shared" si="2"/>
        <v>#N/A</v>
      </c>
      <c r="Y31">
        <f t="shared" si="3"/>
        <v>3.9440252496915622E-4</v>
      </c>
      <c r="Z31" t="e">
        <f t="shared" si="4"/>
        <v>#N/A</v>
      </c>
    </row>
    <row r="32" spans="21:26" x14ac:dyDescent="0.3">
      <c r="U32" t="e">
        <f t="shared" si="0"/>
        <v>#N/A</v>
      </c>
      <c r="V32">
        <v>-3.71</v>
      </c>
      <c r="W32">
        <f t="shared" si="1"/>
        <v>4.0933014247807883E-4</v>
      </c>
      <c r="X32" t="e">
        <f t="shared" si="2"/>
        <v>#N/A</v>
      </c>
      <c r="Y32">
        <f t="shared" si="3"/>
        <v>4.0933014247807883E-4</v>
      </c>
      <c r="Z32" t="e">
        <f t="shared" si="4"/>
        <v>#N/A</v>
      </c>
    </row>
    <row r="33" spans="21:26" x14ac:dyDescent="0.3">
      <c r="U33" t="e">
        <f t="shared" si="0"/>
        <v>#N/A</v>
      </c>
      <c r="V33">
        <v>-3.7</v>
      </c>
      <c r="W33">
        <f t="shared" si="1"/>
        <v>4.2478027055075143E-4</v>
      </c>
      <c r="X33" t="e">
        <f t="shared" si="2"/>
        <v>#N/A</v>
      </c>
      <c r="Y33">
        <f t="shared" si="3"/>
        <v>4.2478027055075143E-4</v>
      </c>
      <c r="Z33" t="e">
        <f t="shared" si="4"/>
        <v>#N/A</v>
      </c>
    </row>
    <row r="34" spans="21:26" x14ac:dyDescent="0.3">
      <c r="U34" t="e">
        <f t="shared" si="0"/>
        <v>#N/A</v>
      </c>
      <c r="V34">
        <v>-3.69</v>
      </c>
      <c r="W34">
        <f t="shared" si="1"/>
        <v>4.4076948311513252E-4</v>
      </c>
      <c r="X34" t="e">
        <f t="shared" si="2"/>
        <v>#N/A</v>
      </c>
      <c r="Y34">
        <f t="shared" si="3"/>
        <v>4.4076948311513252E-4</v>
      </c>
      <c r="Z34" t="e">
        <f t="shared" si="4"/>
        <v>#N/A</v>
      </c>
    </row>
    <row r="35" spans="21:26" x14ac:dyDescent="0.3">
      <c r="U35" t="e">
        <f t="shared" si="0"/>
        <v>#N/A</v>
      </c>
      <c r="V35">
        <v>-3.68</v>
      </c>
      <c r="W35">
        <f t="shared" si="1"/>
        <v>4.5731481405985675E-4</v>
      </c>
      <c r="X35" t="e">
        <f t="shared" si="2"/>
        <v>#N/A</v>
      </c>
      <c r="Y35">
        <f t="shared" si="3"/>
        <v>4.5731481405985675E-4</v>
      </c>
      <c r="Z35" t="e">
        <f t="shared" si="4"/>
        <v>#N/A</v>
      </c>
    </row>
    <row r="36" spans="21:26" x14ac:dyDescent="0.3">
      <c r="U36" t="e">
        <f t="shared" si="0"/>
        <v>#N/A</v>
      </c>
      <c r="V36">
        <v>-3.67</v>
      </c>
      <c r="W36">
        <f t="shared" si="1"/>
        <v>4.7443376760662064E-4</v>
      </c>
      <c r="X36" t="e">
        <f t="shared" si="2"/>
        <v>#N/A</v>
      </c>
      <c r="Y36">
        <f t="shared" si="3"/>
        <v>4.7443376760662064E-4</v>
      </c>
      <c r="Z36" t="e">
        <f t="shared" si="4"/>
        <v>#N/A</v>
      </c>
    </row>
    <row r="37" spans="21:26" x14ac:dyDescent="0.3">
      <c r="U37" t="e">
        <f t="shared" si="0"/>
        <v>#N/A</v>
      </c>
      <c r="V37">
        <v>-3.66</v>
      </c>
      <c r="W37">
        <f t="shared" si="1"/>
        <v>4.9214432883289312E-4</v>
      </c>
      <c r="X37" t="e">
        <f t="shared" si="2"/>
        <v>#N/A</v>
      </c>
      <c r="Y37">
        <f t="shared" si="3"/>
        <v>4.9214432883289312E-4</v>
      </c>
      <c r="Z37" t="e">
        <f t="shared" si="4"/>
        <v>#N/A</v>
      </c>
    </row>
    <row r="38" spans="21:26" x14ac:dyDescent="0.3">
      <c r="U38" t="e">
        <f t="shared" si="0"/>
        <v>#N/A</v>
      </c>
      <c r="V38">
        <v>-3.65</v>
      </c>
      <c r="W38">
        <f t="shared" si="1"/>
        <v>5.104649743441856E-4</v>
      </c>
      <c r="X38" t="e">
        <f t="shared" si="2"/>
        <v>#N/A</v>
      </c>
      <c r="Y38">
        <f t="shared" si="3"/>
        <v>5.104649743441856E-4</v>
      </c>
      <c r="Z38" t="e">
        <f t="shared" si="4"/>
        <v>#N/A</v>
      </c>
    </row>
    <row r="39" spans="21:26" x14ac:dyDescent="0.3">
      <c r="U39" t="e">
        <f t="shared" si="0"/>
        <v>#N/A</v>
      </c>
      <c r="V39">
        <v>-3.64</v>
      </c>
      <c r="W39">
        <f t="shared" si="1"/>
        <v>5.2941468309493475E-4</v>
      </c>
      <c r="X39" t="e">
        <f t="shared" si="2"/>
        <v>#N/A</v>
      </c>
      <c r="Y39">
        <f t="shared" si="3"/>
        <v>5.2941468309493475E-4</v>
      </c>
      <c r="Z39" t="e">
        <f t="shared" si="4"/>
        <v>#N/A</v>
      </c>
    </row>
    <row r="40" spans="21:26" x14ac:dyDescent="0.3">
      <c r="U40" t="e">
        <f t="shared" si="0"/>
        <v>#N/A</v>
      </c>
      <c r="V40">
        <v>-3.63</v>
      </c>
      <c r="W40">
        <f t="shared" si="1"/>
        <v>5.490129473569587E-4</v>
      </c>
      <c r="X40" t="e">
        <f t="shared" si="2"/>
        <v>#N/A</v>
      </c>
      <c r="Y40">
        <f t="shared" si="3"/>
        <v>5.490129473569587E-4</v>
      </c>
      <c r="Z40" t="e">
        <f t="shared" si="4"/>
        <v>#N/A</v>
      </c>
    </row>
    <row r="41" spans="21:26" x14ac:dyDescent="0.3">
      <c r="U41" t="e">
        <f t="shared" si="0"/>
        <v>#N/A</v>
      </c>
      <c r="V41">
        <v>-3.62</v>
      </c>
      <c r="W41">
        <f t="shared" si="1"/>
        <v>5.6927978383425261E-4</v>
      </c>
      <c r="X41" t="e">
        <f t="shared" si="2"/>
        <v>#N/A</v>
      </c>
      <c r="Y41">
        <f t="shared" si="3"/>
        <v>5.6927978383425261E-4</v>
      </c>
      <c r="Z41" t="e">
        <f t="shared" si="4"/>
        <v>#N/A</v>
      </c>
    </row>
    <row r="42" spans="21:26" x14ac:dyDescent="0.3">
      <c r="U42" t="e">
        <f t="shared" si="0"/>
        <v>#N/A</v>
      </c>
      <c r="V42">
        <v>-3.61</v>
      </c>
      <c r="W42">
        <f t="shared" si="1"/>
        <v>5.9023574492278561E-4</v>
      </c>
      <c r="X42" t="e">
        <f t="shared" si="2"/>
        <v>#N/A</v>
      </c>
      <c r="Y42">
        <f t="shared" si="3"/>
        <v>5.9023574492278561E-4</v>
      </c>
      <c r="Z42" t="e">
        <f t="shared" si="4"/>
        <v>#N/A</v>
      </c>
    </row>
    <row r="43" spans="21:26" x14ac:dyDescent="0.3">
      <c r="U43" t="e">
        <f t="shared" si="0"/>
        <v>#N/A</v>
      </c>
      <c r="V43">
        <v>-3.6</v>
      </c>
      <c r="W43">
        <f t="shared" si="1"/>
        <v>6.119019301137719E-4</v>
      </c>
      <c r="X43" t="e">
        <f t="shared" si="2"/>
        <v>#N/A</v>
      </c>
      <c r="Y43">
        <f t="shared" si="3"/>
        <v>6.119019301137719E-4</v>
      </c>
      <c r="Z43" t="e">
        <f t="shared" si="4"/>
        <v>#N/A</v>
      </c>
    </row>
    <row r="44" spans="21:26" x14ac:dyDescent="0.3">
      <c r="U44" t="e">
        <f t="shared" si="0"/>
        <v>#N/A</v>
      </c>
      <c r="V44">
        <v>-3.59</v>
      </c>
      <c r="W44">
        <f t="shared" si="1"/>
        <v>6.342999975387576E-4</v>
      </c>
      <c r="X44" t="e">
        <f t="shared" si="2"/>
        <v>#N/A</v>
      </c>
      <c r="Y44">
        <f t="shared" si="3"/>
        <v>6.342999975387576E-4</v>
      </c>
      <c r="Z44" t="e">
        <f t="shared" si="4"/>
        <v>#N/A</v>
      </c>
    </row>
    <row r="45" spans="21:26" x14ac:dyDescent="0.3">
      <c r="U45" t="e">
        <f t="shared" si="0"/>
        <v>#N/A</v>
      </c>
      <c r="V45">
        <v>-3.58</v>
      </c>
      <c r="W45">
        <f t="shared" si="1"/>
        <v>6.5745217565467645E-4</v>
      </c>
      <c r="X45" t="e">
        <f t="shared" si="2"/>
        <v>#N/A</v>
      </c>
      <c r="Y45">
        <f t="shared" si="3"/>
        <v>6.5745217565467645E-4</v>
      </c>
      <c r="Z45" t="e">
        <f t="shared" si="4"/>
        <v>#N/A</v>
      </c>
    </row>
    <row r="46" spans="21:26" x14ac:dyDescent="0.3">
      <c r="U46" t="e">
        <f t="shared" si="0"/>
        <v>#N/A</v>
      </c>
      <c r="V46">
        <v>-3.57</v>
      </c>
      <c r="W46">
        <f t="shared" si="1"/>
        <v>6.8138127506689212E-4</v>
      </c>
      <c r="X46" t="e">
        <f t="shared" si="2"/>
        <v>#N/A</v>
      </c>
      <c r="Y46">
        <f t="shared" si="3"/>
        <v>6.8138127506689212E-4</v>
      </c>
      <c r="Z46" t="e">
        <f t="shared" si="4"/>
        <v>#N/A</v>
      </c>
    </row>
    <row r="47" spans="21:26" x14ac:dyDescent="0.3">
      <c r="U47" t="e">
        <f t="shared" si="0"/>
        <v>#N/A</v>
      </c>
      <c r="V47">
        <v>-3.56</v>
      </c>
      <c r="W47">
        <f t="shared" si="1"/>
        <v>7.061107004880362E-4</v>
      </c>
      <c r="X47" t="e">
        <f t="shared" si="2"/>
        <v>#N/A</v>
      </c>
      <c r="Y47">
        <f t="shared" si="3"/>
        <v>7.061107004880362E-4</v>
      </c>
      <c r="Z47" t="e">
        <f t="shared" si="4"/>
        <v>#N/A</v>
      </c>
    </row>
    <row r="48" spans="21:26" x14ac:dyDescent="0.3">
      <c r="U48" t="e">
        <f t="shared" si="0"/>
        <v>#N/A</v>
      </c>
      <c r="V48">
        <v>-3.55</v>
      </c>
      <c r="W48">
        <f t="shared" si="1"/>
        <v>7.3166446283031089E-4</v>
      </c>
      <c r="X48" t="e">
        <f t="shared" si="2"/>
        <v>#N/A</v>
      </c>
      <c r="Y48">
        <f t="shared" si="3"/>
        <v>7.3166446283031089E-4</v>
      </c>
      <c r="Z48" t="e">
        <f t="shared" si="4"/>
        <v>#N/A</v>
      </c>
    </row>
    <row r="49" spans="21:26" x14ac:dyDescent="0.3">
      <c r="U49" t="e">
        <f t="shared" si="0"/>
        <v>#N/A</v>
      </c>
      <c r="V49">
        <v>-3.54</v>
      </c>
      <c r="W49">
        <f t="shared" si="1"/>
        <v>7.580671914287103E-4</v>
      </c>
      <c r="X49" t="e">
        <f t="shared" si="2"/>
        <v>#N/A</v>
      </c>
      <c r="Y49">
        <f t="shared" si="3"/>
        <v>7.580671914287103E-4</v>
      </c>
      <c r="Z49" t="e">
        <f t="shared" si="4"/>
        <v>#N/A</v>
      </c>
    </row>
    <row r="50" spans="21:26" x14ac:dyDescent="0.3">
      <c r="U50" t="e">
        <f t="shared" si="0"/>
        <v>#N/A</v>
      </c>
      <c r="V50">
        <v>-3.53</v>
      </c>
      <c r="W50">
        <f t="shared" si="1"/>
        <v>7.8534414639246997E-4</v>
      </c>
      <c r="X50" t="e">
        <f t="shared" si="2"/>
        <v>#N/A</v>
      </c>
      <c r="Y50">
        <f t="shared" si="3"/>
        <v>7.8534414639246997E-4</v>
      </c>
      <c r="Z50" t="e">
        <f t="shared" si="4"/>
        <v>#N/A</v>
      </c>
    </row>
    <row r="51" spans="21:26" x14ac:dyDescent="0.3">
      <c r="U51" t="e">
        <f t="shared" si="0"/>
        <v>#N/A</v>
      </c>
      <c r="V51">
        <v>-3.52</v>
      </c>
      <c r="W51">
        <f t="shared" si="1"/>
        <v>8.1352123108180841E-4</v>
      </c>
      <c r="X51" t="e">
        <f t="shared" si="2"/>
        <v>#N/A</v>
      </c>
      <c r="Y51">
        <f t="shared" si="3"/>
        <v>8.1352123108180841E-4</v>
      </c>
      <c r="Z51" t="e">
        <f t="shared" si="4"/>
        <v>#N/A</v>
      </c>
    </row>
    <row r="52" spans="21:26" x14ac:dyDescent="0.3">
      <c r="U52" t="e">
        <f t="shared" si="0"/>
        <v>#N/A</v>
      </c>
      <c r="V52">
        <v>-3.51</v>
      </c>
      <c r="W52">
        <f t="shared" si="1"/>
        <v>8.4262500470690268E-4</v>
      </c>
      <c r="X52" t="e">
        <f t="shared" si="2"/>
        <v>#N/A</v>
      </c>
      <c r="Y52">
        <f t="shared" si="3"/>
        <v>8.4262500470690268E-4</v>
      </c>
      <c r="Z52" t="e">
        <f t="shared" si="4"/>
        <v>#N/A</v>
      </c>
    </row>
    <row r="53" spans="21:26" x14ac:dyDescent="0.3">
      <c r="U53" t="e">
        <f t="shared" si="0"/>
        <v>#N/A</v>
      </c>
      <c r="V53">
        <v>-3.5</v>
      </c>
      <c r="W53">
        <f t="shared" si="1"/>
        <v>8.7268269504576015E-4</v>
      </c>
      <c r="X53" t="e">
        <f t="shared" si="2"/>
        <v>#N/A</v>
      </c>
      <c r="Y53">
        <f t="shared" si="3"/>
        <v>8.7268269504576015E-4</v>
      </c>
      <c r="Z53" t="e">
        <f t="shared" si="4"/>
        <v>#N/A</v>
      </c>
    </row>
    <row r="54" spans="21:26" x14ac:dyDescent="0.3">
      <c r="U54" t="e">
        <f t="shared" si="0"/>
        <v>#N/A</v>
      </c>
      <c r="V54">
        <v>-3.49</v>
      </c>
      <c r="W54">
        <f t="shared" si="1"/>
        <v>9.0372221127752448E-4</v>
      </c>
      <c r="X54" t="e">
        <f t="shared" si="2"/>
        <v>#N/A</v>
      </c>
      <c r="Y54">
        <f t="shared" si="3"/>
        <v>9.0372221127752448E-4</v>
      </c>
      <c r="Z54" t="e">
        <f t="shared" si="4"/>
        <v>#N/A</v>
      </c>
    </row>
    <row r="55" spans="21:26" x14ac:dyDescent="0.3">
      <c r="U55" t="e">
        <f t="shared" si="0"/>
        <v>#N/A</v>
      </c>
      <c r="V55">
        <v>-3.48</v>
      </c>
      <c r="W55">
        <f t="shared" si="1"/>
        <v>9.3577215692747977E-4</v>
      </c>
      <c r="X55" t="e">
        <f t="shared" si="2"/>
        <v>#N/A</v>
      </c>
      <c r="Y55">
        <f t="shared" si="3"/>
        <v>9.3577215692747977E-4</v>
      </c>
      <c r="Z55" t="e">
        <f t="shared" si="4"/>
        <v>#N/A</v>
      </c>
    </row>
    <row r="56" spans="21:26" x14ac:dyDescent="0.3">
      <c r="U56" t="e">
        <f t="shared" si="0"/>
        <v>#N/A</v>
      </c>
      <c r="V56">
        <v>-3.47</v>
      </c>
      <c r="W56">
        <f t="shared" si="1"/>
        <v>9.6886184291984591E-4</v>
      </c>
      <c r="X56" t="e">
        <f t="shared" si="2"/>
        <v>#N/A</v>
      </c>
      <c r="Y56">
        <f t="shared" si="3"/>
        <v>9.6886184291984591E-4</v>
      </c>
      <c r="Z56" t="e">
        <f t="shared" si="4"/>
        <v>#N/A</v>
      </c>
    </row>
    <row r="57" spans="21:26" x14ac:dyDescent="0.3">
      <c r="U57" t="e">
        <f t="shared" si="0"/>
        <v>#N/A</v>
      </c>
      <c r="V57">
        <v>-3.46</v>
      </c>
      <c r="W57">
        <f t="shared" si="1"/>
        <v>1.0030213007342376E-3</v>
      </c>
      <c r="X57" t="e">
        <f t="shared" si="2"/>
        <v>#N/A</v>
      </c>
      <c r="Y57">
        <f t="shared" si="3"/>
        <v>1.0030213007342376E-3</v>
      </c>
      <c r="Z57" t="e">
        <f t="shared" si="4"/>
        <v>#N/A</v>
      </c>
    </row>
    <row r="58" spans="21:26" x14ac:dyDescent="0.3">
      <c r="U58" t="e">
        <f t="shared" si="0"/>
        <v>#N/A</v>
      </c>
      <c r="V58">
        <v>-3.45</v>
      </c>
      <c r="W58">
        <f t="shared" si="1"/>
        <v>1.0382812956614103E-3</v>
      </c>
      <c r="X58" t="e">
        <f t="shared" si="2"/>
        <v>#N/A</v>
      </c>
      <c r="Y58">
        <f t="shared" si="3"/>
        <v>1.0382812956614103E-3</v>
      </c>
      <c r="Z58" t="e">
        <f t="shared" si="4"/>
        <v>#N/A</v>
      </c>
    </row>
    <row r="59" spans="21:26" x14ac:dyDescent="0.3">
      <c r="U59" t="e">
        <f t="shared" si="0"/>
        <v>#N/A</v>
      </c>
      <c r="V59">
        <v>-3.44</v>
      </c>
      <c r="W59">
        <f t="shared" si="1"/>
        <v>1.0746733401537356E-3</v>
      </c>
      <c r="X59" t="e">
        <f t="shared" si="2"/>
        <v>#N/A</v>
      </c>
      <c r="Y59">
        <f t="shared" si="3"/>
        <v>1.0746733401537356E-3</v>
      </c>
      <c r="Z59" t="e">
        <f t="shared" si="4"/>
        <v>#N/A</v>
      </c>
    </row>
    <row r="60" spans="21:26" x14ac:dyDescent="0.3">
      <c r="U60" t="e">
        <f t="shared" si="0"/>
        <v>#N/A</v>
      </c>
      <c r="V60">
        <v>-3.43</v>
      </c>
      <c r="W60">
        <f t="shared" si="1"/>
        <v>1.1122297072655649E-3</v>
      </c>
      <c r="X60" t="e">
        <f t="shared" si="2"/>
        <v>#N/A</v>
      </c>
      <c r="Y60">
        <f t="shared" si="3"/>
        <v>1.1122297072655649E-3</v>
      </c>
      <c r="Z60" t="e">
        <f t="shared" si="4"/>
        <v>#N/A</v>
      </c>
    </row>
    <row r="61" spans="21:26" x14ac:dyDescent="0.3">
      <c r="U61" t="e">
        <f t="shared" si="0"/>
        <v>#N/A</v>
      </c>
      <c r="V61">
        <v>-3.42</v>
      </c>
      <c r="W61">
        <f t="shared" si="1"/>
        <v>1.1509834441784845E-3</v>
      </c>
      <c r="X61" t="e">
        <f t="shared" si="2"/>
        <v>#N/A</v>
      </c>
      <c r="Y61">
        <f t="shared" si="3"/>
        <v>1.1509834441784845E-3</v>
      </c>
      <c r="Z61" t="e">
        <f t="shared" si="4"/>
        <v>#N/A</v>
      </c>
    </row>
    <row r="62" spans="21:26" x14ac:dyDescent="0.3">
      <c r="U62" t="e">
        <f t="shared" si="0"/>
        <v>#N/A</v>
      </c>
      <c r="V62">
        <v>-3.41</v>
      </c>
      <c r="W62">
        <f t="shared" si="1"/>
        <v>1.1909683858061166E-3</v>
      </c>
      <c r="X62" t="e">
        <f t="shared" si="2"/>
        <v>#N/A</v>
      </c>
      <c r="Y62">
        <f t="shared" si="3"/>
        <v>1.1909683858061166E-3</v>
      </c>
      <c r="Z62" t="e">
        <f t="shared" si="4"/>
        <v>#N/A</v>
      </c>
    </row>
    <row r="63" spans="21:26" x14ac:dyDescent="0.3">
      <c r="U63" t="e">
        <f t="shared" si="0"/>
        <v>#N/A</v>
      </c>
      <c r="V63">
        <v>-3.4</v>
      </c>
      <c r="W63">
        <f t="shared" si="1"/>
        <v>1.2322191684730199E-3</v>
      </c>
      <c r="X63" t="e">
        <f t="shared" si="2"/>
        <v>#N/A</v>
      </c>
      <c r="Y63">
        <f t="shared" si="3"/>
        <v>1.2322191684730199E-3</v>
      </c>
      <c r="Z63" t="e">
        <f t="shared" si="4"/>
        <v>#N/A</v>
      </c>
    </row>
    <row r="64" spans="21:26" x14ac:dyDescent="0.3">
      <c r="U64" t="e">
        <f t="shared" si="0"/>
        <v>#N/A</v>
      </c>
      <c r="V64">
        <v>-3.39</v>
      </c>
      <c r="W64">
        <f t="shared" si="1"/>
        <v>1.2747712436618327E-3</v>
      </c>
      <c r="X64" t="e">
        <f t="shared" si="2"/>
        <v>#N/A</v>
      </c>
      <c r="Y64">
        <f t="shared" si="3"/>
        <v>1.2747712436618327E-3</v>
      </c>
      <c r="Z64" t="e">
        <f t="shared" si="4"/>
        <v>#N/A</v>
      </c>
    </row>
    <row r="65" spans="21:26" x14ac:dyDescent="0.3">
      <c r="U65" t="e">
        <f t="shared" si="0"/>
        <v>#N/A</v>
      </c>
      <c r="V65">
        <v>-3.38</v>
      </c>
      <c r="W65">
        <f t="shared" si="1"/>
        <v>1.3186608918227423E-3</v>
      </c>
      <c r="X65" t="e">
        <f t="shared" si="2"/>
        <v>#N/A</v>
      </c>
      <c r="Y65">
        <f t="shared" si="3"/>
        <v>1.3186608918227423E-3</v>
      </c>
      <c r="Z65" t="e">
        <f t="shared" si="4"/>
        <v>#N/A</v>
      </c>
    </row>
    <row r="66" spans="21:26" x14ac:dyDescent="0.3">
      <c r="U66" t="e">
        <f t="shared" si="0"/>
        <v>#N/A</v>
      </c>
      <c r="V66">
        <v>-3.37</v>
      </c>
      <c r="W66">
        <f t="shared" si="1"/>
        <v>1.3639252362389036E-3</v>
      </c>
      <c r="X66" t="e">
        <f t="shared" si="2"/>
        <v>#N/A</v>
      </c>
      <c r="Y66">
        <f t="shared" si="3"/>
        <v>1.3639252362389036E-3</v>
      </c>
      <c r="Z66" t="e">
        <f t="shared" si="4"/>
        <v>#N/A</v>
      </c>
    </row>
    <row r="67" spans="21:26" x14ac:dyDescent="0.3">
      <c r="U67" t="e">
        <f t="shared" si="0"/>
        <v>#N/A</v>
      </c>
      <c r="V67">
        <v>-3.36</v>
      </c>
      <c r="W67">
        <f t="shared" si="1"/>
        <v>1.4106022569413848E-3</v>
      </c>
      <c r="X67" t="e">
        <f t="shared" si="2"/>
        <v>#N/A</v>
      </c>
      <c r="Y67">
        <f t="shared" si="3"/>
        <v>1.4106022569413848E-3</v>
      </c>
      <c r="Z67" t="e">
        <f t="shared" si="4"/>
        <v>#N/A</v>
      </c>
    </row>
    <row r="68" spans="21:26" x14ac:dyDescent="0.3">
      <c r="U68" t="e">
        <f t="shared" ref="U68:U131" si="5">IF($A$2=ABS(V68),0,NA())</f>
        <v>#N/A</v>
      </c>
      <c r="V68">
        <v>-3.35</v>
      </c>
      <c r="W68">
        <f t="shared" ref="W68:W131" si="6">_xlfn.NORM.S.DIST(V68,0)</f>
        <v>1.4587308046667459E-3</v>
      </c>
      <c r="X68" t="e">
        <f t="shared" ref="X68:X131" si="7">IF(ABS(V68)=$A$2,W68,NA())</f>
        <v>#N/A</v>
      </c>
      <c r="Y68">
        <f t="shared" ref="Y68:Y131" si="8">IF(V68&lt;=$A$2,W68,NA())</f>
        <v>1.4587308046667459E-3</v>
      </c>
      <c r="Z68" t="e">
        <f t="shared" ref="Z68:Z131" si="9">IF(ABS(V68)&lt;=$A$2,W68,NA())</f>
        <v>#N/A</v>
      </c>
    </row>
    <row r="69" spans="21:26" x14ac:dyDescent="0.3">
      <c r="U69" t="e">
        <f t="shared" si="5"/>
        <v>#N/A</v>
      </c>
      <c r="V69">
        <v>-3.34</v>
      </c>
      <c r="W69">
        <f t="shared" si="6"/>
        <v>1.5083506148503073E-3</v>
      </c>
      <c r="X69" t="e">
        <f t="shared" si="7"/>
        <v>#N/A</v>
      </c>
      <c r="Y69">
        <f t="shared" si="8"/>
        <v>1.5083506148503073E-3</v>
      </c>
      <c r="Z69" t="e">
        <f t="shared" si="9"/>
        <v>#N/A</v>
      </c>
    </row>
    <row r="70" spans="21:26" x14ac:dyDescent="0.3">
      <c r="U70" t="e">
        <f t="shared" si="5"/>
        <v>#N/A</v>
      </c>
      <c r="V70">
        <v>-3.33</v>
      </c>
      <c r="W70">
        <f t="shared" si="6"/>
        <v>1.5595023216476915E-3</v>
      </c>
      <c r="X70" t="e">
        <f t="shared" si="7"/>
        <v>#N/A</v>
      </c>
      <c r="Y70">
        <f t="shared" si="8"/>
        <v>1.5595023216476915E-3</v>
      </c>
      <c r="Z70" t="e">
        <f t="shared" si="9"/>
        <v>#N/A</v>
      </c>
    </row>
    <row r="71" spans="21:26" x14ac:dyDescent="0.3">
      <c r="U71" t="e">
        <f t="shared" si="5"/>
        <v>#N/A</v>
      </c>
      <c r="V71">
        <v>-3.32</v>
      </c>
      <c r="W71">
        <f t="shared" si="6"/>
        <v>1.6122274719771244E-3</v>
      </c>
      <c r="X71" t="e">
        <f t="shared" si="7"/>
        <v>#N/A</v>
      </c>
      <c r="Y71">
        <f t="shared" si="8"/>
        <v>1.6122274719771244E-3</v>
      </c>
      <c r="Z71" t="e">
        <f t="shared" si="9"/>
        <v>#N/A</v>
      </c>
    </row>
    <row r="72" spans="21:26" x14ac:dyDescent="0.3">
      <c r="U72" t="e">
        <f t="shared" si="5"/>
        <v>#N/A</v>
      </c>
      <c r="V72">
        <v>-3.31</v>
      </c>
      <c r="W72">
        <f t="shared" si="6"/>
        <v>1.6665685395745797E-3</v>
      </c>
      <c r="X72" t="e">
        <f t="shared" si="7"/>
        <v>#N/A</v>
      </c>
      <c r="Y72">
        <f t="shared" si="8"/>
        <v>1.6665685395745797E-3</v>
      </c>
      <c r="Z72" t="e">
        <f t="shared" si="9"/>
        <v>#N/A</v>
      </c>
    </row>
    <row r="73" spans="21:26" x14ac:dyDescent="0.3">
      <c r="U73" t="e">
        <f t="shared" si="5"/>
        <v>#N/A</v>
      </c>
      <c r="V73">
        <v>-3.3</v>
      </c>
      <c r="W73">
        <f t="shared" si="6"/>
        <v>1.7225689390536812E-3</v>
      </c>
      <c r="X73" t="e">
        <f t="shared" si="7"/>
        <v>#N/A</v>
      </c>
      <c r="Y73">
        <f t="shared" si="8"/>
        <v>1.7225689390536812E-3</v>
      </c>
      <c r="Z73" t="e">
        <f t="shared" si="9"/>
        <v>#N/A</v>
      </c>
    </row>
    <row r="74" spans="21:26" x14ac:dyDescent="0.3">
      <c r="U74" t="e">
        <f t="shared" si="5"/>
        <v>#N/A</v>
      </c>
      <c r="V74">
        <v>-3.29</v>
      </c>
      <c r="W74">
        <f t="shared" si="6"/>
        <v>1.7802730399618786E-3</v>
      </c>
      <c r="X74" t="e">
        <f t="shared" si="7"/>
        <v>#N/A</v>
      </c>
      <c r="Y74">
        <f t="shared" si="8"/>
        <v>1.7802730399618786E-3</v>
      </c>
      <c r="Z74" t="e">
        <f t="shared" si="9"/>
        <v>#N/A</v>
      </c>
    </row>
    <row r="75" spans="21:26" x14ac:dyDescent="0.3">
      <c r="U75" t="e">
        <f t="shared" si="5"/>
        <v>#N/A</v>
      </c>
      <c r="V75">
        <v>-3.28</v>
      </c>
      <c r="W75">
        <f t="shared" si="6"/>
        <v>1.839726180824281E-3</v>
      </c>
      <c r="X75" t="e">
        <f t="shared" si="7"/>
        <v>#N/A</v>
      </c>
      <c r="Y75">
        <f t="shared" si="8"/>
        <v>1.839726180824281E-3</v>
      </c>
      <c r="Z75" t="e">
        <f t="shared" si="9"/>
        <v>#N/A</v>
      </c>
    </row>
    <row r="76" spans="21:26" x14ac:dyDescent="0.3">
      <c r="U76" t="e">
        <f t="shared" si="5"/>
        <v>#N/A</v>
      </c>
      <c r="V76">
        <v>-3.27</v>
      </c>
      <c r="W76">
        <f t="shared" si="6"/>
        <v>1.9009746831660803E-3</v>
      </c>
      <c r="X76" t="e">
        <f t="shared" si="7"/>
        <v>#N/A</v>
      </c>
      <c r="Y76">
        <f t="shared" si="8"/>
        <v>1.9009746831660803E-3</v>
      </c>
      <c r="Z76" t="e">
        <f t="shared" si="9"/>
        <v>#N/A</v>
      </c>
    </row>
    <row r="77" spans="21:26" x14ac:dyDescent="0.3">
      <c r="U77" t="e">
        <f t="shared" si="5"/>
        <v>#N/A</v>
      </c>
      <c r="V77">
        <v>-3.26</v>
      </c>
      <c r="W77">
        <f t="shared" si="6"/>
        <v>1.9640658655043761E-3</v>
      </c>
      <c r="X77" t="e">
        <f t="shared" si="7"/>
        <v>#N/A</v>
      </c>
      <c r="Y77">
        <f t="shared" si="8"/>
        <v>1.9640658655043761E-3</v>
      </c>
      <c r="Z77" t="e">
        <f t="shared" si="9"/>
        <v>#N/A</v>
      </c>
    </row>
    <row r="78" spans="21:26" x14ac:dyDescent="0.3">
      <c r="U78" t="e">
        <f t="shared" si="5"/>
        <v>#N/A</v>
      </c>
      <c r="V78">
        <v>-3.25</v>
      </c>
      <c r="W78">
        <f t="shared" si="6"/>
        <v>2.0290480572997681E-3</v>
      </c>
      <c r="X78" t="e">
        <f t="shared" si="7"/>
        <v>#N/A</v>
      </c>
      <c r="Y78">
        <f t="shared" si="8"/>
        <v>2.0290480572997681E-3</v>
      </c>
      <c r="Z78" t="e">
        <f t="shared" si="9"/>
        <v>#N/A</v>
      </c>
    </row>
    <row r="79" spans="21:26" x14ac:dyDescent="0.3">
      <c r="U79" t="e">
        <f t="shared" si="5"/>
        <v>#N/A</v>
      </c>
      <c r="V79">
        <v>-3.24</v>
      </c>
      <c r="W79">
        <f t="shared" si="6"/>
        <v>2.0959706128579419E-3</v>
      </c>
      <c r="X79" t="e">
        <f t="shared" si="7"/>
        <v>#N/A</v>
      </c>
      <c r="Y79">
        <f t="shared" si="8"/>
        <v>2.0959706128579419E-3</v>
      </c>
      <c r="Z79" t="e">
        <f t="shared" si="9"/>
        <v>#N/A</v>
      </c>
    </row>
    <row r="80" spans="21:26" x14ac:dyDescent="0.3">
      <c r="U80" t="e">
        <f t="shared" si="5"/>
        <v>#N/A</v>
      </c>
      <c r="V80">
        <v>-3.23</v>
      </c>
      <c r="W80">
        <f t="shared" si="6"/>
        <v>2.164883925171062E-3</v>
      </c>
      <c r="X80" t="e">
        <f t="shared" si="7"/>
        <v>#N/A</v>
      </c>
      <c r="Y80">
        <f t="shared" si="8"/>
        <v>2.164883925171062E-3</v>
      </c>
      <c r="Z80" t="e">
        <f t="shared" si="9"/>
        <v>#N/A</v>
      </c>
    </row>
    <row r="81" spans="21:26" x14ac:dyDescent="0.3">
      <c r="U81" t="e">
        <f t="shared" si="5"/>
        <v>#N/A</v>
      </c>
      <c r="V81">
        <v>-3.22</v>
      </c>
      <c r="W81">
        <f t="shared" si="6"/>
        <v>2.2358394396885385E-3</v>
      </c>
      <c r="X81" t="e">
        <f t="shared" si="7"/>
        <v>#N/A</v>
      </c>
      <c r="Y81">
        <f t="shared" si="8"/>
        <v>2.2358394396885385E-3</v>
      </c>
      <c r="Z81" t="e">
        <f t="shared" si="9"/>
        <v>#N/A</v>
      </c>
    </row>
    <row r="82" spans="21:26" x14ac:dyDescent="0.3">
      <c r="U82" t="e">
        <f t="shared" si="5"/>
        <v>#N/A</v>
      </c>
      <c r="V82">
        <v>-3.21</v>
      </c>
      <c r="W82">
        <f t="shared" si="6"/>
        <v>2.3088896680064958E-3</v>
      </c>
      <c r="X82" t="e">
        <f t="shared" si="7"/>
        <v>#N/A</v>
      </c>
      <c r="Y82">
        <f t="shared" si="8"/>
        <v>2.3088896680064958E-3</v>
      </c>
      <c r="Z82" t="e">
        <f t="shared" si="9"/>
        <v>#N/A</v>
      </c>
    </row>
    <row r="83" spans="21:26" x14ac:dyDescent="0.3">
      <c r="U83" t="e">
        <f t="shared" si="5"/>
        <v>#N/A</v>
      </c>
      <c r="V83">
        <v>-3.2</v>
      </c>
      <c r="W83">
        <f t="shared" si="6"/>
        <v>2.3840882014648404E-3</v>
      </c>
      <c r="X83" t="e">
        <f t="shared" si="7"/>
        <v>#N/A</v>
      </c>
      <c r="Y83">
        <f t="shared" si="8"/>
        <v>2.3840882014648404E-3</v>
      </c>
      <c r="Z83" t="e">
        <f t="shared" si="9"/>
        <v>#N/A</v>
      </c>
    </row>
    <row r="84" spans="21:26" x14ac:dyDescent="0.3">
      <c r="U84" t="e">
        <f t="shared" si="5"/>
        <v>#N/A</v>
      </c>
      <c r="V84">
        <v>-3.19</v>
      </c>
      <c r="W84">
        <f t="shared" si="6"/>
        <v>2.4614897246407006E-3</v>
      </c>
      <c r="X84" t="e">
        <f t="shared" si="7"/>
        <v>#N/A</v>
      </c>
      <c r="Y84">
        <f t="shared" si="8"/>
        <v>2.4614897246407006E-3</v>
      </c>
      <c r="Z84" t="e">
        <f t="shared" si="9"/>
        <v>#N/A</v>
      </c>
    </row>
    <row r="85" spans="21:26" x14ac:dyDescent="0.3">
      <c r="U85" t="e">
        <f t="shared" si="5"/>
        <v>#N/A</v>
      </c>
      <c r="V85">
        <v>-3.18</v>
      </c>
      <c r="W85">
        <f t="shared" si="6"/>
        <v>2.5411500287265214E-3</v>
      </c>
      <c r="X85" t="e">
        <f t="shared" si="7"/>
        <v>#N/A</v>
      </c>
      <c r="Y85">
        <f t="shared" si="8"/>
        <v>2.5411500287265214E-3</v>
      </c>
      <c r="Z85" t="e">
        <f t="shared" si="9"/>
        <v>#N/A</v>
      </c>
    </row>
    <row r="86" spans="21:26" x14ac:dyDescent="0.3">
      <c r="U86" t="e">
        <f t="shared" si="5"/>
        <v>#N/A</v>
      </c>
      <c r="V86">
        <v>-3.17</v>
      </c>
      <c r="W86">
        <f t="shared" si="6"/>
        <v>2.6231260247810244E-3</v>
      </c>
      <c r="X86" t="e">
        <f t="shared" si="7"/>
        <v>#N/A</v>
      </c>
      <c r="Y86">
        <f t="shared" si="8"/>
        <v>2.6231260247810244E-3</v>
      </c>
      <c r="Z86" t="e">
        <f t="shared" si="9"/>
        <v>#N/A</v>
      </c>
    </row>
    <row r="87" spans="21:26" x14ac:dyDescent="0.3">
      <c r="U87" t="e">
        <f t="shared" si="5"/>
        <v>#N/A</v>
      </c>
      <c r="V87">
        <v>-3.16</v>
      </c>
      <c r="W87">
        <f t="shared" si="6"/>
        <v>2.7074757568406999E-3</v>
      </c>
      <c r="X87" t="e">
        <f t="shared" si="7"/>
        <v>#N/A</v>
      </c>
      <c r="Y87">
        <f t="shared" si="8"/>
        <v>2.7074757568406999E-3</v>
      </c>
      <c r="Z87" t="e">
        <f t="shared" si="9"/>
        <v>#N/A</v>
      </c>
    </row>
    <row r="88" spans="21:26" x14ac:dyDescent="0.3">
      <c r="U88" t="e">
        <f t="shared" si="5"/>
        <v>#N/A</v>
      </c>
      <c r="V88">
        <v>-3.15</v>
      </c>
      <c r="W88">
        <f t="shared" si="6"/>
        <v>2.7942584148794472E-3</v>
      </c>
      <c r="X88" t="e">
        <f t="shared" si="7"/>
        <v>#N/A</v>
      </c>
      <c r="Y88">
        <f t="shared" si="8"/>
        <v>2.7942584148794472E-3</v>
      </c>
      <c r="Z88" t="e">
        <f t="shared" si="9"/>
        <v>#N/A</v>
      </c>
    </row>
    <row r="89" spans="21:26" x14ac:dyDescent="0.3">
      <c r="U89" t="e">
        <f t="shared" si="5"/>
        <v>#N/A</v>
      </c>
      <c r="V89">
        <v>-3.14</v>
      </c>
      <c r="W89">
        <f t="shared" si="6"/>
        <v>2.8835343476034392E-3</v>
      </c>
      <c r="X89" t="e">
        <f t="shared" si="7"/>
        <v>#N/A</v>
      </c>
      <c r="Y89">
        <f t="shared" si="8"/>
        <v>2.8835343476034392E-3</v>
      </c>
      <c r="Z89" t="e">
        <f t="shared" si="9"/>
        <v>#N/A</v>
      </c>
    </row>
    <row r="90" spans="21:26" x14ac:dyDescent="0.3">
      <c r="U90" t="e">
        <f t="shared" si="5"/>
        <v>#N/A</v>
      </c>
      <c r="V90">
        <v>-3.13</v>
      </c>
      <c r="W90">
        <f t="shared" si="6"/>
        <v>2.9753650750682535E-3</v>
      </c>
      <c r="X90" t="e">
        <f t="shared" si="7"/>
        <v>#N/A</v>
      </c>
      <c r="Y90">
        <f t="shared" si="8"/>
        <v>2.9753650750682535E-3</v>
      </c>
      <c r="Z90" t="e">
        <f t="shared" si="9"/>
        <v>#N/A</v>
      </c>
    </row>
    <row r="91" spans="21:26" x14ac:dyDescent="0.3">
      <c r="U91" t="e">
        <f t="shared" si="5"/>
        <v>#N/A</v>
      </c>
      <c r="V91">
        <v>-3.12</v>
      </c>
      <c r="W91">
        <f t="shared" si="6"/>
        <v>3.0698133011047403E-3</v>
      </c>
      <c r="X91" t="e">
        <f t="shared" si="7"/>
        <v>#N/A</v>
      </c>
      <c r="Y91">
        <f t="shared" si="8"/>
        <v>3.0698133011047403E-3</v>
      </c>
      <c r="Z91" t="e">
        <f t="shared" si="9"/>
        <v>#N/A</v>
      </c>
    </row>
    <row r="92" spans="21:26" x14ac:dyDescent="0.3">
      <c r="U92" t="e">
        <f t="shared" si="5"/>
        <v>#N/A</v>
      </c>
      <c r="V92">
        <v>-3.11</v>
      </c>
      <c r="W92">
        <f t="shared" si="6"/>
        <v>3.1669429255400811E-3</v>
      </c>
      <c r="X92" t="e">
        <f t="shared" si="7"/>
        <v>#N/A</v>
      </c>
      <c r="Y92">
        <f t="shared" si="8"/>
        <v>3.1669429255400811E-3</v>
      </c>
      <c r="Z92" t="e">
        <f t="shared" si="9"/>
        <v>#N/A</v>
      </c>
    </row>
    <row r="93" spans="21:26" x14ac:dyDescent="0.3">
      <c r="U93" t="e">
        <f t="shared" si="5"/>
        <v>#N/A</v>
      </c>
      <c r="V93">
        <v>-3.1</v>
      </c>
      <c r="W93">
        <f t="shared" si="6"/>
        <v>3.2668190561999182E-3</v>
      </c>
      <c r="X93" t="e">
        <f t="shared" si="7"/>
        <v>#N/A</v>
      </c>
      <c r="Y93">
        <f t="shared" si="8"/>
        <v>3.2668190561999182E-3</v>
      </c>
      <c r="Z93" t="e">
        <f t="shared" si="9"/>
        <v>#N/A</v>
      </c>
    </row>
    <row r="94" spans="21:26" x14ac:dyDescent="0.3">
      <c r="U94" t="e">
        <f t="shared" si="5"/>
        <v>#N/A</v>
      </c>
      <c r="V94">
        <v>-3.09</v>
      </c>
      <c r="W94">
        <f t="shared" si="6"/>
        <v>3.3695080206774812E-3</v>
      </c>
      <c r="X94" t="e">
        <f t="shared" si="7"/>
        <v>#N/A</v>
      </c>
      <c r="Y94">
        <f t="shared" si="8"/>
        <v>3.3695080206774812E-3</v>
      </c>
      <c r="Z94" t="e">
        <f t="shared" si="9"/>
        <v>#N/A</v>
      </c>
    </row>
    <row r="95" spans="21:26" x14ac:dyDescent="0.3">
      <c r="U95" t="e">
        <f t="shared" si="5"/>
        <v>#N/A</v>
      </c>
      <c r="V95">
        <v>-3.08</v>
      </c>
      <c r="W95">
        <f t="shared" si="6"/>
        <v>3.4750773778549375E-3</v>
      </c>
      <c r="X95" t="e">
        <f t="shared" si="7"/>
        <v>#N/A</v>
      </c>
      <c r="Y95">
        <f t="shared" si="8"/>
        <v>3.4750773778549375E-3</v>
      </c>
      <c r="Z95" t="e">
        <f t="shared" si="9"/>
        <v>#N/A</v>
      </c>
    </row>
    <row r="96" spans="21:26" x14ac:dyDescent="0.3">
      <c r="U96" t="e">
        <f t="shared" si="5"/>
        <v>#N/A</v>
      </c>
      <c r="V96">
        <v>-3.07</v>
      </c>
      <c r="W96">
        <f t="shared" si="6"/>
        <v>3.5835959291623614E-3</v>
      </c>
      <c r="X96" t="e">
        <f t="shared" si="7"/>
        <v>#N/A</v>
      </c>
      <c r="Y96">
        <f t="shared" si="8"/>
        <v>3.5835959291623614E-3</v>
      </c>
      <c r="Z96" t="e">
        <f t="shared" si="9"/>
        <v>#N/A</v>
      </c>
    </row>
    <row r="97" spans="21:26" x14ac:dyDescent="0.3">
      <c r="U97" t="e">
        <f t="shared" si="5"/>
        <v>#N/A</v>
      </c>
      <c r="V97">
        <v>-3.06</v>
      </c>
      <c r="W97">
        <f t="shared" si="6"/>
        <v>3.6951337295590349E-3</v>
      </c>
      <c r="X97" t="e">
        <f t="shared" si="7"/>
        <v>#N/A</v>
      </c>
      <c r="Y97">
        <f t="shared" si="8"/>
        <v>3.6951337295590349E-3</v>
      </c>
      <c r="Z97" t="e">
        <f t="shared" si="9"/>
        <v>#N/A</v>
      </c>
    </row>
    <row r="98" spans="21:26" x14ac:dyDescent="0.3">
      <c r="U98" t="e">
        <f t="shared" si="5"/>
        <v>#N/A</v>
      </c>
      <c r="V98">
        <v>-3.05</v>
      </c>
      <c r="W98">
        <f t="shared" si="6"/>
        <v>3.8097620982218104E-3</v>
      </c>
      <c r="X98" t="e">
        <f t="shared" si="7"/>
        <v>#N/A</v>
      </c>
      <c r="Y98">
        <f t="shared" si="8"/>
        <v>3.8097620982218104E-3</v>
      </c>
      <c r="Z98" t="e">
        <f t="shared" si="9"/>
        <v>#N/A</v>
      </c>
    </row>
    <row r="99" spans="21:26" x14ac:dyDescent="0.3">
      <c r="U99" t="e">
        <f t="shared" si="5"/>
        <v>#N/A</v>
      </c>
      <c r="V99">
        <v>-3.04</v>
      </c>
      <c r="W99">
        <f t="shared" si="6"/>
        <v>3.9275536289247789E-3</v>
      </c>
      <c r="X99" t="e">
        <f t="shared" si="7"/>
        <v>#N/A</v>
      </c>
      <c r="Y99">
        <f t="shared" si="8"/>
        <v>3.9275536289247789E-3</v>
      </c>
      <c r="Z99" t="e">
        <f t="shared" si="9"/>
        <v>#N/A</v>
      </c>
    </row>
    <row r="100" spans="21:26" x14ac:dyDescent="0.3">
      <c r="U100" t="e">
        <f t="shared" si="5"/>
        <v>#N/A</v>
      </c>
      <c r="V100">
        <v>-3.03</v>
      </c>
      <c r="W100">
        <f t="shared" si="6"/>
        <v>4.04858220009443E-3</v>
      </c>
      <c r="X100" t="e">
        <f t="shared" si="7"/>
        <v>#N/A</v>
      </c>
      <c r="Y100">
        <f t="shared" si="8"/>
        <v>4.04858220009443E-3</v>
      </c>
      <c r="Z100" t="e">
        <f t="shared" si="9"/>
        <v>#N/A</v>
      </c>
    </row>
    <row r="101" spans="21:26" x14ac:dyDescent="0.3">
      <c r="U101" t="e">
        <f t="shared" si="5"/>
        <v>#N/A</v>
      </c>
      <c r="V101">
        <v>-3.02</v>
      </c>
      <c r="W101">
        <f t="shared" si="6"/>
        <v>4.1729229845239623E-3</v>
      </c>
      <c r="X101" t="e">
        <f t="shared" si="7"/>
        <v>#N/A</v>
      </c>
      <c r="Y101">
        <f t="shared" si="8"/>
        <v>4.1729229845239623E-3</v>
      </c>
      <c r="Z101" t="e">
        <f t="shared" si="9"/>
        <v>#N/A</v>
      </c>
    </row>
    <row r="102" spans="21:26" x14ac:dyDescent="0.3">
      <c r="U102" t="e">
        <f t="shared" si="5"/>
        <v>#N/A</v>
      </c>
      <c r="V102">
        <v>-3.01</v>
      </c>
      <c r="W102">
        <f t="shared" si="6"/>
        <v>4.3006524587304498E-3</v>
      </c>
      <c r="X102" t="e">
        <f t="shared" si="7"/>
        <v>#N/A</v>
      </c>
      <c r="Y102">
        <f t="shared" si="8"/>
        <v>4.3006524587304498E-3</v>
      </c>
      <c r="Z102" t="e">
        <f t="shared" si="9"/>
        <v>#N/A</v>
      </c>
    </row>
    <row r="103" spans="21:26" x14ac:dyDescent="0.3">
      <c r="U103" t="e">
        <f t="shared" si="5"/>
        <v>#N/A</v>
      </c>
      <c r="V103">
        <v>-3</v>
      </c>
      <c r="W103">
        <f t="shared" si="6"/>
        <v>4.4318484119380075E-3</v>
      </c>
      <c r="X103" t="e">
        <f t="shared" si="7"/>
        <v>#N/A</v>
      </c>
      <c r="Y103">
        <f t="shared" si="8"/>
        <v>4.4318484119380075E-3</v>
      </c>
      <c r="Z103" t="e">
        <f t="shared" si="9"/>
        <v>#N/A</v>
      </c>
    </row>
    <row r="104" spans="21:26" x14ac:dyDescent="0.3">
      <c r="U104" t="e">
        <f t="shared" si="5"/>
        <v>#N/A</v>
      </c>
      <c r="V104">
        <v>-2.99</v>
      </c>
      <c r="W104">
        <f t="shared" si="6"/>
        <v>4.5665899546701444E-3</v>
      </c>
      <c r="X104" t="e">
        <f t="shared" si="7"/>
        <v>#N/A</v>
      </c>
      <c r="Y104">
        <f t="shared" si="8"/>
        <v>4.5665899546701444E-3</v>
      </c>
      <c r="Z104" t="e">
        <f t="shared" si="9"/>
        <v>#N/A</v>
      </c>
    </row>
    <row r="105" spans="21:26" x14ac:dyDescent="0.3">
      <c r="U105" t="e">
        <f t="shared" si="5"/>
        <v>#N/A</v>
      </c>
      <c r="V105">
        <v>-2.98</v>
      </c>
      <c r="W105">
        <f t="shared" si="6"/>
        <v>4.7049575269339792E-3</v>
      </c>
      <c r="X105" t="e">
        <f t="shared" si="7"/>
        <v>#N/A</v>
      </c>
      <c r="Y105">
        <f t="shared" si="8"/>
        <v>4.7049575269339792E-3</v>
      </c>
      <c r="Z105" t="e">
        <f t="shared" si="9"/>
        <v>#N/A</v>
      </c>
    </row>
    <row r="106" spans="21:26" x14ac:dyDescent="0.3">
      <c r="U106" t="e">
        <f t="shared" si="5"/>
        <v>#N/A</v>
      </c>
      <c r="V106">
        <v>-2.97</v>
      </c>
      <c r="W106">
        <f t="shared" si="6"/>
        <v>4.847032905978944E-3</v>
      </c>
      <c r="X106" t="e">
        <f t="shared" si="7"/>
        <v>#N/A</v>
      </c>
      <c r="Y106">
        <f t="shared" si="8"/>
        <v>4.847032905978944E-3</v>
      </c>
      <c r="Z106" t="e">
        <f t="shared" si="9"/>
        <v>#N/A</v>
      </c>
    </row>
    <row r="107" spans="21:26" x14ac:dyDescent="0.3">
      <c r="U107" t="e">
        <f t="shared" si="5"/>
        <v>#N/A</v>
      </c>
      <c r="V107">
        <v>-2.96</v>
      </c>
      <c r="W107">
        <f t="shared" si="6"/>
        <v>4.9928992136123763E-3</v>
      </c>
      <c r="X107" t="e">
        <f t="shared" si="7"/>
        <v>#N/A</v>
      </c>
      <c r="Y107">
        <f t="shared" si="8"/>
        <v>4.9928992136123763E-3</v>
      </c>
      <c r="Z107" t="e">
        <f t="shared" si="9"/>
        <v>#N/A</v>
      </c>
    </row>
    <row r="108" spans="21:26" x14ac:dyDescent="0.3">
      <c r="U108" t="e">
        <f t="shared" si="5"/>
        <v>#N/A</v>
      </c>
      <c r="V108">
        <v>-2.95</v>
      </c>
      <c r="W108">
        <f t="shared" si="6"/>
        <v>5.1426409230539392E-3</v>
      </c>
      <c r="X108" t="e">
        <f t="shared" si="7"/>
        <v>#N/A</v>
      </c>
      <c r="Y108">
        <f t="shared" si="8"/>
        <v>5.1426409230539392E-3</v>
      </c>
      <c r="Z108" t="e">
        <f t="shared" si="9"/>
        <v>#N/A</v>
      </c>
    </row>
    <row r="109" spans="21:26" x14ac:dyDescent="0.3">
      <c r="U109" t="e">
        <f t="shared" si="5"/>
        <v>#N/A</v>
      </c>
      <c r="V109">
        <v>-2.94</v>
      </c>
      <c r="W109">
        <f t="shared" si="6"/>
        <v>5.2963438653110201E-3</v>
      </c>
      <c r="X109" t="e">
        <f t="shared" si="7"/>
        <v>#N/A</v>
      </c>
      <c r="Y109">
        <f t="shared" si="8"/>
        <v>5.2963438653110201E-3</v>
      </c>
      <c r="Z109" t="e">
        <f t="shared" si="9"/>
        <v>#N/A</v>
      </c>
    </row>
    <row r="110" spans="21:26" x14ac:dyDescent="0.3">
      <c r="U110" t="e">
        <f t="shared" si="5"/>
        <v>#N/A</v>
      </c>
      <c r="V110">
        <v>-2.93</v>
      </c>
      <c r="W110">
        <f t="shared" si="6"/>
        <v>5.4540952350565454E-3</v>
      </c>
      <c r="X110" t="e">
        <f t="shared" si="7"/>
        <v>#N/A</v>
      </c>
      <c r="Y110">
        <f t="shared" si="8"/>
        <v>5.4540952350565454E-3</v>
      </c>
      <c r="Z110" t="e">
        <f t="shared" si="9"/>
        <v>#N/A</v>
      </c>
    </row>
    <row r="111" spans="21:26" x14ac:dyDescent="0.3">
      <c r="U111" t="e">
        <f t="shared" si="5"/>
        <v>#N/A</v>
      </c>
      <c r="V111">
        <v>-2.92</v>
      </c>
      <c r="W111">
        <f t="shared" si="6"/>
        <v>5.615983595990969E-3</v>
      </c>
      <c r="X111" t="e">
        <f t="shared" si="7"/>
        <v>#N/A</v>
      </c>
      <c r="Y111">
        <f t="shared" si="8"/>
        <v>5.615983595990969E-3</v>
      </c>
      <c r="Z111" t="e">
        <f t="shared" si="9"/>
        <v>#N/A</v>
      </c>
    </row>
    <row r="112" spans="21:26" x14ac:dyDescent="0.3">
      <c r="U112" t="e">
        <f t="shared" si="5"/>
        <v>#N/A</v>
      </c>
      <c r="V112">
        <v>-2.91</v>
      </c>
      <c r="W112">
        <f t="shared" si="6"/>
        <v>5.7820988856694729E-3</v>
      </c>
      <c r="X112" t="e">
        <f t="shared" si="7"/>
        <v>#N/A</v>
      </c>
      <c r="Y112">
        <f t="shared" si="8"/>
        <v>5.7820988856694729E-3</v>
      </c>
      <c r="Z112" t="e">
        <f t="shared" si="9"/>
        <v>#N/A</v>
      </c>
    </row>
    <row r="113" spans="21:26" x14ac:dyDescent="0.3">
      <c r="U113" t="e">
        <f t="shared" si="5"/>
        <v>#N/A</v>
      </c>
      <c r="V113">
        <v>-2.9</v>
      </c>
      <c r="W113">
        <f t="shared" si="6"/>
        <v>5.9525324197758538E-3</v>
      </c>
      <c r="X113" t="e">
        <f t="shared" si="7"/>
        <v>#N/A</v>
      </c>
      <c r="Y113">
        <f t="shared" si="8"/>
        <v>5.9525324197758538E-3</v>
      </c>
      <c r="Z113" t="e">
        <f t="shared" si="9"/>
        <v>#N/A</v>
      </c>
    </row>
    <row r="114" spans="21:26" x14ac:dyDescent="0.3">
      <c r="U114" t="e">
        <f t="shared" si="5"/>
        <v>#N/A</v>
      </c>
      <c r="V114">
        <v>-2.89</v>
      </c>
      <c r="W114">
        <f t="shared" si="6"/>
        <v>6.1273768958236873E-3</v>
      </c>
      <c r="X114" t="e">
        <f t="shared" si="7"/>
        <v>#N/A</v>
      </c>
      <c r="Y114">
        <f t="shared" si="8"/>
        <v>6.1273768958236873E-3</v>
      </c>
      <c r="Z114" t="e">
        <f t="shared" si="9"/>
        <v>#N/A</v>
      </c>
    </row>
    <row r="115" spans="21:26" x14ac:dyDescent="0.3">
      <c r="U115" t="e">
        <f t="shared" si="5"/>
        <v>#N/A</v>
      </c>
      <c r="V115">
        <v>-2.88</v>
      </c>
      <c r="W115">
        <f t="shared" si="6"/>
        <v>6.3067263962659275E-3</v>
      </c>
      <c r="X115" t="e">
        <f t="shared" si="7"/>
        <v>#N/A</v>
      </c>
      <c r="Y115">
        <f t="shared" si="8"/>
        <v>6.3067263962659275E-3</v>
      </c>
      <c r="Z115" t="e">
        <f t="shared" si="9"/>
        <v>#N/A</v>
      </c>
    </row>
    <row r="116" spans="21:26" x14ac:dyDescent="0.3">
      <c r="U116" t="e">
        <f t="shared" si="5"/>
        <v>#N/A</v>
      </c>
      <c r="V116">
        <v>-2.87</v>
      </c>
      <c r="W116">
        <f t="shared" si="6"/>
        <v>6.4906763909933643E-3</v>
      </c>
      <c r="X116" t="e">
        <f t="shared" si="7"/>
        <v>#N/A</v>
      </c>
      <c r="Y116">
        <f t="shared" si="8"/>
        <v>6.4906763909933643E-3</v>
      </c>
      <c r="Z116" t="e">
        <f t="shared" si="9"/>
        <v>#N/A</v>
      </c>
    </row>
    <row r="117" spans="21:26" x14ac:dyDescent="0.3">
      <c r="U117" t="e">
        <f t="shared" si="5"/>
        <v>#N/A</v>
      </c>
      <c r="V117">
        <v>-2.86</v>
      </c>
      <c r="W117">
        <f t="shared" si="6"/>
        <v>6.6793237392026202E-3</v>
      </c>
      <c r="X117" t="e">
        <f t="shared" si="7"/>
        <v>#N/A</v>
      </c>
      <c r="Y117">
        <f t="shared" si="8"/>
        <v>6.6793237392026202E-3</v>
      </c>
      <c r="Z117" t="e">
        <f t="shared" si="9"/>
        <v>#N/A</v>
      </c>
    </row>
    <row r="118" spans="21:26" x14ac:dyDescent="0.3">
      <c r="U118" t="e">
        <f t="shared" si="5"/>
        <v>#N/A</v>
      </c>
      <c r="V118">
        <v>-2.85</v>
      </c>
      <c r="W118">
        <f t="shared" si="6"/>
        <v>6.8727666906139712E-3</v>
      </c>
      <c r="X118" t="e">
        <f t="shared" si="7"/>
        <v>#N/A</v>
      </c>
      <c r="Y118">
        <f t="shared" si="8"/>
        <v>6.8727666906139712E-3</v>
      </c>
      <c r="Z118" t="e">
        <f t="shared" si="9"/>
        <v>#N/A</v>
      </c>
    </row>
    <row r="119" spans="21:26" x14ac:dyDescent="0.3">
      <c r="U119" t="e">
        <f t="shared" si="5"/>
        <v>#N/A</v>
      </c>
      <c r="V119">
        <v>-2.84</v>
      </c>
      <c r="W119">
        <f t="shared" si="6"/>
        <v>7.0711048860194487E-3</v>
      </c>
      <c r="X119" t="e">
        <f t="shared" si="7"/>
        <v>#N/A</v>
      </c>
      <c r="Y119">
        <f t="shared" si="8"/>
        <v>7.0711048860194487E-3</v>
      </c>
      <c r="Z119" t="e">
        <f t="shared" si="9"/>
        <v>#N/A</v>
      </c>
    </row>
    <row r="120" spans="21:26" x14ac:dyDescent="0.3">
      <c r="U120" t="e">
        <f t="shared" si="5"/>
        <v>#N/A</v>
      </c>
      <c r="V120">
        <v>-2.83</v>
      </c>
      <c r="W120">
        <f t="shared" si="6"/>
        <v>7.2744393571412182E-3</v>
      </c>
      <c r="X120" t="e">
        <f t="shared" si="7"/>
        <v>#N/A</v>
      </c>
      <c r="Y120">
        <f t="shared" si="8"/>
        <v>7.2744393571412182E-3</v>
      </c>
      <c r="Z120" t="e">
        <f t="shared" si="9"/>
        <v>#N/A</v>
      </c>
    </row>
    <row r="121" spans="21:26" x14ac:dyDescent="0.3">
      <c r="U121" t="e">
        <f t="shared" si="5"/>
        <v>#N/A</v>
      </c>
      <c r="V121">
        <v>-2.82</v>
      </c>
      <c r="W121">
        <f t="shared" si="6"/>
        <v>7.4828725257805638E-3</v>
      </c>
      <c r="X121" t="e">
        <f t="shared" si="7"/>
        <v>#N/A</v>
      </c>
      <c r="Y121">
        <f t="shared" si="8"/>
        <v>7.4828725257805638E-3</v>
      </c>
      <c r="Z121" t="e">
        <f t="shared" si="9"/>
        <v>#N/A</v>
      </c>
    </row>
    <row r="122" spans="21:26" x14ac:dyDescent="0.3">
      <c r="U122" t="e">
        <f t="shared" si="5"/>
        <v>#N/A</v>
      </c>
      <c r="V122">
        <v>-2.81</v>
      </c>
      <c r="W122">
        <f t="shared" si="6"/>
        <v>7.6965082022373218E-3</v>
      </c>
      <c r="X122" t="e">
        <f t="shared" si="7"/>
        <v>#N/A</v>
      </c>
      <c r="Y122">
        <f t="shared" si="8"/>
        <v>7.6965082022373218E-3</v>
      </c>
      <c r="Z122" t="e">
        <f t="shared" si="9"/>
        <v>#N/A</v>
      </c>
    </row>
    <row r="123" spans="21:26" x14ac:dyDescent="0.3">
      <c r="U123" t="e">
        <f t="shared" si="5"/>
        <v>#N/A</v>
      </c>
      <c r="V123">
        <v>-2.8</v>
      </c>
      <c r="W123">
        <f t="shared" si="6"/>
        <v>7.9154515829799686E-3</v>
      </c>
      <c r="X123" t="e">
        <f t="shared" si="7"/>
        <v>#N/A</v>
      </c>
      <c r="Y123">
        <f t="shared" si="8"/>
        <v>7.9154515829799686E-3</v>
      </c>
      <c r="Z123" t="e">
        <f t="shared" si="9"/>
        <v>#N/A</v>
      </c>
    </row>
    <row r="124" spans="21:26" x14ac:dyDescent="0.3">
      <c r="U124" t="e">
        <f t="shared" si="5"/>
        <v>#N/A</v>
      </c>
      <c r="V124">
        <v>-2.79</v>
      </c>
      <c r="W124">
        <f t="shared" si="6"/>
        <v>8.1398092475460215E-3</v>
      </c>
      <c r="X124" t="e">
        <f t="shared" si="7"/>
        <v>#N/A</v>
      </c>
      <c r="Y124">
        <f t="shared" si="8"/>
        <v>8.1398092475460215E-3</v>
      </c>
      <c r="Z124" t="e">
        <f t="shared" si="9"/>
        <v>#N/A</v>
      </c>
    </row>
    <row r="125" spans="21:26" x14ac:dyDescent="0.3">
      <c r="U125" t="e">
        <f t="shared" si="5"/>
        <v>#N/A</v>
      </c>
      <c r="V125">
        <v>-2.78</v>
      </c>
      <c r="W125">
        <f t="shared" si="6"/>
        <v>8.369689154653033E-3</v>
      </c>
      <c r="X125" t="e">
        <f t="shared" si="7"/>
        <v>#N/A</v>
      </c>
      <c r="Y125">
        <f t="shared" si="8"/>
        <v>8.369689154653033E-3</v>
      </c>
      <c r="Z125" t="e">
        <f t="shared" si="9"/>
        <v>#N/A</v>
      </c>
    </row>
    <row r="126" spans="21:26" x14ac:dyDescent="0.3">
      <c r="U126" t="e">
        <f t="shared" si="5"/>
        <v>#N/A</v>
      </c>
      <c r="V126">
        <v>-2.77</v>
      </c>
      <c r="W126">
        <f t="shared" si="6"/>
        <v>8.6052006374996715E-3</v>
      </c>
      <c r="X126" t="e">
        <f t="shared" si="7"/>
        <v>#N/A</v>
      </c>
      <c r="Y126">
        <f t="shared" si="8"/>
        <v>8.6052006374996715E-3</v>
      </c>
      <c r="Z126" t="e">
        <f t="shared" si="9"/>
        <v>#N/A</v>
      </c>
    </row>
    <row r="127" spans="21:26" x14ac:dyDescent="0.3">
      <c r="U127" t="e">
        <f t="shared" si="5"/>
        <v>#N/A</v>
      </c>
      <c r="V127">
        <v>-2.76</v>
      </c>
      <c r="W127">
        <f t="shared" si="6"/>
        <v>8.8464543982372315E-3</v>
      </c>
      <c r="X127" t="e">
        <f t="shared" si="7"/>
        <v>#N/A</v>
      </c>
      <c r="Y127">
        <f t="shared" si="8"/>
        <v>8.8464543982372315E-3</v>
      </c>
      <c r="Z127" t="e">
        <f t="shared" si="9"/>
        <v>#N/A</v>
      </c>
    </row>
    <row r="128" spans="21:26" x14ac:dyDescent="0.3">
      <c r="U128" t="e">
        <f t="shared" si="5"/>
        <v>#N/A</v>
      </c>
      <c r="V128">
        <v>-2.75</v>
      </c>
      <c r="W128">
        <f t="shared" si="6"/>
        <v>9.0935625015910529E-3</v>
      </c>
      <c r="X128" t="e">
        <f t="shared" si="7"/>
        <v>#N/A</v>
      </c>
      <c r="Y128">
        <f t="shared" si="8"/>
        <v>9.0935625015910529E-3</v>
      </c>
      <c r="Z128" t="e">
        <f t="shared" si="9"/>
        <v>#N/A</v>
      </c>
    </row>
    <row r="129" spans="21:26" x14ac:dyDescent="0.3">
      <c r="U129" t="e">
        <f t="shared" si="5"/>
        <v>#N/A</v>
      </c>
      <c r="V129">
        <v>-2.74</v>
      </c>
      <c r="W129">
        <f t="shared" si="6"/>
        <v>9.3466383676122835E-3</v>
      </c>
      <c r="X129" t="e">
        <f t="shared" si="7"/>
        <v>#N/A</v>
      </c>
      <c r="Y129">
        <f t="shared" si="8"/>
        <v>9.3466383676122835E-3</v>
      </c>
      <c r="Z129" t="e">
        <f t="shared" si="9"/>
        <v>#N/A</v>
      </c>
    </row>
    <row r="130" spans="21:26" x14ac:dyDescent="0.3">
      <c r="U130" t="e">
        <f t="shared" si="5"/>
        <v>#N/A</v>
      </c>
      <c r="V130">
        <v>-2.73</v>
      </c>
      <c r="W130">
        <f t="shared" si="6"/>
        <v>9.6057967635395872E-3</v>
      </c>
      <c r="X130" t="e">
        <f t="shared" si="7"/>
        <v>#N/A</v>
      </c>
      <c r="Y130">
        <f t="shared" si="8"/>
        <v>9.6057967635395872E-3</v>
      </c>
      <c r="Z130" t="e">
        <f t="shared" si="9"/>
        <v>#N/A</v>
      </c>
    </row>
    <row r="131" spans="21:26" x14ac:dyDescent="0.3">
      <c r="U131" t="e">
        <f t="shared" si="5"/>
        <v>#N/A</v>
      </c>
      <c r="V131">
        <v>-2.72</v>
      </c>
      <c r="W131">
        <f t="shared" si="6"/>
        <v>9.8711537947511301E-3</v>
      </c>
      <c r="X131" t="e">
        <f t="shared" si="7"/>
        <v>#N/A</v>
      </c>
      <c r="Y131">
        <f t="shared" si="8"/>
        <v>9.8711537947511301E-3</v>
      </c>
      <c r="Z131" t="e">
        <f t="shared" si="9"/>
        <v>#N/A</v>
      </c>
    </row>
    <row r="132" spans="21:26" x14ac:dyDescent="0.3">
      <c r="U132" t="e">
        <f t="shared" ref="U132:U195" si="10">IF($A$2=ABS(V132),0,NA())</f>
        <v>#N/A</v>
      </c>
      <c r="V132">
        <v>-2.71</v>
      </c>
      <c r="W132">
        <f t="shared" ref="W132:W195" si="11">_xlfn.NORM.S.DIST(V132,0)</f>
        <v>1.0142826894787077E-2</v>
      </c>
      <c r="X132" t="e">
        <f t="shared" ref="X132:X195" si="12">IF(ABS(V132)=$A$2,W132,NA())</f>
        <v>#N/A</v>
      </c>
      <c r="Y132">
        <f t="shared" ref="Y132:Y195" si="13">IF(V132&lt;=$A$2,W132,NA())</f>
        <v>1.0142826894787077E-2</v>
      </c>
      <c r="Z132" t="e">
        <f t="shared" ref="Z132:Z195" si="14">IF(ABS(V132)&lt;=$A$2,W132,NA())</f>
        <v>#N/A</v>
      </c>
    </row>
    <row r="133" spans="21:26" x14ac:dyDescent="0.3">
      <c r="U133" t="e">
        <f t="shared" si="10"/>
        <v>#N/A</v>
      </c>
      <c r="V133">
        <v>-2.7</v>
      </c>
      <c r="W133">
        <f t="shared" si="11"/>
        <v>1.0420934814422592E-2</v>
      </c>
      <c r="X133" t="e">
        <f t="shared" si="12"/>
        <v>#N/A</v>
      </c>
      <c r="Y133">
        <f t="shared" si="13"/>
        <v>1.0420934814422592E-2</v>
      </c>
      <c r="Z133" t="e">
        <f t="shared" si="14"/>
        <v>#N/A</v>
      </c>
    </row>
    <row r="134" spans="21:26" x14ac:dyDescent="0.3">
      <c r="U134" t="e">
        <f t="shared" si="10"/>
        <v>#N/A</v>
      </c>
      <c r="V134">
        <v>-2.69</v>
      </c>
      <c r="W134">
        <f t="shared" si="11"/>
        <v>1.0705597609772187E-2</v>
      </c>
      <c r="X134" t="e">
        <f t="shared" si="12"/>
        <v>#N/A</v>
      </c>
      <c r="Y134">
        <f t="shared" si="13"/>
        <v>1.0705597609772187E-2</v>
      </c>
      <c r="Z134" t="e">
        <f t="shared" si="14"/>
        <v>#N/A</v>
      </c>
    </row>
    <row r="135" spans="21:26" x14ac:dyDescent="0.3">
      <c r="U135" t="e">
        <f t="shared" si="10"/>
        <v>#N/A</v>
      </c>
      <c r="V135">
        <v>-2.68</v>
      </c>
      <c r="W135">
        <f t="shared" si="11"/>
        <v>1.0996936629405572E-2</v>
      </c>
      <c r="X135" t="e">
        <f t="shared" si="12"/>
        <v>#N/A</v>
      </c>
      <c r="Y135">
        <f t="shared" si="13"/>
        <v>1.0996936629405572E-2</v>
      </c>
      <c r="Z135" t="e">
        <f t="shared" si="14"/>
        <v>#N/A</v>
      </c>
    </row>
    <row r="136" spans="21:26" x14ac:dyDescent="0.3">
      <c r="U136" t="e">
        <f t="shared" si="10"/>
        <v>#N/A</v>
      </c>
      <c r="V136">
        <v>-2.67</v>
      </c>
      <c r="W136">
        <f t="shared" si="11"/>
        <v>1.1295074500456135E-2</v>
      </c>
      <c r="X136" t="e">
        <f t="shared" si="12"/>
        <v>#N/A</v>
      </c>
      <c r="Y136">
        <f t="shared" si="13"/>
        <v>1.1295074500456135E-2</v>
      </c>
      <c r="Z136" t="e">
        <f t="shared" si="14"/>
        <v>#N/A</v>
      </c>
    </row>
    <row r="137" spans="21:26" x14ac:dyDescent="0.3">
      <c r="U137" t="e">
        <f t="shared" si="10"/>
        <v>#N/A</v>
      </c>
      <c r="V137">
        <v>-2.66</v>
      </c>
      <c r="W137">
        <f t="shared" si="11"/>
        <v>1.1600135113702561E-2</v>
      </c>
      <c r="X137" t="e">
        <f t="shared" si="12"/>
        <v>#N/A</v>
      </c>
      <c r="Y137">
        <f t="shared" si="13"/>
        <v>1.1600135113702561E-2</v>
      </c>
      <c r="Z137" t="e">
        <f t="shared" si="14"/>
        <v>#N/A</v>
      </c>
    </row>
    <row r="138" spans="21:26" x14ac:dyDescent="0.3">
      <c r="U138" t="e">
        <f t="shared" si="10"/>
        <v>#N/A</v>
      </c>
      <c r="V138">
        <v>-2.65</v>
      </c>
      <c r="W138">
        <f t="shared" si="11"/>
        <v>1.1912243607605179E-2</v>
      </c>
      <c r="X138" t="e">
        <f t="shared" si="12"/>
        <v>#N/A</v>
      </c>
      <c r="Y138">
        <f t="shared" si="13"/>
        <v>1.1912243607605179E-2</v>
      </c>
      <c r="Z138" t="e">
        <f t="shared" si="14"/>
        <v>#N/A</v>
      </c>
    </row>
    <row r="139" spans="21:26" x14ac:dyDescent="0.3">
      <c r="U139" t="e">
        <f t="shared" si="10"/>
        <v>#N/A</v>
      </c>
      <c r="V139">
        <v>-2.64</v>
      </c>
      <c r="W139">
        <f t="shared" si="11"/>
        <v>1.2231526351277971E-2</v>
      </c>
      <c r="X139" t="e">
        <f t="shared" si="12"/>
        <v>#N/A</v>
      </c>
      <c r="Y139">
        <f t="shared" si="13"/>
        <v>1.2231526351277971E-2</v>
      </c>
      <c r="Z139" t="e">
        <f t="shared" si="14"/>
        <v>#N/A</v>
      </c>
    </row>
    <row r="140" spans="21:26" x14ac:dyDescent="0.3">
      <c r="U140" t="e">
        <f t="shared" si="10"/>
        <v>#N/A</v>
      </c>
      <c r="V140">
        <v>-2.63</v>
      </c>
      <c r="W140">
        <f t="shared" si="11"/>
        <v>1.2558110926378211E-2</v>
      </c>
      <c r="X140" t="e">
        <f t="shared" si="12"/>
        <v>#N/A</v>
      </c>
      <c r="Y140">
        <f t="shared" si="13"/>
        <v>1.2558110926378211E-2</v>
      </c>
      <c r="Z140" t="e">
        <f t="shared" si="14"/>
        <v>#N/A</v>
      </c>
    </row>
    <row r="141" spans="21:26" x14ac:dyDescent="0.3">
      <c r="U141" t="e">
        <f t="shared" si="10"/>
        <v>#N/A</v>
      </c>
      <c r="V141">
        <v>-2.62</v>
      </c>
      <c r="W141">
        <f t="shared" si="11"/>
        <v>1.2892126107895304E-2</v>
      </c>
      <c r="X141" t="e">
        <f t="shared" si="12"/>
        <v>#N/A</v>
      </c>
      <c r="Y141">
        <f t="shared" si="13"/>
        <v>1.2892126107895304E-2</v>
      </c>
      <c r="Z141" t="e">
        <f t="shared" si="14"/>
        <v>#N/A</v>
      </c>
    </row>
    <row r="142" spans="21:26" x14ac:dyDescent="0.3">
      <c r="U142" t="e">
        <f t="shared" si="10"/>
        <v>#N/A</v>
      </c>
      <c r="V142">
        <v>-2.61</v>
      </c>
      <c r="W142">
        <f t="shared" si="11"/>
        <v>1.3233701843821374E-2</v>
      </c>
      <c r="X142" t="e">
        <f t="shared" si="12"/>
        <v>#N/A</v>
      </c>
      <c r="Y142">
        <f t="shared" si="13"/>
        <v>1.3233701843821374E-2</v>
      </c>
      <c r="Z142" t="e">
        <f t="shared" si="14"/>
        <v>#N/A</v>
      </c>
    </row>
    <row r="143" spans="21:26" x14ac:dyDescent="0.3">
      <c r="U143" t="e">
        <f t="shared" si="10"/>
        <v>#N/A</v>
      </c>
      <c r="V143">
        <v>-2.6</v>
      </c>
      <c r="W143">
        <f t="shared" si="11"/>
        <v>1.3582969233685613E-2</v>
      </c>
      <c r="X143" t="e">
        <f t="shared" si="12"/>
        <v>#N/A</v>
      </c>
      <c r="Y143">
        <f t="shared" si="13"/>
        <v>1.3582969233685613E-2</v>
      </c>
      <c r="Z143" t="e">
        <f t="shared" si="14"/>
        <v>#N/A</v>
      </c>
    </row>
    <row r="144" spans="21:26" x14ac:dyDescent="0.3">
      <c r="U144" t="e">
        <f t="shared" si="10"/>
        <v>#N/A</v>
      </c>
      <c r="V144">
        <v>-2.59</v>
      </c>
      <c r="W144">
        <f t="shared" si="11"/>
        <v>1.3940060505935825E-2</v>
      </c>
      <c r="X144" t="e">
        <f t="shared" si="12"/>
        <v>#N/A</v>
      </c>
      <c r="Y144">
        <f t="shared" si="13"/>
        <v>1.3940060505935825E-2</v>
      </c>
      <c r="Z144" t="e">
        <f t="shared" si="14"/>
        <v>#N/A</v>
      </c>
    </row>
    <row r="145" spans="21:26" x14ac:dyDescent="0.3">
      <c r="U145" t="e">
        <f t="shared" si="10"/>
        <v>#N/A</v>
      </c>
      <c r="V145">
        <v>-2.58</v>
      </c>
      <c r="W145">
        <f t="shared" si="11"/>
        <v>1.430510899414969E-2</v>
      </c>
      <c r="X145" t="e">
        <f t="shared" si="12"/>
        <v>#N/A</v>
      </c>
      <c r="Y145">
        <f t="shared" si="13"/>
        <v>1.430510899414969E-2</v>
      </c>
      <c r="Z145" t="e">
        <f t="shared" si="14"/>
        <v>#N/A</v>
      </c>
    </row>
    <row r="146" spans="21:26" x14ac:dyDescent="0.3">
      <c r="U146" t="e">
        <f t="shared" si="10"/>
        <v>#N/A</v>
      </c>
      <c r="V146">
        <v>-2.57</v>
      </c>
      <c r="W146">
        <f t="shared" si="11"/>
        <v>1.4678249112060044E-2</v>
      </c>
      <c r="X146" t="e">
        <f t="shared" si="12"/>
        <v>#N/A</v>
      </c>
      <c r="Y146">
        <f t="shared" si="13"/>
        <v>1.4678249112060044E-2</v>
      </c>
      <c r="Z146" t="e">
        <f t="shared" si="14"/>
        <v>#N/A</v>
      </c>
    </row>
    <row r="147" spans="21:26" x14ac:dyDescent="0.3">
      <c r="U147" t="e">
        <f t="shared" si="10"/>
        <v>#N/A</v>
      </c>
      <c r="V147">
        <v>-2.56</v>
      </c>
      <c r="W147">
        <f t="shared" si="11"/>
        <v>1.5059616327377449E-2</v>
      </c>
      <c r="X147" t="e">
        <f t="shared" si="12"/>
        <v>#N/A</v>
      </c>
      <c r="Y147">
        <f t="shared" si="13"/>
        <v>1.5059616327377449E-2</v>
      </c>
      <c r="Z147" t="e">
        <f t="shared" si="14"/>
        <v>#N/A</v>
      </c>
    </row>
    <row r="148" spans="21:26" x14ac:dyDescent="0.3">
      <c r="U148" t="e">
        <f t="shared" si="10"/>
        <v>#N/A</v>
      </c>
      <c r="V148">
        <v>-2.5499999999999998</v>
      </c>
      <c r="W148">
        <f t="shared" si="11"/>
        <v>1.5449347134395174E-2</v>
      </c>
      <c r="X148" t="e">
        <f t="shared" si="12"/>
        <v>#N/A</v>
      </c>
      <c r="Y148">
        <f t="shared" si="13"/>
        <v>1.5449347134395174E-2</v>
      </c>
      <c r="Z148" t="e">
        <f t="shared" si="14"/>
        <v>#N/A</v>
      </c>
    </row>
    <row r="149" spans="21:26" x14ac:dyDescent="0.3">
      <c r="U149" t="e">
        <f t="shared" si="10"/>
        <v>#N/A</v>
      </c>
      <c r="V149">
        <v>-2.54</v>
      </c>
      <c r="W149">
        <f t="shared" si="11"/>
        <v>1.5847579025360818E-2</v>
      </c>
      <c r="X149" t="e">
        <f t="shared" si="12"/>
        <v>#N/A</v>
      </c>
      <c r="Y149">
        <f t="shared" si="13"/>
        <v>1.5847579025360818E-2</v>
      </c>
      <c r="Z149" t="e">
        <f t="shared" si="14"/>
        <v>#N/A</v>
      </c>
    </row>
    <row r="150" spans="21:26" x14ac:dyDescent="0.3">
      <c r="U150" t="e">
        <f t="shared" si="10"/>
        <v>#N/A</v>
      </c>
      <c r="V150">
        <v>-2.5299999999999998</v>
      </c>
      <c r="W150">
        <f t="shared" si="11"/>
        <v>1.6254450460600506E-2</v>
      </c>
      <c r="X150" t="e">
        <f t="shared" si="12"/>
        <v>#N/A</v>
      </c>
      <c r="Y150">
        <f t="shared" si="13"/>
        <v>1.6254450460600506E-2</v>
      </c>
      <c r="Z150" t="e">
        <f t="shared" si="14"/>
        <v>#N/A</v>
      </c>
    </row>
    <row r="151" spans="21:26" x14ac:dyDescent="0.3">
      <c r="U151" t="e">
        <f t="shared" si="10"/>
        <v>#N/A</v>
      </c>
      <c r="V151">
        <v>-2.52</v>
      </c>
      <c r="W151">
        <f t="shared" si="11"/>
        <v>1.6670100837381057E-2</v>
      </c>
      <c r="X151" t="e">
        <f t="shared" si="12"/>
        <v>#N/A</v>
      </c>
      <c r="Y151">
        <f t="shared" si="13"/>
        <v>1.6670100837381057E-2</v>
      </c>
      <c r="Z151" t="e">
        <f t="shared" si="14"/>
        <v>#N/A</v>
      </c>
    </row>
    <row r="152" spans="21:26" x14ac:dyDescent="0.3">
      <c r="U152" t="e">
        <f t="shared" si="10"/>
        <v>#N/A</v>
      </c>
      <c r="V152">
        <v>-2.5099999999999998</v>
      </c>
      <c r="W152">
        <f t="shared" si="11"/>
        <v>1.7094670457496956E-2</v>
      </c>
      <c r="X152" t="e">
        <f t="shared" si="12"/>
        <v>#N/A</v>
      </c>
      <c r="Y152">
        <f t="shared" si="13"/>
        <v>1.7094670457496956E-2</v>
      </c>
      <c r="Z152" t="e">
        <f t="shared" si="14"/>
        <v>#N/A</v>
      </c>
    </row>
    <row r="153" spans="21:26" x14ac:dyDescent="0.3">
      <c r="U153" t="e">
        <f t="shared" si="10"/>
        <v>#N/A</v>
      </c>
      <c r="V153">
        <v>-2.5</v>
      </c>
      <c r="W153">
        <f t="shared" si="11"/>
        <v>1.752830049356854E-2</v>
      </c>
      <c r="X153" t="e">
        <f t="shared" si="12"/>
        <v>#N/A</v>
      </c>
      <c r="Y153">
        <f t="shared" si="13"/>
        <v>1.752830049356854E-2</v>
      </c>
      <c r="Z153" t="e">
        <f t="shared" si="14"/>
        <v>#N/A</v>
      </c>
    </row>
    <row r="154" spans="21:26" x14ac:dyDescent="0.3">
      <c r="U154" t="e">
        <f t="shared" si="10"/>
        <v>#N/A</v>
      </c>
      <c r="V154">
        <v>-2.4900000000000002</v>
      </c>
      <c r="W154">
        <f t="shared" si="11"/>
        <v>1.7971132954039633E-2</v>
      </c>
      <c r="X154" t="e">
        <f t="shared" si="12"/>
        <v>#N/A</v>
      </c>
      <c r="Y154">
        <f t="shared" si="13"/>
        <v>1.7971132954039633E-2</v>
      </c>
      <c r="Z154" t="e">
        <f t="shared" si="14"/>
        <v>#N/A</v>
      </c>
    </row>
    <row r="155" spans="21:26" x14ac:dyDescent="0.3">
      <c r="U155" t="e">
        <f t="shared" si="10"/>
        <v>#N/A</v>
      </c>
      <c r="V155">
        <v>-2.48</v>
      </c>
      <c r="W155">
        <f t="shared" si="11"/>
        <v>1.8423310646862048E-2</v>
      </c>
      <c r="X155" t="e">
        <f t="shared" si="12"/>
        <v>#N/A</v>
      </c>
      <c r="Y155">
        <f t="shared" si="13"/>
        <v>1.8423310646862048E-2</v>
      </c>
      <c r="Z155" t="e">
        <f t="shared" si="14"/>
        <v>#N/A</v>
      </c>
    </row>
    <row r="156" spans="21:26" x14ac:dyDescent="0.3">
      <c r="U156" t="e">
        <f t="shared" si="10"/>
        <v>#N/A</v>
      </c>
      <c r="V156">
        <v>-2.4700000000000002</v>
      </c>
      <c r="W156">
        <f t="shared" si="11"/>
        <v>1.8884977141856163E-2</v>
      </c>
      <c r="X156" t="e">
        <f t="shared" si="12"/>
        <v>#N/A</v>
      </c>
      <c r="Y156">
        <f t="shared" si="13"/>
        <v>1.8884977141856163E-2</v>
      </c>
      <c r="Z156" t="e">
        <f t="shared" si="14"/>
        <v>#N/A</v>
      </c>
    </row>
    <row r="157" spans="21:26" x14ac:dyDescent="0.3">
      <c r="U157" t="e">
        <f t="shared" si="10"/>
        <v>#N/A</v>
      </c>
      <c r="V157">
        <v>-2.46</v>
      </c>
      <c r="W157">
        <f t="shared" si="11"/>
        <v>1.9356276731736961E-2</v>
      </c>
      <c r="X157" t="e">
        <f t="shared" si="12"/>
        <v>#N/A</v>
      </c>
      <c r="Y157">
        <f t="shared" si="13"/>
        <v>1.9356276731736961E-2</v>
      </c>
      <c r="Z157" t="e">
        <f t="shared" si="14"/>
        <v>#N/A</v>
      </c>
    </row>
    <row r="158" spans="21:26" x14ac:dyDescent="0.3">
      <c r="U158" t="e">
        <f t="shared" si="10"/>
        <v>#N/A</v>
      </c>
      <c r="V158">
        <v>-2.4500000000000002</v>
      </c>
      <c r="W158">
        <f t="shared" si="11"/>
        <v>1.9837354391795313E-2</v>
      </c>
      <c r="X158" t="e">
        <f t="shared" si="12"/>
        <v>#N/A</v>
      </c>
      <c r="Y158">
        <f t="shared" si="13"/>
        <v>1.9837354391795313E-2</v>
      </c>
      <c r="Z158" t="e">
        <f t="shared" si="14"/>
        <v>#N/A</v>
      </c>
    </row>
    <row r="159" spans="21:26" x14ac:dyDescent="0.3">
      <c r="U159" t="e">
        <f t="shared" si="10"/>
        <v>#N/A</v>
      </c>
      <c r="V159">
        <v>-2.44</v>
      </c>
      <c r="W159">
        <f t="shared" si="11"/>
        <v>2.0328355738225837E-2</v>
      </c>
      <c r="X159" t="e">
        <f t="shared" si="12"/>
        <v>#N/A</v>
      </c>
      <c r="Y159">
        <f t="shared" si="13"/>
        <v>2.0328355738225837E-2</v>
      </c>
      <c r="Z159" t="e">
        <f t="shared" si="14"/>
        <v>#N/A</v>
      </c>
    </row>
    <row r="160" spans="21:26" x14ac:dyDescent="0.3">
      <c r="U160" t="e">
        <f t="shared" si="10"/>
        <v>#N/A</v>
      </c>
      <c r="V160">
        <v>-2.4300000000000002</v>
      </c>
      <c r="W160">
        <f t="shared" si="11"/>
        <v>2.0829426985092186E-2</v>
      </c>
      <c r="X160" t="e">
        <f t="shared" si="12"/>
        <v>#N/A</v>
      </c>
      <c r="Y160">
        <f t="shared" si="13"/>
        <v>2.0829426985092186E-2</v>
      </c>
      <c r="Z160" t="e">
        <f t="shared" si="14"/>
        <v>#N/A</v>
      </c>
    </row>
    <row r="161" spans="21:26" x14ac:dyDescent="0.3">
      <c r="U161" t="e">
        <f t="shared" si="10"/>
        <v>#N/A</v>
      </c>
      <c r="V161">
        <v>-2.42</v>
      </c>
      <c r="W161">
        <f t="shared" si="11"/>
        <v>2.1340714899922782E-2</v>
      </c>
      <c r="X161" t="e">
        <f t="shared" si="12"/>
        <v>#N/A</v>
      </c>
      <c r="Y161">
        <f t="shared" si="13"/>
        <v>2.1340714899922782E-2</v>
      </c>
      <c r="Z161" t="e">
        <f t="shared" si="14"/>
        <v>#N/A</v>
      </c>
    </row>
    <row r="162" spans="21:26" x14ac:dyDescent="0.3">
      <c r="U162" t="e">
        <f t="shared" si="10"/>
        <v>#N/A</v>
      </c>
      <c r="V162">
        <v>-2.41</v>
      </c>
      <c r="W162">
        <f t="shared" si="11"/>
        <v>2.1862366757929387E-2</v>
      </c>
      <c r="X162" t="e">
        <f t="shared" si="12"/>
        <v>#N/A</v>
      </c>
      <c r="Y162">
        <f t="shared" si="13"/>
        <v>2.1862366757929387E-2</v>
      </c>
      <c r="Z162" t="e">
        <f t="shared" si="14"/>
        <v>#N/A</v>
      </c>
    </row>
    <row r="163" spans="21:26" x14ac:dyDescent="0.3">
      <c r="U163" t="e">
        <f t="shared" si="10"/>
        <v>#N/A</v>
      </c>
      <c r="V163">
        <v>-2.4</v>
      </c>
      <c r="W163">
        <f t="shared" si="11"/>
        <v>2.2394530294842899E-2</v>
      </c>
      <c r="X163" t="e">
        <f t="shared" si="12"/>
        <v>#N/A</v>
      </c>
      <c r="Y163">
        <f t="shared" si="13"/>
        <v>2.2394530294842899E-2</v>
      </c>
      <c r="Z163" t="e">
        <f t="shared" si="14"/>
        <v>#N/A</v>
      </c>
    </row>
    <row r="164" spans="21:26" x14ac:dyDescent="0.3">
      <c r="U164" t="e">
        <f t="shared" si="10"/>
        <v>#N/A</v>
      </c>
      <c r="V164">
        <v>-2.39</v>
      </c>
      <c r="W164">
        <f t="shared" si="11"/>
        <v>2.2937353658360693E-2</v>
      </c>
      <c r="X164" t="e">
        <f t="shared" si="12"/>
        <v>#N/A</v>
      </c>
      <c r="Y164">
        <f t="shared" si="13"/>
        <v>2.2937353658360693E-2</v>
      </c>
      <c r="Z164" t="e">
        <f t="shared" si="14"/>
        <v>#N/A</v>
      </c>
    </row>
    <row r="165" spans="21:26" x14ac:dyDescent="0.3">
      <c r="U165" t="e">
        <f t="shared" si="10"/>
        <v>#N/A</v>
      </c>
      <c r="V165">
        <v>-2.38</v>
      </c>
      <c r="W165">
        <f t="shared" si="11"/>
        <v>2.3490985358201363E-2</v>
      </c>
      <c r="X165" t="e">
        <f t="shared" si="12"/>
        <v>#N/A</v>
      </c>
      <c r="Y165">
        <f t="shared" si="13"/>
        <v>2.3490985358201363E-2</v>
      </c>
      <c r="Z165" t="e">
        <f t="shared" si="14"/>
        <v>#N/A</v>
      </c>
    </row>
    <row r="166" spans="21:26" x14ac:dyDescent="0.3">
      <c r="U166" t="e">
        <f t="shared" si="10"/>
        <v>#N/A</v>
      </c>
      <c r="V166">
        <v>-2.37</v>
      </c>
      <c r="W166">
        <f t="shared" si="11"/>
        <v>2.4055574214762971E-2</v>
      </c>
      <c r="X166" t="e">
        <f t="shared" si="12"/>
        <v>#N/A</v>
      </c>
      <c r="Y166">
        <f t="shared" si="13"/>
        <v>2.4055574214762971E-2</v>
      </c>
      <c r="Z166" t="e">
        <f t="shared" si="14"/>
        <v>#N/A</v>
      </c>
    </row>
    <row r="167" spans="21:26" x14ac:dyDescent="0.3">
      <c r="U167" t="e">
        <f t="shared" si="10"/>
        <v>#N/A</v>
      </c>
      <c r="V167">
        <v>-2.36</v>
      </c>
      <c r="W167">
        <f t="shared" si="11"/>
        <v>2.4631269306382507E-2</v>
      </c>
      <c r="X167" t="e">
        <f t="shared" si="12"/>
        <v>#N/A</v>
      </c>
      <c r="Y167">
        <f t="shared" si="13"/>
        <v>2.4631269306382507E-2</v>
      </c>
      <c r="Z167" t="e">
        <f t="shared" si="14"/>
        <v>#N/A</v>
      </c>
    </row>
    <row r="168" spans="21:26" x14ac:dyDescent="0.3">
      <c r="U168" t="e">
        <f t="shared" si="10"/>
        <v>#N/A</v>
      </c>
      <c r="V168">
        <v>-2.35</v>
      </c>
      <c r="W168">
        <f t="shared" si="11"/>
        <v>2.5218219915194382E-2</v>
      </c>
      <c r="X168" t="e">
        <f t="shared" si="12"/>
        <v>#N/A</v>
      </c>
      <c r="Y168">
        <f t="shared" si="13"/>
        <v>2.5218219915194382E-2</v>
      </c>
      <c r="Z168" t="e">
        <f t="shared" si="14"/>
        <v>#N/A</v>
      </c>
    </row>
    <row r="169" spans="21:26" x14ac:dyDescent="0.3">
      <c r="U169" t="e">
        <f t="shared" si="10"/>
        <v>#N/A</v>
      </c>
      <c r="V169">
        <v>-2.34</v>
      </c>
      <c r="W169">
        <f t="shared" si="11"/>
        <v>2.581657547158769E-2</v>
      </c>
      <c r="X169" t="e">
        <f t="shared" si="12"/>
        <v>#N/A</v>
      </c>
      <c r="Y169">
        <f t="shared" si="13"/>
        <v>2.581657547158769E-2</v>
      </c>
      <c r="Z169" t="e">
        <f t="shared" si="14"/>
        <v>#N/A</v>
      </c>
    </row>
    <row r="170" spans="21:26" x14ac:dyDescent="0.3">
      <c r="U170" t="e">
        <f t="shared" si="10"/>
        <v>#N/A</v>
      </c>
      <c r="V170">
        <v>-2.33</v>
      </c>
      <c r="W170">
        <f t="shared" si="11"/>
        <v>2.6426485497261721E-2</v>
      </c>
      <c r="X170" t="e">
        <f t="shared" si="12"/>
        <v>#N/A</v>
      </c>
      <c r="Y170">
        <f t="shared" si="13"/>
        <v>2.6426485497261721E-2</v>
      </c>
      <c r="Z170" t="e">
        <f t="shared" si="14"/>
        <v>#N/A</v>
      </c>
    </row>
    <row r="171" spans="21:26" x14ac:dyDescent="0.3">
      <c r="U171" t="e">
        <f t="shared" si="10"/>
        <v>#N/A</v>
      </c>
      <c r="V171">
        <v>-2.3199999999999998</v>
      </c>
      <c r="W171">
        <f t="shared" si="11"/>
        <v>2.7048099546881785E-2</v>
      </c>
      <c r="X171" t="e">
        <f t="shared" si="12"/>
        <v>#N/A</v>
      </c>
      <c r="Y171">
        <f t="shared" si="13"/>
        <v>2.7048099546881785E-2</v>
      </c>
      <c r="Z171" t="e">
        <f t="shared" si="14"/>
        <v>#N/A</v>
      </c>
    </row>
    <row r="172" spans="21:26" x14ac:dyDescent="0.3">
      <c r="U172" t="e">
        <f t="shared" si="10"/>
        <v>#N/A</v>
      </c>
      <c r="V172">
        <v>-2.31</v>
      </c>
      <c r="W172">
        <f t="shared" si="11"/>
        <v>2.7681567148336573E-2</v>
      </c>
      <c r="X172" t="e">
        <f t="shared" si="12"/>
        <v>#N/A</v>
      </c>
      <c r="Y172">
        <f t="shared" si="13"/>
        <v>2.7681567148336573E-2</v>
      </c>
      <c r="Z172" t="e">
        <f t="shared" si="14"/>
        <v>#N/A</v>
      </c>
    </row>
    <row r="173" spans="21:26" x14ac:dyDescent="0.3">
      <c r="U173" t="e">
        <f t="shared" si="10"/>
        <v>#N/A</v>
      </c>
      <c r="V173">
        <v>-2.2999999999999998</v>
      </c>
      <c r="W173">
        <f t="shared" si="11"/>
        <v>2.8327037741601186E-2</v>
      </c>
      <c r="X173" t="e">
        <f t="shared" si="12"/>
        <v>#N/A</v>
      </c>
      <c r="Y173">
        <f t="shared" si="13"/>
        <v>2.8327037741601186E-2</v>
      </c>
      <c r="Z173" t="e">
        <f t="shared" si="14"/>
        <v>#N/A</v>
      </c>
    </row>
    <row r="174" spans="21:26" x14ac:dyDescent="0.3">
      <c r="U174" t="e">
        <f t="shared" si="10"/>
        <v>#N/A</v>
      </c>
      <c r="V174">
        <v>-2.29</v>
      </c>
      <c r="W174">
        <f t="shared" si="11"/>
        <v>2.8984660616209412E-2</v>
      </c>
      <c r="X174" t="e">
        <f t="shared" si="12"/>
        <v>#N/A</v>
      </c>
      <c r="Y174">
        <f t="shared" si="13"/>
        <v>2.8984660616209412E-2</v>
      </c>
      <c r="Z174" t="e">
        <f t="shared" si="14"/>
        <v>#N/A</v>
      </c>
    </row>
    <row r="175" spans="21:26" x14ac:dyDescent="0.3">
      <c r="U175" t="e">
        <f t="shared" si="10"/>
        <v>#N/A</v>
      </c>
      <c r="V175">
        <v>-2.2799999999999998</v>
      </c>
      <c r="W175">
        <f t="shared" si="11"/>
        <v>2.9654584847341278E-2</v>
      </c>
      <c r="X175" t="e">
        <f t="shared" si="12"/>
        <v>#N/A</v>
      </c>
      <c r="Y175">
        <f t="shared" si="13"/>
        <v>2.9654584847341278E-2</v>
      </c>
      <c r="Z175" t="e">
        <f t="shared" si="14"/>
        <v>#N/A</v>
      </c>
    </row>
    <row r="176" spans="21:26" x14ac:dyDescent="0.3">
      <c r="U176" t="e">
        <f t="shared" si="10"/>
        <v>#N/A</v>
      </c>
      <c r="V176">
        <v>-2.27</v>
      </c>
      <c r="W176">
        <f t="shared" si="11"/>
        <v>3.0336959230531636E-2</v>
      </c>
      <c r="X176" t="e">
        <f t="shared" si="12"/>
        <v>#N/A</v>
      </c>
      <c r="Y176">
        <f t="shared" si="13"/>
        <v>3.0336959230531636E-2</v>
      </c>
      <c r="Z176" t="e">
        <f t="shared" si="14"/>
        <v>#N/A</v>
      </c>
    </row>
    <row r="177" spans="21:26" x14ac:dyDescent="0.3">
      <c r="U177" t="e">
        <f t="shared" si="10"/>
        <v>#N/A</v>
      </c>
      <c r="V177">
        <v>-2.2599999999999998</v>
      </c>
      <c r="W177">
        <f t="shared" si="11"/>
        <v>3.103193221500827E-2</v>
      </c>
      <c r="X177" t="e">
        <f t="shared" si="12"/>
        <v>#N/A</v>
      </c>
      <c r="Y177">
        <f t="shared" si="13"/>
        <v>3.103193221500827E-2</v>
      </c>
      <c r="Z177" t="e">
        <f t="shared" si="14"/>
        <v>#N/A</v>
      </c>
    </row>
    <row r="178" spans="21:26" x14ac:dyDescent="0.3">
      <c r="U178" t="e">
        <f t="shared" si="10"/>
        <v>#N/A</v>
      </c>
      <c r="V178">
        <v>-2.25</v>
      </c>
      <c r="W178">
        <f t="shared" si="11"/>
        <v>3.1739651835667418E-2</v>
      </c>
      <c r="X178" t="e">
        <f t="shared" si="12"/>
        <v>#N/A</v>
      </c>
      <c r="Y178">
        <f t="shared" si="13"/>
        <v>3.1739651835667418E-2</v>
      </c>
      <c r="Z178" t="e">
        <f t="shared" si="14"/>
        <v>#N/A</v>
      </c>
    </row>
    <row r="179" spans="21:26" x14ac:dyDescent="0.3">
      <c r="U179" t="e">
        <f t="shared" si="10"/>
        <v>#N/A</v>
      </c>
      <c r="V179">
        <v>-2.2400000000000002</v>
      </c>
      <c r="W179">
        <f t="shared" si="11"/>
        <v>3.2460265643697445E-2</v>
      </c>
      <c r="X179" t="e">
        <f t="shared" si="12"/>
        <v>#N/A</v>
      </c>
      <c r="Y179">
        <f t="shared" si="13"/>
        <v>3.2460265643697445E-2</v>
      </c>
      <c r="Z179" t="e">
        <f t="shared" si="14"/>
        <v>#N/A</v>
      </c>
    </row>
    <row r="180" spans="21:26" x14ac:dyDescent="0.3">
      <c r="U180" t="e">
        <f t="shared" si="10"/>
        <v>#N/A</v>
      </c>
      <c r="V180">
        <v>-2.23</v>
      </c>
      <c r="W180">
        <f t="shared" si="11"/>
        <v>3.3193920635861122E-2</v>
      </c>
      <c r="X180" t="e">
        <f t="shared" si="12"/>
        <v>#N/A</v>
      </c>
      <c r="Y180">
        <f t="shared" si="13"/>
        <v>3.3193920635861122E-2</v>
      </c>
      <c r="Z180" t="e">
        <f t="shared" si="14"/>
        <v>#N/A</v>
      </c>
    </row>
    <row r="181" spans="21:26" x14ac:dyDescent="0.3">
      <c r="U181" t="e">
        <f t="shared" si="10"/>
        <v>#N/A</v>
      </c>
      <c r="V181">
        <v>-2.2200000000000002</v>
      </c>
      <c r="W181">
        <f t="shared" si="11"/>
        <v>3.3940763182449186E-2</v>
      </c>
      <c r="X181" t="e">
        <f t="shared" si="12"/>
        <v>#N/A</v>
      </c>
      <c r="Y181">
        <f t="shared" si="13"/>
        <v>3.3940763182449186E-2</v>
      </c>
      <c r="Z181" t="e">
        <f t="shared" si="14"/>
        <v>#N/A</v>
      </c>
    </row>
    <row r="182" spans="21:26" x14ac:dyDescent="0.3">
      <c r="U182" t="e">
        <f t="shared" si="10"/>
        <v>#N/A</v>
      </c>
      <c r="V182">
        <v>-2.21</v>
      </c>
      <c r="W182">
        <f t="shared" si="11"/>
        <v>3.470093895391882E-2</v>
      </c>
      <c r="X182" t="e">
        <f t="shared" si="12"/>
        <v>#N/A</v>
      </c>
      <c r="Y182">
        <f t="shared" si="13"/>
        <v>3.470093895391882E-2</v>
      </c>
      <c r="Z182" t="e">
        <f t="shared" si="14"/>
        <v>#N/A</v>
      </c>
    </row>
    <row r="183" spans="21:26" x14ac:dyDescent="0.3">
      <c r="U183" t="e">
        <f t="shared" si="10"/>
        <v>#N/A</v>
      </c>
      <c r="V183">
        <v>-2.2000000000000002</v>
      </c>
      <c r="W183">
        <f t="shared" si="11"/>
        <v>3.5474592846231424E-2</v>
      </c>
      <c r="X183" t="e">
        <f t="shared" si="12"/>
        <v>#N/A</v>
      </c>
      <c r="Y183">
        <f t="shared" si="13"/>
        <v>3.5474592846231424E-2</v>
      </c>
      <c r="Z183" t="e">
        <f t="shared" si="14"/>
        <v>#N/A</v>
      </c>
    </row>
    <row r="184" spans="21:26" x14ac:dyDescent="0.3">
      <c r="U184" t="e">
        <f t="shared" si="10"/>
        <v>#N/A</v>
      </c>
      <c r="V184">
        <v>-2.19</v>
      </c>
      <c r="W184">
        <f t="shared" si="11"/>
        <v>3.6261868904906222E-2</v>
      </c>
      <c r="X184" t="e">
        <f t="shared" si="12"/>
        <v>#N/A</v>
      </c>
      <c r="Y184">
        <f t="shared" si="13"/>
        <v>3.6261868904906222E-2</v>
      </c>
      <c r="Z184" t="e">
        <f t="shared" si="14"/>
        <v>#N/A</v>
      </c>
    </row>
    <row r="185" spans="21:26" x14ac:dyDescent="0.3">
      <c r="U185" t="e">
        <f t="shared" si="10"/>
        <v>#N/A</v>
      </c>
      <c r="V185">
        <v>-2.1800000000000002</v>
      </c>
      <c r="W185">
        <f t="shared" si="11"/>
        <v>3.7062910247806474E-2</v>
      </c>
      <c r="X185" t="e">
        <f t="shared" si="12"/>
        <v>#N/A</v>
      </c>
      <c r="Y185">
        <f t="shared" si="13"/>
        <v>3.7062910247806474E-2</v>
      </c>
      <c r="Z185" t="e">
        <f t="shared" si="14"/>
        <v>#N/A</v>
      </c>
    </row>
    <row r="186" spans="21:26" x14ac:dyDescent="0.3">
      <c r="U186" t="e">
        <f t="shared" si="10"/>
        <v>#N/A</v>
      </c>
      <c r="V186">
        <v>-2.17</v>
      </c>
      <c r="W186">
        <f t="shared" si="11"/>
        <v>3.7877858986677483E-2</v>
      </c>
      <c r="X186" t="e">
        <f t="shared" si="12"/>
        <v>#N/A</v>
      </c>
      <c r="Y186">
        <f t="shared" si="13"/>
        <v>3.7877858986677483E-2</v>
      </c>
      <c r="Z186" t="e">
        <f t="shared" si="14"/>
        <v>#N/A</v>
      </c>
    </row>
    <row r="187" spans="21:26" x14ac:dyDescent="0.3">
      <c r="U187" t="e">
        <f t="shared" si="10"/>
        <v>#N/A</v>
      </c>
      <c r="V187">
        <v>-2.16</v>
      </c>
      <c r="W187">
        <f t="shared" si="11"/>
        <v>3.8706856147455608E-2</v>
      </c>
      <c r="X187" t="e">
        <f t="shared" si="12"/>
        <v>#N/A</v>
      </c>
      <c r="Y187">
        <f t="shared" si="13"/>
        <v>3.8706856147455608E-2</v>
      </c>
      <c r="Z187" t="e">
        <f t="shared" si="14"/>
        <v>#N/A</v>
      </c>
    </row>
    <row r="188" spans="21:26" x14ac:dyDescent="0.3">
      <c r="U188" t="e">
        <f t="shared" si="10"/>
        <v>#N/A</v>
      </c>
      <c r="V188">
        <v>-2.15</v>
      </c>
      <c r="W188">
        <f t="shared" si="11"/>
        <v>3.955004158937022E-2</v>
      </c>
      <c r="X188" t="e">
        <f t="shared" si="12"/>
        <v>#N/A</v>
      </c>
      <c r="Y188">
        <f t="shared" si="13"/>
        <v>3.955004158937022E-2</v>
      </c>
      <c r="Z188" t="e">
        <f t="shared" si="14"/>
        <v>#N/A</v>
      </c>
    </row>
    <row r="189" spans="21:26" x14ac:dyDescent="0.3">
      <c r="U189" t="e">
        <f t="shared" si="10"/>
        <v>#N/A</v>
      </c>
      <c r="V189">
        <v>-2.14</v>
      </c>
      <c r="W189">
        <f t="shared" si="11"/>
        <v>4.0407553922860308E-2</v>
      </c>
      <c r="X189" t="e">
        <f t="shared" si="12"/>
        <v>#N/A</v>
      </c>
      <c r="Y189">
        <f t="shared" si="13"/>
        <v>4.0407553922860308E-2</v>
      </c>
      <c r="Z189" t="e">
        <f t="shared" si="14"/>
        <v>#N/A</v>
      </c>
    </row>
    <row r="190" spans="21:26" x14ac:dyDescent="0.3">
      <c r="U190" t="e">
        <f t="shared" si="10"/>
        <v>#N/A</v>
      </c>
      <c r="V190">
        <v>-2.13</v>
      </c>
      <c r="W190">
        <f t="shared" si="11"/>
        <v>4.1279530426330417E-2</v>
      </c>
      <c r="X190" t="e">
        <f t="shared" si="12"/>
        <v>#N/A</v>
      </c>
      <c r="Y190">
        <f t="shared" si="13"/>
        <v>4.1279530426330417E-2</v>
      </c>
      <c r="Z190" t="e">
        <f t="shared" si="14"/>
        <v>#N/A</v>
      </c>
    </row>
    <row r="191" spans="21:26" x14ac:dyDescent="0.3">
      <c r="U191" t="e">
        <f t="shared" si="10"/>
        <v>#N/A</v>
      </c>
      <c r="V191">
        <v>-2.12</v>
      </c>
      <c r="W191">
        <f t="shared" si="11"/>
        <v>4.2166106961770311E-2</v>
      </c>
      <c r="X191" t="e">
        <f t="shared" si="12"/>
        <v>#N/A</v>
      </c>
      <c r="Y191">
        <f t="shared" si="13"/>
        <v>4.2166106961770311E-2</v>
      </c>
      <c r="Z191" t="e">
        <f t="shared" si="14"/>
        <v>#N/A</v>
      </c>
    </row>
    <row r="192" spans="21:26" x14ac:dyDescent="0.3">
      <c r="U192" t="e">
        <f t="shared" si="10"/>
        <v>#N/A</v>
      </c>
      <c r="V192">
        <v>-2.11</v>
      </c>
      <c r="W192">
        <f t="shared" si="11"/>
        <v>4.3067417889265734E-2</v>
      </c>
      <c r="X192" t="e">
        <f t="shared" si="12"/>
        <v>#N/A</v>
      </c>
      <c r="Y192">
        <f t="shared" si="13"/>
        <v>4.3067417889265734E-2</v>
      </c>
      <c r="Z192" t="e">
        <f t="shared" si="14"/>
        <v>#N/A</v>
      </c>
    </row>
    <row r="193" spans="21:26" x14ac:dyDescent="0.3">
      <c r="U193" t="e">
        <f t="shared" si="10"/>
        <v>#N/A</v>
      </c>
      <c r="V193">
        <v>-2.1</v>
      </c>
      <c r="W193">
        <f t="shared" si="11"/>
        <v>4.3983595980427191E-2</v>
      </c>
      <c r="X193" t="e">
        <f t="shared" si="12"/>
        <v>#N/A</v>
      </c>
      <c r="Y193">
        <f t="shared" si="13"/>
        <v>4.3983595980427191E-2</v>
      </c>
      <c r="Z193" t="e">
        <f t="shared" si="14"/>
        <v>#N/A</v>
      </c>
    </row>
    <row r="194" spans="21:26" x14ac:dyDescent="0.3">
      <c r="U194" t="e">
        <f t="shared" si="10"/>
        <v>#N/A</v>
      </c>
      <c r="V194">
        <v>-2.09</v>
      </c>
      <c r="W194">
        <f t="shared" si="11"/>
        <v>4.49147723307671E-2</v>
      </c>
      <c r="X194" t="e">
        <f t="shared" si="12"/>
        <v>#N/A</v>
      </c>
      <c r="Y194">
        <f t="shared" si="13"/>
        <v>4.49147723307671E-2</v>
      </c>
      <c r="Z194" t="e">
        <f t="shared" si="14"/>
        <v>#N/A</v>
      </c>
    </row>
    <row r="195" spans="21:26" x14ac:dyDescent="0.3">
      <c r="U195" t="e">
        <f t="shared" si="10"/>
        <v>#N/A</v>
      </c>
      <c r="V195">
        <v>-2.08</v>
      </c>
      <c r="W195">
        <f t="shared" si="11"/>
        <v>4.5861076271054887E-2</v>
      </c>
      <c r="X195" t="e">
        <f t="shared" si="12"/>
        <v>#N/A</v>
      </c>
      <c r="Y195">
        <f t="shared" si="13"/>
        <v>4.5861076271054887E-2</v>
      </c>
      <c r="Z195" t="e">
        <f t="shared" si="14"/>
        <v>#N/A</v>
      </c>
    </row>
    <row r="196" spans="21:26" x14ac:dyDescent="0.3">
      <c r="U196" t="e">
        <f t="shared" ref="U196:U259" si="15">IF($A$2=ABS(V196),0,NA())</f>
        <v>#N/A</v>
      </c>
      <c r="V196">
        <v>-2.0699999999999998</v>
      </c>
      <c r="W196">
        <f t="shared" ref="W196:W259" si="16">_xlfn.NORM.S.DIST(V196,0)</f>
        <v>4.6822635277683163E-2</v>
      </c>
      <c r="X196" t="e">
        <f t="shared" ref="X196:X259" si="17">IF(ABS(V196)=$A$2,W196,NA())</f>
        <v>#N/A</v>
      </c>
      <c r="Y196">
        <f t="shared" ref="Y196:Y259" si="18">IF(V196&lt;=$A$2,W196,NA())</f>
        <v>4.6822635277683163E-2</v>
      </c>
      <c r="Z196" t="e">
        <f t="shared" ref="Z196:Z259" si="19">IF(ABS(V196)&lt;=$A$2,W196,NA())</f>
        <v>#N/A</v>
      </c>
    </row>
    <row r="197" spans="21:26" x14ac:dyDescent="0.3">
      <c r="U197" t="e">
        <f t="shared" si="15"/>
        <v>#N/A</v>
      </c>
      <c r="V197">
        <v>-2.06</v>
      </c>
      <c r="W197">
        <f t="shared" si="16"/>
        <v>4.7799574882077034E-2</v>
      </c>
      <c r="X197" t="e">
        <f t="shared" si="17"/>
        <v>#N/A</v>
      </c>
      <c r="Y197">
        <f t="shared" si="18"/>
        <v>4.7799574882077034E-2</v>
      </c>
      <c r="Z197" t="e">
        <f t="shared" si="19"/>
        <v>#N/A</v>
      </c>
    </row>
    <row r="198" spans="21:26" x14ac:dyDescent="0.3">
      <c r="U198" t="e">
        <f t="shared" si="15"/>
        <v>#N/A</v>
      </c>
      <c r="V198">
        <v>-2.0499999999999998</v>
      </c>
      <c r="W198">
        <f t="shared" si="16"/>
        <v>4.8792018579182764E-2</v>
      </c>
      <c r="X198" t="e">
        <f t="shared" si="17"/>
        <v>#N/A</v>
      </c>
      <c r="Y198">
        <f t="shared" si="18"/>
        <v>4.8792018579182764E-2</v>
      </c>
      <c r="Z198" t="e">
        <f t="shared" si="19"/>
        <v>#N/A</v>
      </c>
    </row>
    <row r="199" spans="21:26" x14ac:dyDescent="0.3">
      <c r="U199" t="e">
        <f t="shared" si="15"/>
        <v>#N/A</v>
      </c>
      <c r="V199">
        <v>-2.04</v>
      </c>
      <c r="W199">
        <f t="shared" si="16"/>
        <v>4.9800087735070775E-2</v>
      </c>
      <c r="X199" t="e">
        <f t="shared" si="17"/>
        <v>#N/A</v>
      </c>
      <c r="Y199">
        <f t="shared" si="18"/>
        <v>4.9800087735070775E-2</v>
      </c>
      <c r="Z199" t="e">
        <f t="shared" si="19"/>
        <v>#N/A</v>
      </c>
    </row>
    <row r="200" spans="21:26" x14ac:dyDescent="0.3">
      <c r="U200" t="e">
        <f t="shared" si="15"/>
        <v>#N/A</v>
      </c>
      <c r="V200">
        <v>-2.0299999999999998</v>
      </c>
      <c r="W200">
        <f t="shared" si="16"/>
        <v>5.0823901493691204E-2</v>
      </c>
      <c r="X200" t="e">
        <f t="shared" si="17"/>
        <v>#N/A</v>
      </c>
      <c r="Y200">
        <f t="shared" si="18"/>
        <v>5.0823901493691204E-2</v>
      </c>
      <c r="Z200" t="e">
        <f t="shared" si="19"/>
        <v>#N/A</v>
      </c>
    </row>
    <row r="201" spans="21:26" x14ac:dyDescent="0.3">
      <c r="U201" t="e">
        <f t="shared" si="15"/>
        <v>#N/A</v>
      </c>
      <c r="V201">
        <v>-2.02</v>
      </c>
      <c r="W201">
        <f t="shared" si="16"/>
        <v>5.1863576682820565E-2</v>
      </c>
      <c r="X201" t="e">
        <f t="shared" si="17"/>
        <v>#N/A</v>
      </c>
      <c r="Y201">
        <f t="shared" si="18"/>
        <v>5.1863576682820565E-2</v>
      </c>
      <c r="Z201" t="e">
        <f t="shared" si="19"/>
        <v>#N/A</v>
      </c>
    </row>
    <row r="202" spans="21:26" x14ac:dyDescent="0.3">
      <c r="U202" t="e">
        <f t="shared" si="15"/>
        <v>#N/A</v>
      </c>
      <c r="V202">
        <v>-2.0099999999999998</v>
      </c>
      <c r="W202">
        <f t="shared" si="16"/>
        <v>5.2919227719240312E-2</v>
      </c>
      <c r="X202" t="e">
        <f t="shared" si="17"/>
        <v>#N/A</v>
      </c>
      <c r="Y202">
        <f t="shared" si="18"/>
        <v>5.2919227719240312E-2</v>
      </c>
      <c r="Z202" t="e">
        <f t="shared" si="19"/>
        <v>#N/A</v>
      </c>
    </row>
    <row r="203" spans="21:26" x14ac:dyDescent="0.3">
      <c r="U203">
        <f t="shared" si="15"/>
        <v>0</v>
      </c>
      <c r="V203">
        <v>-2</v>
      </c>
      <c r="W203">
        <f t="shared" si="16"/>
        <v>5.3990966513188063E-2</v>
      </c>
      <c r="X203">
        <f t="shared" si="17"/>
        <v>5.3990966513188063E-2</v>
      </c>
      <c r="Y203">
        <f t="shared" si="18"/>
        <v>5.3990966513188063E-2</v>
      </c>
      <c r="Z203">
        <f t="shared" si="19"/>
        <v>5.3990966513188063E-2</v>
      </c>
    </row>
    <row r="204" spans="21:26" x14ac:dyDescent="0.3">
      <c r="U204" t="e">
        <f t="shared" si="15"/>
        <v>#N/A</v>
      </c>
      <c r="V204">
        <v>-1.99</v>
      </c>
      <c r="W204">
        <f t="shared" si="16"/>
        <v>5.5078902372125767E-2</v>
      </c>
      <c r="X204" t="e">
        <f t="shared" si="17"/>
        <v>#N/A</v>
      </c>
      <c r="Y204">
        <f t="shared" si="18"/>
        <v>5.5078902372125767E-2</v>
      </c>
      <c r="Z204">
        <f t="shared" si="19"/>
        <v>5.5078902372125767E-2</v>
      </c>
    </row>
    <row r="205" spans="21:26" x14ac:dyDescent="0.3">
      <c r="U205" t="e">
        <f t="shared" si="15"/>
        <v>#N/A</v>
      </c>
      <c r="V205">
        <v>-1.98</v>
      </c>
      <c r="W205">
        <f t="shared" si="16"/>
        <v>5.6183141903868049E-2</v>
      </c>
      <c r="X205" t="e">
        <f t="shared" si="17"/>
        <v>#N/A</v>
      </c>
      <c r="Y205">
        <f t="shared" si="18"/>
        <v>5.6183141903868049E-2</v>
      </c>
      <c r="Z205">
        <f t="shared" si="19"/>
        <v>5.6183141903868049E-2</v>
      </c>
    </row>
    <row r="206" spans="21:26" x14ac:dyDescent="0.3">
      <c r="U206" t="e">
        <f t="shared" si="15"/>
        <v>#N/A</v>
      </c>
      <c r="V206">
        <v>-1.97</v>
      </c>
      <c r="W206">
        <f t="shared" si="16"/>
        <v>5.7303788919117131E-2</v>
      </c>
      <c r="X206" t="e">
        <f t="shared" si="17"/>
        <v>#N/A</v>
      </c>
      <c r="Y206">
        <f t="shared" si="18"/>
        <v>5.7303788919117131E-2</v>
      </c>
      <c r="Z206">
        <f t="shared" si="19"/>
        <v>5.7303788919117131E-2</v>
      </c>
    </row>
    <row r="207" spans="21:26" x14ac:dyDescent="0.3">
      <c r="U207" t="e">
        <f t="shared" si="15"/>
        <v>#N/A</v>
      </c>
      <c r="V207">
        <v>-1.96</v>
      </c>
      <c r="W207">
        <f t="shared" si="16"/>
        <v>5.8440944333451469E-2</v>
      </c>
      <c r="X207" t="e">
        <f t="shared" si="17"/>
        <v>#N/A</v>
      </c>
      <c r="Y207">
        <f t="shared" si="18"/>
        <v>5.8440944333451469E-2</v>
      </c>
      <c r="Z207">
        <f t="shared" si="19"/>
        <v>5.8440944333451469E-2</v>
      </c>
    </row>
    <row r="208" spans="21:26" x14ac:dyDescent="0.3">
      <c r="U208" t="e">
        <f t="shared" si="15"/>
        <v>#N/A</v>
      </c>
      <c r="V208">
        <v>-1.95</v>
      </c>
      <c r="W208">
        <f t="shared" si="16"/>
        <v>5.9594706068816075E-2</v>
      </c>
      <c r="X208" t="e">
        <f t="shared" si="17"/>
        <v>#N/A</v>
      </c>
      <c r="Y208">
        <f t="shared" si="18"/>
        <v>5.9594706068816075E-2</v>
      </c>
      <c r="Z208">
        <f t="shared" si="19"/>
        <v>5.9594706068816075E-2</v>
      </c>
    </row>
    <row r="209" spans="21:26" x14ac:dyDescent="0.3">
      <c r="U209" t="e">
        <f t="shared" si="15"/>
        <v>#N/A</v>
      </c>
      <c r="V209">
        <v>-1.94</v>
      </c>
      <c r="W209">
        <f t="shared" si="16"/>
        <v>6.0765168954564776E-2</v>
      </c>
      <c r="X209" t="e">
        <f t="shared" si="17"/>
        <v>#N/A</v>
      </c>
      <c r="Y209">
        <f t="shared" si="18"/>
        <v>6.0765168954564776E-2</v>
      </c>
      <c r="Z209">
        <f t="shared" si="19"/>
        <v>6.0765168954564776E-2</v>
      </c>
    </row>
    <row r="210" spans="21:26" x14ac:dyDescent="0.3">
      <c r="U210" t="e">
        <f t="shared" si="15"/>
        <v>#N/A</v>
      </c>
      <c r="V210">
        <v>-1.93</v>
      </c>
      <c r="W210">
        <f t="shared" si="16"/>
        <v>6.1952424628105164E-2</v>
      </c>
      <c r="X210" t="e">
        <f t="shared" si="17"/>
        <v>#N/A</v>
      </c>
      <c r="Y210">
        <f t="shared" si="18"/>
        <v>6.1952424628105164E-2</v>
      </c>
      <c r="Z210">
        <f t="shared" si="19"/>
        <v>6.1952424628105164E-2</v>
      </c>
    </row>
    <row r="211" spans="21:26" x14ac:dyDescent="0.3">
      <c r="U211" t="e">
        <f t="shared" si="15"/>
        <v>#N/A</v>
      </c>
      <c r="V211">
        <v>-1.92</v>
      </c>
      <c r="W211">
        <f t="shared" si="16"/>
        <v>6.3156561435198655E-2</v>
      </c>
      <c r="X211" t="e">
        <f t="shared" si="17"/>
        <v>#N/A</v>
      </c>
      <c r="Y211">
        <f t="shared" si="18"/>
        <v>6.3156561435198655E-2</v>
      </c>
      <c r="Z211">
        <f t="shared" si="19"/>
        <v>6.3156561435198655E-2</v>
      </c>
    </row>
    <row r="212" spans="21:26" x14ac:dyDescent="0.3">
      <c r="U212" t="e">
        <f t="shared" si="15"/>
        <v>#N/A</v>
      </c>
      <c r="V212">
        <v>-1.91</v>
      </c>
      <c r="W212">
        <f t="shared" si="16"/>
        <v>6.4377664329969359E-2</v>
      </c>
      <c r="X212" t="e">
        <f t="shared" si="17"/>
        <v>#N/A</v>
      </c>
      <c r="Y212">
        <f t="shared" si="18"/>
        <v>6.4377664329969359E-2</v>
      </c>
      <c r="Z212">
        <f t="shared" si="19"/>
        <v>6.4377664329969359E-2</v>
      </c>
    </row>
    <row r="213" spans="21:26" x14ac:dyDescent="0.3">
      <c r="U213" t="e">
        <f t="shared" si="15"/>
        <v>#N/A</v>
      </c>
      <c r="V213">
        <v>-1.9</v>
      </c>
      <c r="W213">
        <f t="shared" si="16"/>
        <v>6.5615814774676595E-2</v>
      </c>
      <c r="X213" t="e">
        <f t="shared" si="17"/>
        <v>#N/A</v>
      </c>
      <c r="Y213">
        <f t="shared" si="18"/>
        <v>6.5615814774676595E-2</v>
      </c>
      <c r="Z213">
        <f t="shared" si="19"/>
        <v>6.5615814774676595E-2</v>
      </c>
    </row>
    <row r="214" spans="21:26" x14ac:dyDescent="0.3">
      <c r="U214" t="e">
        <f t="shared" si="15"/>
        <v>#N/A</v>
      </c>
      <c r="V214">
        <v>-1.89</v>
      </c>
      <c r="W214">
        <f t="shared" si="16"/>
        <v>6.6871090639307157E-2</v>
      </c>
      <c r="X214" t="e">
        <f t="shared" si="17"/>
        <v>#N/A</v>
      </c>
      <c r="Y214">
        <f t="shared" si="18"/>
        <v>6.6871090639307157E-2</v>
      </c>
      <c r="Z214">
        <f t="shared" si="19"/>
        <v>6.6871090639307157E-2</v>
      </c>
    </row>
    <row r="215" spans="21:26" x14ac:dyDescent="0.3">
      <c r="U215" t="e">
        <f t="shared" si="15"/>
        <v>#N/A</v>
      </c>
      <c r="V215">
        <v>-1.88</v>
      </c>
      <c r="W215">
        <f t="shared" si="16"/>
        <v>6.8143566101044578E-2</v>
      </c>
      <c r="X215" t="e">
        <f t="shared" si="17"/>
        <v>#N/A</v>
      </c>
      <c r="Y215">
        <f t="shared" si="18"/>
        <v>6.8143566101044578E-2</v>
      </c>
      <c r="Z215">
        <f t="shared" si="19"/>
        <v>6.8143566101044578E-2</v>
      </c>
    </row>
    <row r="216" spans="21:26" x14ac:dyDescent="0.3">
      <c r="U216" t="e">
        <f t="shared" si="15"/>
        <v>#N/A</v>
      </c>
      <c r="V216">
        <v>-1.87</v>
      </c>
      <c r="W216">
        <f t="shared" si="16"/>
        <v>6.9433311543674187E-2</v>
      </c>
      <c r="X216" t="e">
        <f t="shared" si="17"/>
        <v>#N/A</v>
      </c>
      <c r="Y216">
        <f t="shared" si="18"/>
        <v>6.9433311543674187E-2</v>
      </c>
      <c r="Z216">
        <f t="shared" si="19"/>
        <v>6.9433311543674187E-2</v>
      </c>
    </row>
    <row r="217" spans="21:26" x14ac:dyDescent="0.3">
      <c r="U217" t="e">
        <f t="shared" si="15"/>
        <v>#N/A</v>
      </c>
      <c r="V217">
        <v>-1.86</v>
      </c>
      <c r="W217">
        <f t="shared" si="16"/>
        <v>7.074039345698338E-2</v>
      </c>
      <c r="X217" t="e">
        <f t="shared" si="17"/>
        <v>#N/A</v>
      </c>
      <c r="Y217">
        <f t="shared" si="18"/>
        <v>7.074039345698338E-2</v>
      </c>
      <c r="Z217">
        <f t="shared" si="19"/>
        <v>7.074039345698338E-2</v>
      </c>
    </row>
    <row r="218" spans="21:26" x14ac:dyDescent="0.3">
      <c r="U218" t="e">
        <f t="shared" si="15"/>
        <v>#N/A</v>
      </c>
      <c r="V218">
        <v>-1.85</v>
      </c>
      <c r="W218">
        <f t="shared" si="16"/>
        <v>7.2064874336217985E-2</v>
      </c>
      <c r="X218" t="e">
        <f t="shared" si="17"/>
        <v>#N/A</v>
      </c>
      <c r="Y218">
        <f t="shared" si="18"/>
        <v>7.2064874336217985E-2</v>
      </c>
      <c r="Z218">
        <f t="shared" si="19"/>
        <v>7.2064874336217985E-2</v>
      </c>
    </row>
    <row r="219" spans="21:26" x14ac:dyDescent="0.3">
      <c r="U219" t="e">
        <f t="shared" si="15"/>
        <v>#N/A</v>
      </c>
      <c r="V219">
        <v>-1.84</v>
      </c>
      <c r="W219">
        <f t="shared" si="16"/>
        <v>7.3406812581656891E-2</v>
      </c>
      <c r="X219" t="e">
        <f t="shared" si="17"/>
        <v>#N/A</v>
      </c>
      <c r="Y219">
        <f t="shared" si="18"/>
        <v>7.3406812581656891E-2</v>
      </c>
      <c r="Z219">
        <f t="shared" si="19"/>
        <v>7.3406812581656891E-2</v>
      </c>
    </row>
    <row r="220" spans="21:26" x14ac:dyDescent="0.3">
      <c r="U220" t="e">
        <f t="shared" si="15"/>
        <v>#N/A</v>
      </c>
      <c r="V220">
        <v>-1.83</v>
      </c>
      <c r="W220">
        <f t="shared" si="16"/>
        <v>7.4766262398367603E-2</v>
      </c>
      <c r="X220" t="e">
        <f t="shared" si="17"/>
        <v>#N/A</v>
      </c>
      <c r="Y220">
        <f t="shared" si="18"/>
        <v>7.4766262398367603E-2</v>
      </c>
      <c r="Z220">
        <f t="shared" si="19"/>
        <v>7.4766262398367603E-2</v>
      </c>
    </row>
    <row r="221" spans="21:26" x14ac:dyDescent="0.3">
      <c r="U221" t="e">
        <f t="shared" si="15"/>
        <v>#N/A</v>
      </c>
      <c r="V221">
        <v>-1.82</v>
      </c>
      <c r="W221">
        <f t="shared" si="16"/>
        <v>7.6143273696207311E-2</v>
      </c>
      <c r="X221" t="e">
        <f t="shared" si="17"/>
        <v>#N/A</v>
      </c>
      <c r="Y221">
        <f t="shared" si="18"/>
        <v>7.6143273696207311E-2</v>
      </c>
      <c r="Z221">
        <f t="shared" si="19"/>
        <v>7.6143273696207311E-2</v>
      </c>
    </row>
    <row r="222" spans="21:26" x14ac:dyDescent="0.3">
      <c r="U222" t="e">
        <f t="shared" si="15"/>
        <v>#N/A</v>
      </c>
      <c r="V222">
        <v>-1.81</v>
      </c>
      <c r="W222">
        <f t="shared" si="16"/>
        <v>7.7537891990133986E-2</v>
      </c>
      <c r="X222" t="e">
        <f t="shared" si="17"/>
        <v>#N/A</v>
      </c>
      <c r="Y222">
        <f t="shared" si="18"/>
        <v>7.7537891990133986E-2</v>
      </c>
      <c r="Z222">
        <f t="shared" si="19"/>
        <v>7.7537891990133986E-2</v>
      </c>
    </row>
    <row r="223" spans="21:26" x14ac:dyDescent="0.3">
      <c r="U223" t="e">
        <f t="shared" si="15"/>
        <v>#N/A</v>
      </c>
      <c r="V223">
        <v>-1.8</v>
      </c>
      <c r="W223">
        <f t="shared" si="16"/>
        <v>7.8950158300894149E-2</v>
      </c>
      <c r="X223" t="e">
        <f t="shared" si="17"/>
        <v>#N/A</v>
      </c>
      <c r="Y223">
        <f t="shared" si="18"/>
        <v>7.8950158300894149E-2</v>
      </c>
      <c r="Z223">
        <f t="shared" si="19"/>
        <v>7.8950158300894149E-2</v>
      </c>
    </row>
    <row r="224" spans="21:26" x14ac:dyDescent="0.3">
      <c r="U224" t="e">
        <f t="shared" si="15"/>
        <v>#N/A</v>
      </c>
      <c r="V224">
        <v>-1.79</v>
      </c>
      <c r="W224">
        <f t="shared" si="16"/>
        <v>8.038010905615417E-2</v>
      </c>
      <c r="X224" t="e">
        <f t="shared" si="17"/>
        <v>#N/A</v>
      </c>
      <c r="Y224">
        <f t="shared" si="18"/>
        <v>8.038010905615417E-2</v>
      </c>
      <c r="Z224">
        <f t="shared" si="19"/>
        <v>8.038010905615417E-2</v>
      </c>
    </row>
    <row r="225" spans="21:26" x14ac:dyDescent="0.3">
      <c r="U225" t="e">
        <f t="shared" si="15"/>
        <v>#N/A</v>
      </c>
      <c r="V225">
        <v>-1.78</v>
      </c>
      <c r="W225">
        <f t="shared" si="16"/>
        <v>8.1827775992142804E-2</v>
      </c>
      <c r="X225" t="e">
        <f t="shared" si="17"/>
        <v>#N/A</v>
      </c>
      <c r="Y225">
        <f t="shared" si="18"/>
        <v>8.1827775992142804E-2</v>
      </c>
      <c r="Z225">
        <f t="shared" si="19"/>
        <v>8.1827775992142804E-2</v>
      </c>
    </row>
    <row r="226" spans="21:26" x14ac:dyDescent="0.3">
      <c r="U226" t="e">
        <f t="shared" si="15"/>
        <v>#N/A</v>
      </c>
      <c r="V226">
        <v>-1.77</v>
      </c>
      <c r="W226">
        <f t="shared" si="16"/>
        <v>8.3293186055874463E-2</v>
      </c>
      <c r="X226" t="e">
        <f t="shared" si="17"/>
        <v>#N/A</v>
      </c>
      <c r="Y226">
        <f t="shared" si="18"/>
        <v>8.3293186055874463E-2</v>
      </c>
      <c r="Z226">
        <f t="shared" si="19"/>
        <v>8.3293186055874463E-2</v>
      </c>
    </row>
    <row r="227" spans="21:26" x14ac:dyDescent="0.3">
      <c r="U227" t="e">
        <f t="shared" si="15"/>
        <v>#N/A</v>
      </c>
      <c r="V227">
        <v>-1.76</v>
      </c>
      <c r="W227">
        <f t="shared" si="16"/>
        <v>8.4776361308022227E-2</v>
      </c>
      <c r="X227" t="e">
        <f t="shared" si="17"/>
        <v>#N/A</v>
      </c>
      <c r="Y227">
        <f t="shared" si="18"/>
        <v>8.4776361308022227E-2</v>
      </c>
      <c r="Z227">
        <f t="shared" si="19"/>
        <v>8.4776361308022227E-2</v>
      </c>
    </row>
    <row r="228" spans="21:26" x14ac:dyDescent="0.3">
      <c r="U228" t="e">
        <f t="shared" si="15"/>
        <v>#N/A</v>
      </c>
      <c r="V228">
        <v>-1.75</v>
      </c>
      <c r="W228">
        <f t="shared" si="16"/>
        <v>8.6277318826511532E-2</v>
      </c>
      <c r="X228" t="e">
        <f t="shared" si="17"/>
        <v>#N/A</v>
      </c>
      <c r="Y228">
        <f t="shared" si="18"/>
        <v>8.6277318826511532E-2</v>
      </c>
      <c r="Z228">
        <f t="shared" si="19"/>
        <v>8.6277318826511532E-2</v>
      </c>
    </row>
    <row r="229" spans="21:26" x14ac:dyDescent="0.3">
      <c r="U229" t="e">
        <f t="shared" si="15"/>
        <v>#N/A</v>
      </c>
      <c r="V229">
        <v>-1.74</v>
      </c>
      <c r="W229">
        <f t="shared" si="16"/>
        <v>8.7796070610905622E-2</v>
      </c>
      <c r="X229" t="e">
        <f t="shared" si="17"/>
        <v>#N/A</v>
      </c>
      <c r="Y229">
        <f t="shared" si="18"/>
        <v>8.7796070610905622E-2</v>
      </c>
      <c r="Z229">
        <f t="shared" si="19"/>
        <v>8.7796070610905622E-2</v>
      </c>
    </row>
    <row r="230" spans="21:26" x14ac:dyDescent="0.3">
      <c r="U230" t="e">
        <f t="shared" si="15"/>
        <v>#N/A</v>
      </c>
      <c r="V230">
        <v>-1.73</v>
      </c>
      <c r="W230">
        <f t="shared" si="16"/>
        <v>8.9332623487655E-2</v>
      </c>
      <c r="X230" t="e">
        <f t="shared" si="17"/>
        <v>#N/A</v>
      </c>
      <c r="Y230">
        <f t="shared" si="18"/>
        <v>8.9332623487655E-2</v>
      </c>
      <c r="Z230">
        <f t="shared" si="19"/>
        <v>8.9332623487655E-2</v>
      </c>
    </row>
    <row r="231" spans="21:26" x14ac:dyDescent="0.3">
      <c r="U231" t="e">
        <f t="shared" si="15"/>
        <v>#N/A</v>
      </c>
      <c r="V231">
        <v>-1.72</v>
      </c>
      <c r="W231">
        <f t="shared" si="16"/>
        <v>9.0886979016282871E-2</v>
      </c>
      <c r="X231" t="e">
        <f t="shared" si="17"/>
        <v>#N/A</v>
      </c>
      <c r="Y231">
        <f t="shared" si="18"/>
        <v>9.0886979016282871E-2</v>
      </c>
      <c r="Z231">
        <f t="shared" si="19"/>
        <v>9.0886979016282871E-2</v>
      </c>
    </row>
    <row r="232" spans="21:26" x14ac:dyDescent="0.3">
      <c r="U232" t="e">
        <f t="shared" si="15"/>
        <v>#N/A</v>
      </c>
      <c r="V232">
        <v>-1.71</v>
      </c>
      <c r="W232">
        <f t="shared" si="16"/>
        <v>9.2459133396580684E-2</v>
      </c>
      <c r="X232" t="e">
        <f t="shared" si="17"/>
        <v>#N/A</v>
      </c>
      <c r="Y232">
        <f t="shared" si="18"/>
        <v>9.2459133396580684E-2</v>
      </c>
      <c r="Z232">
        <f t="shared" si="19"/>
        <v>9.2459133396580684E-2</v>
      </c>
    </row>
    <row r="233" spans="21:26" x14ac:dyDescent="0.3">
      <c r="U233" t="e">
        <f t="shared" si="15"/>
        <v>#N/A</v>
      </c>
      <c r="V233">
        <v>-1.7</v>
      </c>
      <c r="W233">
        <f t="shared" si="16"/>
        <v>9.4049077376886947E-2</v>
      </c>
      <c r="X233" t="e">
        <f t="shared" si="17"/>
        <v>#N/A</v>
      </c>
      <c r="Y233">
        <f t="shared" si="18"/>
        <v>9.4049077376886947E-2</v>
      </c>
      <c r="Z233">
        <f t="shared" si="19"/>
        <v>9.4049077376886947E-2</v>
      </c>
    </row>
    <row r="234" spans="21:26" x14ac:dyDescent="0.3">
      <c r="U234" t="e">
        <f t="shared" si="15"/>
        <v>#N/A</v>
      </c>
      <c r="V234">
        <v>-1.69</v>
      </c>
      <c r="W234">
        <f t="shared" si="16"/>
        <v>9.5656796163524016E-2</v>
      </c>
      <c r="X234" t="e">
        <f t="shared" si="17"/>
        <v>#N/A</v>
      </c>
      <c r="Y234">
        <f t="shared" si="18"/>
        <v>9.5656796163524016E-2</v>
      </c>
      <c r="Z234">
        <f t="shared" si="19"/>
        <v>9.5656796163524016E-2</v>
      </c>
    </row>
    <row r="235" spans="21:26" x14ac:dyDescent="0.3">
      <c r="U235" t="e">
        <f t="shared" si="15"/>
        <v>#N/A</v>
      </c>
      <c r="V235">
        <v>-1.68</v>
      </c>
      <c r="W235">
        <f t="shared" si="16"/>
        <v>9.7282269331467511E-2</v>
      </c>
      <c r="X235" t="e">
        <f t="shared" si="17"/>
        <v>#N/A</v>
      </c>
      <c r="Y235">
        <f t="shared" si="18"/>
        <v>9.7282269331467511E-2</v>
      </c>
      <c r="Z235">
        <f t="shared" si="19"/>
        <v>9.7282269331467511E-2</v>
      </c>
    </row>
    <row r="236" spans="21:26" x14ac:dyDescent="0.3">
      <c r="U236" t="e">
        <f t="shared" si="15"/>
        <v>#N/A</v>
      </c>
      <c r="V236">
        <v>-1.67</v>
      </c>
      <c r="W236">
        <f t="shared" si="16"/>
        <v>9.8925470736323712E-2</v>
      </c>
      <c r="X236" t="e">
        <f t="shared" si="17"/>
        <v>#N/A</v>
      </c>
      <c r="Y236">
        <f t="shared" si="18"/>
        <v>9.8925470736323712E-2</v>
      </c>
      <c r="Z236">
        <f t="shared" si="19"/>
        <v>9.8925470736323712E-2</v>
      </c>
    </row>
    <row r="237" spans="21:26" x14ac:dyDescent="0.3">
      <c r="U237" t="e">
        <f t="shared" si="15"/>
        <v>#N/A</v>
      </c>
      <c r="V237">
        <v>-1.66</v>
      </c>
      <c r="W237">
        <f t="shared" si="16"/>
        <v>0.10058636842769057</v>
      </c>
      <c r="X237" t="e">
        <f t="shared" si="17"/>
        <v>#N/A</v>
      </c>
      <c r="Y237">
        <f t="shared" si="18"/>
        <v>0.10058636842769057</v>
      </c>
      <c r="Z237">
        <f t="shared" si="19"/>
        <v>0.10058636842769057</v>
      </c>
    </row>
    <row r="238" spans="21:26" x14ac:dyDescent="0.3">
      <c r="U238" t="e">
        <f t="shared" si="15"/>
        <v>#N/A</v>
      </c>
      <c r="V238">
        <v>-1.65</v>
      </c>
      <c r="W238">
        <f t="shared" si="16"/>
        <v>0.10226492456397804</v>
      </c>
      <c r="X238" t="e">
        <f t="shared" si="17"/>
        <v>#N/A</v>
      </c>
      <c r="Y238">
        <f t="shared" si="18"/>
        <v>0.10226492456397804</v>
      </c>
      <c r="Z238">
        <f t="shared" si="19"/>
        <v>0.10226492456397804</v>
      </c>
    </row>
    <row r="239" spans="21:26" x14ac:dyDescent="0.3">
      <c r="U239" t="e">
        <f t="shared" si="15"/>
        <v>#N/A</v>
      </c>
      <c r="V239">
        <v>-1.64</v>
      </c>
      <c r="W239">
        <f t="shared" si="16"/>
        <v>0.10396109532876423</v>
      </c>
      <c r="X239" t="e">
        <f t="shared" si="17"/>
        <v>#N/A</v>
      </c>
      <c r="Y239">
        <f t="shared" si="18"/>
        <v>0.10396109532876423</v>
      </c>
      <c r="Z239">
        <f t="shared" si="19"/>
        <v>0.10396109532876423</v>
      </c>
    </row>
    <row r="240" spans="21:26" x14ac:dyDescent="0.3">
      <c r="U240" t="e">
        <f t="shared" si="15"/>
        <v>#N/A</v>
      </c>
      <c r="V240">
        <v>-1.63</v>
      </c>
      <c r="W240">
        <f t="shared" si="16"/>
        <v>0.10567483084876363</v>
      </c>
      <c r="X240" t="e">
        <f t="shared" si="17"/>
        <v>#N/A</v>
      </c>
      <c r="Y240">
        <f t="shared" si="18"/>
        <v>0.10567483084876363</v>
      </c>
      <c r="Z240">
        <f t="shared" si="19"/>
        <v>0.10567483084876363</v>
      </c>
    </row>
    <row r="241" spans="21:26" x14ac:dyDescent="0.3">
      <c r="U241" t="e">
        <f t="shared" si="15"/>
        <v>#N/A</v>
      </c>
      <c r="V241">
        <v>-1.62</v>
      </c>
      <c r="W241">
        <f t="shared" si="16"/>
        <v>0.1074060751134838</v>
      </c>
      <c r="X241" t="e">
        <f t="shared" si="17"/>
        <v>#N/A</v>
      </c>
      <c r="Y241">
        <f t="shared" si="18"/>
        <v>0.1074060751134838</v>
      </c>
      <c r="Z241">
        <f t="shared" si="19"/>
        <v>0.1074060751134838</v>
      </c>
    </row>
    <row r="242" spans="21:26" x14ac:dyDescent="0.3">
      <c r="U242" t="e">
        <f t="shared" si="15"/>
        <v>#N/A</v>
      </c>
      <c r="V242">
        <v>-1.61</v>
      </c>
      <c r="W242">
        <f t="shared" si="16"/>
        <v>0.10915476589664735</v>
      </c>
      <c r="X242" t="e">
        <f t="shared" si="17"/>
        <v>#N/A</v>
      </c>
      <c r="Y242">
        <f t="shared" si="18"/>
        <v>0.10915476589664735</v>
      </c>
      <c r="Z242">
        <f t="shared" si="19"/>
        <v>0.10915476589664735</v>
      </c>
    </row>
    <row r="243" spans="21:26" x14ac:dyDescent="0.3">
      <c r="U243" t="e">
        <f t="shared" si="15"/>
        <v>#N/A</v>
      </c>
      <c r="V243">
        <v>-1.6</v>
      </c>
      <c r="W243">
        <f t="shared" si="16"/>
        <v>0.11092083467945554</v>
      </c>
      <c r="X243" t="e">
        <f t="shared" si="17"/>
        <v>#N/A</v>
      </c>
      <c r="Y243">
        <f t="shared" si="18"/>
        <v>0.11092083467945554</v>
      </c>
      <c r="Z243">
        <f t="shared" si="19"/>
        <v>0.11092083467945554</v>
      </c>
    </row>
    <row r="244" spans="21:26" x14ac:dyDescent="0.3">
      <c r="U244" t="e">
        <f t="shared" si="15"/>
        <v>#N/A</v>
      </c>
      <c r="V244">
        <v>-1.59</v>
      </c>
      <c r="W244">
        <f t="shared" si="16"/>
        <v>0.11270420657577056</v>
      </c>
      <c r="X244" t="e">
        <f t="shared" si="17"/>
        <v>#N/A</v>
      </c>
      <c r="Y244">
        <f t="shared" si="18"/>
        <v>0.11270420657577056</v>
      </c>
      <c r="Z244">
        <f t="shared" si="19"/>
        <v>0.11270420657577056</v>
      </c>
    </row>
    <row r="245" spans="21:26" x14ac:dyDescent="0.3">
      <c r="U245" t="e">
        <f t="shared" si="15"/>
        <v>#N/A</v>
      </c>
      <c r="V245">
        <v>-1.58</v>
      </c>
      <c r="W245">
        <f t="shared" si="16"/>
        <v>0.11450480025929236</v>
      </c>
      <c r="X245" t="e">
        <f t="shared" si="17"/>
        <v>#N/A</v>
      </c>
      <c r="Y245">
        <f t="shared" si="18"/>
        <v>0.11450480025929236</v>
      </c>
      <c r="Z245">
        <f t="shared" si="19"/>
        <v>0.11450480025929236</v>
      </c>
    </row>
    <row r="246" spans="21:26" x14ac:dyDescent="0.3">
      <c r="U246" t="e">
        <f t="shared" si="15"/>
        <v>#N/A</v>
      </c>
      <c r="V246">
        <v>-1.57</v>
      </c>
      <c r="W246">
        <f t="shared" si="16"/>
        <v>0.11632252789280709</v>
      </c>
      <c r="X246" t="e">
        <f t="shared" si="17"/>
        <v>#N/A</v>
      </c>
      <c r="Y246">
        <f t="shared" si="18"/>
        <v>0.11632252789280709</v>
      </c>
      <c r="Z246">
        <f t="shared" si="19"/>
        <v>0.11632252789280709</v>
      </c>
    </row>
    <row r="247" spans="21:26" x14ac:dyDescent="0.3">
      <c r="U247" t="e">
        <f t="shared" si="15"/>
        <v>#N/A</v>
      </c>
      <c r="V247">
        <v>-1.56</v>
      </c>
      <c r="W247">
        <f t="shared" si="16"/>
        <v>0.11815729505958227</v>
      </c>
      <c r="X247" t="e">
        <f t="shared" si="17"/>
        <v>#N/A</v>
      </c>
      <c r="Y247">
        <f t="shared" si="18"/>
        <v>0.11815729505958227</v>
      </c>
      <c r="Z247">
        <f t="shared" si="19"/>
        <v>0.11815729505958227</v>
      </c>
    </row>
    <row r="248" spans="21:26" x14ac:dyDescent="0.3">
      <c r="U248" t="e">
        <f t="shared" si="15"/>
        <v>#N/A</v>
      </c>
      <c r="V248">
        <v>-1.55</v>
      </c>
      <c r="W248">
        <f t="shared" si="16"/>
        <v>0.12000900069698558</v>
      </c>
      <c r="X248" t="e">
        <f t="shared" si="17"/>
        <v>#N/A</v>
      </c>
      <c r="Y248">
        <f t="shared" si="18"/>
        <v>0.12000900069698558</v>
      </c>
      <c r="Z248">
        <f t="shared" si="19"/>
        <v>0.12000900069698558</v>
      </c>
    </row>
    <row r="249" spans="21:26" x14ac:dyDescent="0.3">
      <c r="U249" t="e">
        <f t="shared" si="15"/>
        <v>#N/A</v>
      </c>
      <c r="V249">
        <v>-1.54</v>
      </c>
      <c r="W249">
        <f t="shared" si="16"/>
        <v>0.12187753703240178</v>
      </c>
      <c r="X249" t="e">
        <f t="shared" si="17"/>
        <v>#N/A</v>
      </c>
      <c r="Y249">
        <f t="shared" si="18"/>
        <v>0.12187753703240178</v>
      </c>
      <c r="Z249">
        <f t="shared" si="19"/>
        <v>0.12187753703240178</v>
      </c>
    </row>
    <row r="250" spans="21:26" x14ac:dyDescent="0.3">
      <c r="U250" t="e">
        <f t="shared" si="15"/>
        <v>#N/A</v>
      </c>
      <c r="V250">
        <v>-1.53</v>
      </c>
      <c r="W250">
        <f t="shared" si="16"/>
        <v>0.12376278952152313</v>
      </c>
      <c r="X250" t="e">
        <f t="shared" si="17"/>
        <v>#N/A</v>
      </c>
      <c r="Y250">
        <f t="shared" si="18"/>
        <v>0.12376278952152313</v>
      </c>
      <c r="Z250">
        <f t="shared" si="19"/>
        <v>0.12376278952152313</v>
      </c>
    </row>
    <row r="251" spans="21:26" x14ac:dyDescent="0.3">
      <c r="U251" t="e">
        <f t="shared" si="15"/>
        <v>#N/A</v>
      </c>
      <c r="V251">
        <v>-1.52</v>
      </c>
      <c r="W251">
        <f t="shared" si="16"/>
        <v>0.12566463678908815</v>
      </c>
      <c r="X251" t="e">
        <f t="shared" si="17"/>
        <v>#N/A</v>
      </c>
      <c r="Y251">
        <f t="shared" si="18"/>
        <v>0.12566463678908815</v>
      </c>
      <c r="Z251">
        <f t="shared" si="19"/>
        <v>0.12566463678908815</v>
      </c>
    </row>
    <row r="252" spans="21:26" x14ac:dyDescent="0.3">
      <c r="U252" t="e">
        <f t="shared" si="15"/>
        <v>#N/A</v>
      </c>
      <c r="V252">
        <v>-1.51</v>
      </c>
      <c r="W252">
        <f t="shared" si="16"/>
        <v>0.12758295057214186</v>
      </c>
      <c r="X252" t="e">
        <f t="shared" si="17"/>
        <v>#N/A</v>
      </c>
      <c r="Y252">
        <f t="shared" si="18"/>
        <v>0.12758295057214186</v>
      </c>
      <c r="Z252">
        <f t="shared" si="19"/>
        <v>0.12758295057214186</v>
      </c>
    </row>
    <row r="253" spans="21:26" x14ac:dyDescent="0.3">
      <c r="U253" t="e">
        <f t="shared" si="15"/>
        <v>#N/A</v>
      </c>
      <c r="V253">
        <v>-1.5</v>
      </c>
      <c r="W253">
        <f t="shared" si="16"/>
        <v>0.12951759566589174</v>
      </c>
      <c r="X253" t="e">
        <f t="shared" si="17"/>
        <v>#N/A</v>
      </c>
      <c r="Y253">
        <f t="shared" si="18"/>
        <v>0.12951759566589174</v>
      </c>
      <c r="Z253">
        <f t="shared" si="19"/>
        <v>0.12951759566589174</v>
      </c>
    </row>
    <row r="254" spans="21:26" x14ac:dyDescent="0.3">
      <c r="U254" t="e">
        <f t="shared" si="15"/>
        <v>#N/A</v>
      </c>
      <c r="V254">
        <v>-1.49</v>
      </c>
      <c r="W254">
        <f t="shared" si="16"/>
        <v>0.13146842987223104</v>
      </c>
      <c r="X254" t="e">
        <f t="shared" si="17"/>
        <v>#N/A</v>
      </c>
      <c r="Y254">
        <f t="shared" si="18"/>
        <v>0.13146842987223104</v>
      </c>
      <c r="Z254">
        <f t="shared" si="19"/>
        <v>0.13146842987223104</v>
      </c>
    </row>
    <row r="255" spans="21:26" x14ac:dyDescent="0.3">
      <c r="U255" t="e">
        <f t="shared" si="15"/>
        <v>#N/A</v>
      </c>
      <c r="V255">
        <v>-1.48</v>
      </c>
      <c r="W255">
        <f t="shared" si="16"/>
        <v>0.13343530395100231</v>
      </c>
      <c r="X255" t="e">
        <f t="shared" si="17"/>
        <v>#N/A</v>
      </c>
      <c r="Y255">
        <f t="shared" si="18"/>
        <v>0.13343530395100231</v>
      </c>
      <c r="Z255">
        <f t="shared" si="19"/>
        <v>0.13343530395100231</v>
      </c>
    </row>
    <row r="256" spans="21:26" x14ac:dyDescent="0.3">
      <c r="U256" t="e">
        <f t="shared" si="15"/>
        <v>#N/A</v>
      </c>
      <c r="V256">
        <v>-1.47</v>
      </c>
      <c r="W256">
        <f t="shared" si="16"/>
        <v>0.1354180615740713</v>
      </c>
      <c r="X256" t="e">
        <f t="shared" si="17"/>
        <v>#N/A</v>
      </c>
      <c r="Y256">
        <f t="shared" si="18"/>
        <v>0.1354180615740713</v>
      </c>
      <c r="Z256">
        <f t="shared" si="19"/>
        <v>0.1354180615740713</v>
      </c>
    </row>
    <row r="257" spans="21:26" x14ac:dyDescent="0.3">
      <c r="U257" t="e">
        <f t="shared" si="15"/>
        <v>#N/A</v>
      </c>
      <c r="V257">
        <v>-1.46</v>
      </c>
      <c r="W257">
        <f t="shared" si="16"/>
        <v>0.13741653928228179</v>
      </c>
      <c r="X257" t="e">
        <f t="shared" si="17"/>
        <v>#N/A</v>
      </c>
      <c r="Y257">
        <f t="shared" si="18"/>
        <v>0.13741653928228179</v>
      </c>
      <c r="Z257">
        <f t="shared" si="19"/>
        <v>0.13741653928228179</v>
      </c>
    </row>
    <row r="258" spans="21:26" x14ac:dyDescent="0.3">
      <c r="U258" t="e">
        <f t="shared" si="15"/>
        <v>#N/A</v>
      </c>
      <c r="V258">
        <v>-1.45</v>
      </c>
      <c r="W258">
        <f t="shared" si="16"/>
        <v>0.13943056644536028</v>
      </c>
      <c r="X258" t="e">
        <f t="shared" si="17"/>
        <v>#N/A</v>
      </c>
      <c r="Y258">
        <f t="shared" si="18"/>
        <v>0.13943056644536028</v>
      </c>
      <c r="Z258">
        <f t="shared" si="19"/>
        <v>0.13943056644536028</v>
      </c>
    </row>
    <row r="259" spans="21:26" x14ac:dyDescent="0.3">
      <c r="U259" t="e">
        <f t="shared" si="15"/>
        <v>#N/A</v>
      </c>
      <c r="V259">
        <v>-1.44</v>
      </c>
      <c r="W259">
        <f t="shared" si="16"/>
        <v>0.14145996522483878</v>
      </c>
      <c r="X259" t="e">
        <f t="shared" si="17"/>
        <v>#N/A</v>
      </c>
      <c r="Y259">
        <f t="shared" si="18"/>
        <v>0.14145996522483878</v>
      </c>
      <c r="Z259">
        <f t="shared" si="19"/>
        <v>0.14145996522483878</v>
      </c>
    </row>
    <row r="260" spans="21:26" x14ac:dyDescent="0.3">
      <c r="U260" t="e">
        <f t="shared" ref="U260:U323" si="20">IF($A$2=ABS(V260),0,NA())</f>
        <v>#N/A</v>
      </c>
      <c r="V260">
        <v>-1.43</v>
      </c>
      <c r="W260">
        <f t="shared" ref="W260:W323" si="21">_xlfn.NORM.S.DIST(V260,0)</f>
        <v>0.14350455054006242</v>
      </c>
      <c r="X260" t="e">
        <f t="shared" ref="X260:X323" si="22">IF(ABS(V260)=$A$2,W260,NA())</f>
        <v>#N/A</v>
      </c>
      <c r="Y260">
        <f t="shared" ref="Y260:Y323" si="23">IF(V260&lt;=$A$2,W260,NA())</f>
        <v>0.14350455054006242</v>
      </c>
      <c r="Z260">
        <f t="shared" ref="Z260:Z323" si="24">IF(ABS(V260)&lt;=$A$2,W260,NA())</f>
        <v>0.14350455054006242</v>
      </c>
    </row>
    <row r="261" spans="21:26" x14ac:dyDescent="0.3">
      <c r="U261" t="e">
        <f t="shared" si="20"/>
        <v>#N/A</v>
      </c>
      <c r="V261">
        <v>-1.42</v>
      </c>
      <c r="W261">
        <f t="shared" si="21"/>
        <v>0.14556413003734761</v>
      </c>
      <c r="X261" t="e">
        <f t="shared" si="22"/>
        <v>#N/A</v>
      </c>
      <c r="Y261">
        <f t="shared" si="23"/>
        <v>0.14556413003734761</v>
      </c>
      <c r="Z261">
        <f t="shared" si="24"/>
        <v>0.14556413003734761</v>
      </c>
    </row>
    <row r="262" spans="21:26" x14ac:dyDescent="0.3">
      <c r="U262" t="e">
        <f t="shared" si="20"/>
        <v>#N/A</v>
      </c>
      <c r="V262">
        <v>-1.41</v>
      </c>
      <c r="W262">
        <f t="shared" si="21"/>
        <v>0.14763850406235574</v>
      </c>
      <c r="X262" t="e">
        <f t="shared" si="22"/>
        <v>#N/A</v>
      </c>
      <c r="Y262">
        <f t="shared" si="23"/>
        <v>0.14763850406235574</v>
      </c>
      <c r="Z262">
        <f t="shared" si="24"/>
        <v>0.14763850406235574</v>
      </c>
    </row>
    <row r="263" spans="21:26" x14ac:dyDescent="0.3">
      <c r="U263" t="e">
        <f t="shared" si="20"/>
        <v>#N/A</v>
      </c>
      <c r="V263">
        <v>-1.4</v>
      </c>
      <c r="W263">
        <f t="shared" si="21"/>
        <v>0.14972746563574488</v>
      </c>
      <c r="X263" t="e">
        <f t="shared" si="22"/>
        <v>#N/A</v>
      </c>
      <c r="Y263">
        <f t="shared" si="23"/>
        <v>0.14972746563574488</v>
      </c>
      <c r="Z263">
        <f t="shared" si="24"/>
        <v>0.14972746563574488</v>
      </c>
    </row>
    <row r="264" spans="21:26" x14ac:dyDescent="0.3">
      <c r="U264" t="e">
        <f t="shared" si="20"/>
        <v>#N/A</v>
      </c>
      <c r="V264">
        <v>-1.39</v>
      </c>
      <c r="W264">
        <f t="shared" si="21"/>
        <v>0.15183080043216168</v>
      </c>
      <c r="X264" t="e">
        <f t="shared" si="22"/>
        <v>#N/A</v>
      </c>
      <c r="Y264">
        <f t="shared" si="23"/>
        <v>0.15183080043216168</v>
      </c>
      <c r="Z264">
        <f t="shared" si="24"/>
        <v>0.15183080043216168</v>
      </c>
    </row>
    <row r="265" spans="21:26" x14ac:dyDescent="0.3">
      <c r="U265" t="e">
        <f t="shared" si="20"/>
        <v>#N/A</v>
      </c>
      <c r="V265">
        <v>-1.38</v>
      </c>
      <c r="W265">
        <f t="shared" si="21"/>
        <v>0.15394828676263372</v>
      </c>
      <c r="X265" t="e">
        <f t="shared" si="22"/>
        <v>#N/A</v>
      </c>
      <c r="Y265">
        <f t="shared" si="23"/>
        <v>0.15394828676263372</v>
      </c>
      <c r="Z265">
        <f t="shared" si="24"/>
        <v>0.15394828676263372</v>
      </c>
    </row>
    <row r="266" spans="21:26" x14ac:dyDescent="0.3">
      <c r="U266" t="e">
        <f t="shared" si="20"/>
        <v>#N/A</v>
      </c>
      <c r="V266">
        <v>-1.37</v>
      </c>
      <c r="W266">
        <f t="shared" si="21"/>
        <v>0.15607969556042084</v>
      </c>
      <c r="X266" t="e">
        <f t="shared" si="22"/>
        <v>#N/A</v>
      </c>
      <c r="Y266">
        <f t="shared" si="23"/>
        <v>0.15607969556042084</v>
      </c>
      <c r="Z266">
        <f t="shared" si="24"/>
        <v>0.15607969556042084</v>
      </c>
    </row>
    <row r="267" spans="21:26" x14ac:dyDescent="0.3">
      <c r="U267" t="e">
        <f t="shared" si="20"/>
        <v>#N/A</v>
      </c>
      <c r="V267">
        <v>-1.36</v>
      </c>
      <c r="W267">
        <f t="shared" si="21"/>
        <v>0.15822479037038303</v>
      </c>
      <c r="X267" t="e">
        <f t="shared" si="22"/>
        <v>#N/A</v>
      </c>
      <c r="Y267">
        <f t="shared" si="23"/>
        <v>0.15822479037038303</v>
      </c>
      <c r="Z267">
        <f t="shared" si="24"/>
        <v>0.15822479037038303</v>
      </c>
    </row>
    <row r="268" spans="21:26" x14ac:dyDescent="0.3">
      <c r="U268" t="e">
        <f t="shared" si="20"/>
        <v>#N/A</v>
      </c>
      <c r="V268">
        <v>-1.35</v>
      </c>
      <c r="W268">
        <f t="shared" si="21"/>
        <v>0.1603833273419196</v>
      </c>
      <c r="X268" t="e">
        <f t="shared" si="22"/>
        <v>#N/A</v>
      </c>
      <c r="Y268">
        <f t="shared" si="23"/>
        <v>0.1603833273419196</v>
      </c>
      <c r="Z268">
        <f t="shared" si="24"/>
        <v>0.1603833273419196</v>
      </c>
    </row>
    <row r="269" spans="21:26" x14ac:dyDescent="0.3">
      <c r="U269" t="e">
        <f t="shared" si="20"/>
        <v>#N/A</v>
      </c>
      <c r="V269">
        <v>-1.34</v>
      </c>
      <c r="W269">
        <f t="shared" si="21"/>
        <v>0.16255505522553412</v>
      </c>
      <c r="X269" t="e">
        <f t="shared" si="22"/>
        <v>#N/A</v>
      </c>
      <c r="Y269">
        <f t="shared" si="23"/>
        <v>0.16255505522553412</v>
      </c>
      <c r="Z269">
        <f t="shared" si="24"/>
        <v>0.16255505522553412</v>
      </c>
    </row>
    <row r="270" spans="21:26" x14ac:dyDescent="0.3">
      <c r="U270" t="e">
        <f t="shared" si="20"/>
        <v>#N/A</v>
      </c>
      <c r="V270">
        <v>-1.33</v>
      </c>
      <c r="W270">
        <f t="shared" si="21"/>
        <v>0.1647397153730768</v>
      </c>
      <c r="X270" t="e">
        <f t="shared" si="22"/>
        <v>#N/A</v>
      </c>
      <c r="Y270">
        <f t="shared" si="23"/>
        <v>0.1647397153730768</v>
      </c>
      <c r="Z270">
        <f t="shared" si="24"/>
        <v>0.1647397153730768</v>
      </c>
    </row>
    <row r="271" spans="21:26" x14ac:dyDescent="0.3">
      <c r="U271" t="e">
        <f t="shared" si="20"/>
        <v>#N/A</v>
      </c>
      <c r="V271">
        <v>-1.32</v>
      </c>
      <c r="W271">
        <f t="shared" si="21"/>
        <v>0.16693704174171381</v>
      </c>
      <c r="X271" t="e">
        <f t="shared" si="22"/>
        <v>#N/A</v>
      </c>
      <c r="Y271">
        <f t="shared" si="23"/>
        <v>0.16693704174171381</v>
      </c>
      <c r="Z271">
        <f t="shared" si="24"/>
        <v>0.16693704174171381</v>
      </c>
    </row>
    <row r="272" spans="21:26" x14ac:dyDescent="0.3">
      <c r="U272" t="e">
        <f t="shared" si="20"/>
        <v>#N/A</v>
      </c>
      <c r="V272">
        <v>-1.31</v>
      </c>
      <c r="W272">
        <f t="shared" si="21"/>
        <v>0.16914676090167238</v>
      </c>
      <c r="X272" t="e">
        <f t="shared" si="22"/>
        <v>#N/A</v>
      </c>
      <c r="Y272">
        <f t="shared" si="23"/>
        <v>0.16914676090167238</v>
      </c>
      <c r="Z272">
        <f t="shared" si="24"/>
        <v>0.16914676090167238</v>
      </c>
    </row>
    <row r="273" spans="21:26" x14ac:dyDescent="0.3">
      <c r="U273" t="e">
        <f t="shared" si="20"/>
        <v>#N/A</v>
      </c>
      <c r="V273">
        <v>-1.3</v>
      </c>
      <c r="W273">
        <f t="shared" si="21"/>
        <v>0.17136859204780736</v>
      </c>
      <c r="X273" t="e">
        <f t="shared" si="22"/>
        <v>#N/A</v>
      </c>
      <c r="Y273">
        <f t="shared" si="23"/>
        <v>0.17136859204780736</v>
      </c>
      <c r="Z273">
        <f t="shared" si="24"/>
        <v>0.17136859204780736</v>
      </c>
    </row>
    <row r="274" spans="21:26" x14ac:dyDescent="0.3">
      <c r="U274" t="e">
        <f t="shared" si="20"/>
        <v>#N/A</v>
      </c>
      <c r="V274">
        <v>-1.29</v>
      </c>
      <c r="W274">
        <f t="shared" si="21"/>
        <v>0.17360224701503299</v>
      </c>
      <c r="X274" t="e">
        <f t="shared" si="22"/>
        <v>#N/A</v>
      </c>
      <c r="Y274">
        <f t="shared" si="23"/>
        <v>0.17360224701503299</v>
      </c>
      <c r="Z274">
        <f t="shared" si="24"/>
        <v>0.17360224701503299</v>
      </c>
    </row>
    <row r="275" spans="21:26" x14ac:dyDescent="0.3">
      <c r="U275" t="e">
        <f t="shared" si="20"/>
        <v>#N/A</v>
      </c>
      <c r="V275">
        <v>-1.28</v>
      </c>
      <c r="W275">
        <f t="shared" si="21"/>
        <v>0.17584743029766237</v>
      </c>
      <c r="X275" t="e">
        <f t="shared" si="22"/>
        <v>#N/A</v>
      </c>
      <c r="Y275">
        <f t="shared" si="23"/>
        <v>0.17584743029766237</v>
      </c>
      <c r="Z275">
        <f t="shared" si="24"/>
        <v>0.17584743029766237</v>
      </c>
    </row>
    <row r="276" spans="21:26" x14ac:dyDescent="0.3">
      <c r="U276" t="e">
        <f t="shared" si="20"/>
        <v>#N/A</v>
      </c>
      <c r="V276">
        <v>-1.27</v>
      </c>
      <c r="W276">
        <f t="shared" si="21"/>
        <v>0.17810383907269359</v>
      </c>
      <c r="X276" t="e">
        <f t="shared" si="22"/>
        <v>#N/A</v>
      </c>
      <c r="Y276">
        <f t="shared" si="23"/>
        <v>0.17810383907269359</v>
      </c>
      <c r="Z276">
        <f t="shared" si="24"/>
        <v>0.17810383907269359</v>
      </c>
    </row>
    <row r="277" spans="21:26" x14ac:dyDescent="0.3">
      <c r="U277" t="e">
        <f t="shared" si="20"/>
        <v>#N/A</v>
      </c>
      <c r="V277">
        <v>-1.26</v>
      </c>
      <c r="W277">
        <f t="shared" si="21"/>
        <v>0.18037116322708033</v>
      </c>
      <c r="X277" t="e">
        <f t="shared" si="22"/>
        <v>#N/A</v>
      </c>
      <c r="Y277">
        <f t="shared" si="23"/>
        <v>0.18037116322708033</v>
      </c>
      <c r="Z277">
        <f t="shared" si="24"/>
        <v>0.18037116322708033</v>
      </c>
    </row>
    <row r="278" spans="21:26" x14ac:dyDescent="0.3">
      <c r="U278" t="e">
        <f t="shared" si="20"/>
        <v>#N/A</v>
      </c>
      <c r="V278">
        <v>-1.25</v>
      </c>
      <c r="W278">
        <f t="shared" si="21"/>
        <v>0.18264908538902191</v>
      </c>
      <c r="X278" t="e">
        <f t="shared" si="22"/>
        <v>#N/A</v>
      </c>
      <c r="Y278">
        <f t="shared" si="23"/>
        <v>0.18264908538902191</v>
      </c>
      <c r="Z278">
        <f t="shared" si="24"/>
        <v>0.18264908538902191</v>
      </c>
    </row>
    <row r="279" spans="21:26" x14ac:dyDescent="0.3">
      <c r="U279" t="e">
        <f t="shared" si="20"/>
        <v>#N/A</v>
      </c>
      <c r="V279">
        <v>-1.24</v>
      </c>
      <c r="W279">
        <f t="shared" si="21"/>
        <v>0.18493728096330531</v>
      </c>
      <c r="X279" t="e">
        <f t="shared" si="22"/>
        <v>#N/A</v>
      </c>
      <c r="Y279">
        <f t="shared" si="23"/>
        <v>0.18493728096330531</v>
      </c>
      <c r="Z279">
        <f t="shared" si="24"/>
        <v>0.18493728096330531</v>
      </c>
    </row>
    <row r="280" spans="21:26" x14ac:dyDescent="0.3">
      <c r="U280" t="e">
        <f t="shared" si="20"/>
        <v>#N/A</v>
      </c>
      <c r="V280">
        <v>-1.23</v>
      </c>
      <c r="W280">
        <f t="shared" si="21"/>
        <v>0.18723541817072956</v>
      </c>
      <c r="X280" t="e">
        <f t="shared" si="22"/>
        <v>#N/A</v>
      </c>
      <c r="Y280">
        <f t="shared" si="23"/>
        <v>0.18723541817072956</v>
      </c>
      <c r="Z280">
        <f t="shared" si="24"/>
        <v>0.18723541817072956</v>
      </c>
    </row>
    <row r="281" spans="21:26" x14ac:dyDescent="0.3">
      <c r="U281" t="e">
        <f t="shared" si="20"/>
        <v>#N/A</v>
      </c>
      <c r="V281">
        <v>-1.22</v>
      </c>
      <c r="W281">
        <f t="shared" si="21"/>
        <v>0.18954315809164024</v>
      </c>
      <c r="X281" t="e">
        <f t="shared" si="22"/>
        <v>#N/A</v>
      </c>
      <c r="Y281">
        <f t="shared" si="23"/>
        <v>0.18954315809164024</v>
      </c>
      <c r="Z281">
        <f t="shared" si="24"/>
        <v>0.18954315809164024</v>
      </c>
    </row>
    <row r="282" spans="21:26" x14ac:dyDescent="0.3">
      <c r="U282" t="e">
        <f t="shared" si="20"/>
        <v>#N/A</v>
      </c>
      <c r="V282">
        <v>-1.21</v>
      </c>
      <c r="W282">
        <f t="shared" si="21"/>
        <v>0.19186015471359938</v>
      </c>
      <c r="X282" t="e">
        <f t="shared" si="22"/>
        <v>#N/A</v>
      </c>
      <c r="Y282">
        <f t="shared" si="23"/>
        <v>0.19186015471359938</v>
      </c>
      <c r="Z282">
        <f t="shared" si="24"/>
        <v>0.19186015471359938</v>
      </c>
    </row>
    <row r="283" spans="21:26" x14ac:dyDescent="0.3">
      <c r="U283" t="e">
        <f t="shared" si="20"/>
        <v>#N/A</v>
      </c>
      <c r="V283">
        <v>-1.2</v>
      </c>
      <c r="W283">
        <f t="shared" si="21"/>
        <v>0.19418605498321295</v>
      </c>
      <c r="X283" t="e">
        <f t="shared" si="22"/>
        <v>#N/A</v>
      </c>
      <c r="Y283">
        <f t="shared" si="23"/>
        <v>0.19418605498321295</v>
      </c>
      <c r="Z283">
        <f t="shared" si="24"/>
        <v>0.19418605498321295</v>
      </c>
    </row>
    <row r="284" spans="21:26" x14ac:dyDescent="0.3">
      <c r="U284" t="e">
        <f t="shared" si="20"/>
        <v>#N/A</v>
      </c>
      <c r="V284">
        <v>-1.19</v>
      </c>
      <c r="W284">
        <f t="shared" si="21"/>
        <v>0.19652049886213654</v>
      </c>
      <c r="X284" t="e">
        <f t="shared" si="22"/>
        <v>#N/A</v>
      </c>
      <c r="Y284">
        <f t="shared" si="23"/>
        <v>0.19652049886213654</v>
      </c>
      <c r="Z284">
        <f t="shared" si="24"/>
        <v>0.19652049886213654</v>
      </c>
    </row>
    <row r="285" spans="21:26" x14ac:dyDescent="0.3">
      <c r="U285" t="e">
        <f t="shared" si="20"/>
        <v>#N/A</v>
      </c>
      <c r="V285">
        <v>-1.18</v>
      </c>
      <c r="W285">
        <f t="shared" si="21"/>
        <v>0.19886311938727591</v>
      </c>
      <c r="X285" t="e">
        <f t="shared" si="22"/>
        <v>#N/A</v>
      </c>
      <c r="Y285">
        <f t="shared" si="23"/>
        <v>0.19886311938727591</v>
      </c>
      <c r="Z285">
        <f t="shared" si="24"/>
        <v>0.19886311938727591</v>
      </c>
    </row>
    <row r="286" spans="21:26" x14ac:dyDescent="0.3">
      <c r="U286" t="e">
        <f t="shared" si="20"/>
        <v>#N/A</v>
      </c>
      <c r="V286">
        <v>-1.17</v>
      </c>
      <c r="W286">
        <f t="shared" si="21"/>
        <v>0.2012135427351974</v>
      </c>
      <c r="X286" t="e">
        <f t="shared" si="22"/>
        <v>#N/A</v>
      </c>
      <c r="Y286">
        <f t="shared" si="23"/>
        <v>0.2012135427351974</v>
      </c>
      <c r="Z286">
        <f t="shared" si="24"/>
        <v>0.2012135427351974</v>
      </c>
    </row>
    <row r="287" spans="21:26" x14ac:dyDescent="0.3">
      <c r="U287" t="e">
        <f t="shared" si="20"/>
        <v>#N/A</v>
      </c>
      <c r="V287">
        <v>-1.1599999999999999</v>
      </c>
      <c r="W287">
        <f t="shared" si="21"/>
        <v>0.20357138829075944</v>
      </c>
      <c r="X287" t="e">
        <f t="shared" si="22"/>
        <v>#N/A</v>
      </c>
      <c r="Y287">
        <f t="shared" si="23"/>
        <v>0.20357138829075944</v>
      </c>
      <c r="Z287">
        <f t="shared" si="24"/>
        <v>0.20357138829075944</v>
      </c>
    </row>
    <row r="288" spans="21:26" x14ac:dyDescent="0.3">
      <c r="U288" t="e">
        <f t="shared" si="20"/>
        <v>#N/A</v>
      </c>
      <c r="V288">
        <v>-1.1499999999999999</v>
      </c>
      <c r="W288">
        <f t="shared" si="21"/>
        <v>0.20593626871997478</v>
      </c>
      <c r="X288" t="e">
        <f t="shared" si="22"/>
        <v>#N/A</v>
      </c>
      <c r="Y288">
        <f t="shared" si="23"/>
        <v>0.20593626871997478</v>
      </c>
      <c r="Z288">
        <f t="shared" si="24"/>
        <v>0.20593626871997478</v>
      </c>
    </row>
    <row r="289" spans="21:26" x14ac:dyDescent="0.3">
      <c r="U289" t="e">
        <f t="shared" si="20"/>
        <v>#N/A</v>
      </c>
      <c r="V289">
        <v>-1.1399999999999999</v>
      </c>
      <c r="W289">
        <f t="shared" si="21"/>
        <v>0.20830779004710837</v>
      </c>
      <c r="X289" t="e">
        <f t="shared" si="22"/>
        <v>#N/A</v>
      </c>
      <c r="Y289">
        <f t="shared" si="23"/>
        <v>0.20830779004710837</v>
      </c>
      <c r="Z289">
        <f t="shared" si="24"/>
        <v>0.20830779004710837</v>
      </c>
    </row>
    <row r="290" spans="21:26" x14ac:dyDescent="0.3">
      <c r="U290" t="e">
        <f t="shared" si="20"/>
        <v>#N/A</v>
      </c>
      <c r="V290">
        <v>-1.1299999999999999</v>
      </c>
      <c r="W290">
        <f t="shared" si="21"/>
        <v>0.21068555173601533</v>
      </c>
      <c r="X290" t="e">
        <f t="shared" si="22"/>
        <v>#N/A</v>
      </c>
      <c r="Y290">
        <f t="shared" si="23"/>
        <v>0.21068555173601533</v>
      </c>
      <c r="Z290">
        <f t="shared" si="24"/>
        <v>0.21068555173601533</v>
      </c>
    </row>
    <row r="291" spans="21:26" x14ac:dyDescent="0.3">
      <c r="U291" t="e">
        <f t="shared" si="20"/>
        <v>#N/A</v>
      </c>
      <c r="V291">
        <v>-1.1200000000000001</v>
      </c>
      <c r="W291">
        <f t="shared" si="21"/>
        <v>0.21306914677571784</v>
      </c>
      <c r="X291" t="e">
        <f t="shared" si="22"/>
        <v>#N/A</v>
      </c>
      <c r="Y291">
        <f t="shared" si="23"/>
        <v>0.21306914677571784</v>
      </c>
      <c r="Z291">
        <f t="shared" si="24"/>
        <v>0.21306914677571784</v>
      </c>
    </row>
    <row r="292" spans="21:26" x14ac:dyDescent="0.3">
      <c r="U292" t="e">
        <f t="shared" si="20"/>
        <v>#N/A</v>
      </c>
      <c r="V292">
        <v>-1.1100000000000001</v>
      </c>
      <c r="W292">
        <f t="shared" si="21"/>
        <v>0.21545816177021967</v>
      </c>
      <c r="X292" t="e">
        <f t="shared" si="22"/>
        <v>#N/A</v>
      </c>
      <c r="Y292">
        <f t="shared" si="23"/>
        <v>0.21545816177021967</v>
      </c>
      <c r="Z292">
        <f t="shared" si="24"/>
        <v>0.21545816177021967</v>
      </c>
    </row>
    <row r="293" spans="21:26" x14ac:dyDescent="0.3">
      <c r="U293" t="e">
        <f t="shared" si="20"/>
        <v>#N/A</v>
      </c>
      <c r="V293">
        <v>-1.1000000000000001</v>
      </c>
      <c r="W293">
        <f t="shared" si="21"/>
        <v>0.21785217703255053</v>
      </c>
      <c r="X293" t="e">
        <f t="shared" si="22"/>
        <v>#N/A</v>
      </c>
      <c r="Y293">
        <f t="shared" si="23"/>
        <v>0.21785217703255053</v>
      </c>
      <c r="Z293">
        <f t="shared" si="24"/>
        <v>0.21785217703255053</v>
      </c>
    </row>
    <row r="294" spans="21:26" x14ac:dyDescent="0.3">
      <c r="U294" t="e">
        <f t="shared" si="20"/>
        <v>#N/A</v>
      </c>
      <c r="V294">
        <v>-1.0900000000000001</v>
      </c>
      <c r="W294">
        <f t="shared" si="21"/>
        <v>0.22025076668303326</v>
      </c>
      <c r="X294" t="e">
        <f t="shared" si="22"/>
        <v>#N/A</v>
      </c>
      <c r="Y294">
        <f t="shared" si="23"/>
        <v>0.22025076668303326</v>
      </c>
      <c r="Z294">
        <f t="shared" si="24"/>
        <v>0.22025076668303326</v>
      </c>
    </row>
    <row r="295" spans="21:26" x14ac:dyDescent="0.3">
      <c r="U295" t="e">
        <f t="shared" si="20"/>
        <v>#N/A</v>
      </c>
      <c r="V295">
        <v>-1.08</v>
      </c>
      <c r="W295">
        <f t="shared" si="21"/>
        <v>0.22265349875176113</v>
      </c>
      <c r="X295" t="e">
        <f t="shared" si="22"/>
        <v>#N/A</v>
      </c>
      <c r="Y295">
        <f t="shared" si="23"/>
        <v>0.22265349875176113</v>
      </c>
      <c r="Z295">
        <f t="shared" si="24"/>
        <v>0.22265349875176113</v>
      </c>
    </row>
    <row r="296" spans="21:26" x14ac:dyDescent="0.3">
      <c r="U296" t="e">
        <f t="shared" si="20"/>
        <v>#N/A</v>
      </c>
      <c r="V296">
        <v>-1.07</v>
      </c>
      <c r="W296">
        <f t="shared" si="21"/>
        <v>0.22505993528526966</v>
      </c>
      <c r="X296" t="e">
        <f t="shared" si="22"/>
        <v>#N/A</v>
      </c>
      <c r="Y296">
        <f t="shared" si="23"/>
        <v>0.22505993528526966</v>
      </c>
      <c r="Z296">
        <f t="shared" si="24"/>
        <v>0.22505993528526966</v>
      </c>
    </row>
    <row r="297" spans="21:26" x14ac:dyDescent="0.3">
      <c r="U297" t="e">
        <f t="shared" si="20"/>
        <v>#N/A</v>
      </c>
      <c r="V297">
        <v>-1.06</v>
      </c>
      <c r="W297">
        <f t="shared" si="21"/>
        <v>0.22746963245738591</v>
      </c>
      <c r="X297" t="e">
        <f t="shared" si="22"/>
        <v>#N/A</v>
      </c>
      <c r="Y297">
        <f t="shared" si="23"/>
        <v>0.22746963245738591</v>
      </c>
      <c r="Z297">
        <f t="shared" si="24"/>
        <v>0.22746963245738591</v>
      </c>
    </row>
    <row r="298" spans="21:26" x14ac:dyDescent="0.3">
      <c r="U298" t="e">
        <f t="shared" si="20"/>
        <v>#N/A</v>
      </c>
      <c r="V298">
        <v>-1.05</v>
      </c>
      <c r="W298">
        <f t="shared" si="21"/>
        <v>0.22988214068423302</v>
      </c>
      <c r="X298" t="e">
        <f t="shared" si="22"/>
        <v>#N/A</v>
      </c>
      <c r="Y298">
        <f t="shared" si="23"/>
        <v>0.22988214068423302</v>
      </c>
      <c r="Z298">
        <f t="shared" si="24"/>
        <v>0.22988214068423302</v>
      </c>
    </row>
    <row r="299" spans="21:26" x14ac:dyDescent="0.3">
      <c r="U299" t="e">
        <f t="shared" si="20"/>
        <v>#N/A</v>
      </c>
      <c r="V299">
        <v>-1.04</v>
      </c>
      <c r="W299">
        <f t="shared" si="21"/>
        <v>0.2322970047433662</v>
      </c>
      <c r="X299" t="e">
        <f t="shared" si="22"/>
        <v>#N/A</v>
      </c>
      <c r="Y299">
        <f t="shared" si="23"/>
        <v>0.2322970047433662</v>
      </c>
      <c r="Z299">
        <f t="shared" si="24"/>
        <v>0.2322970047433662</v>
      </c>
    </row>
    <row r="300" spans="21:26" x14ac:dyDescent="0.3">
      <c r="U300" t="e">
        <f t="shared" si="20"/>
        <v>#N/A</v>
      </c>
      <c r="V300">
        <v>-1.03</v>
      </c>
      <c r="W300">
        <f t="shared" si="21"/>
        <v>0.23471376389701182</v>
      </c>
      <c r="X300" t="e">
        <f t="shared" si="22"/>
        <v>#N/A</v>
      </c>
      <c r="Y300">
        <f t="shared" si="23"/>
        <v>0.23471376389701182</v>
      </c>
      <c r="Z300">
        <f t="shared" si="24"/>
        <v>0.23471376389701182</v>
      </c>
    </row>
    <row r="301" spans="21:26" x14ac:dyDescent="0.3">
      <c r="U301" t="e">
        <f t="shared" si="20"/>
        <v>#N/A</v>
      </c>
      <c r="V301">
        <v>-1.02</v>
      </c>
      <c r="W301">
        <f t="shared" si="21"/>
        <v>0.23713195201937959</v>
      </c>
      <c r="X301" t="e">
        <f t="shared" si="22"/>
        <v>#N/A</v>
      </c>
      <c r="Y301">
        <f t="shared" si="23"/>
        <v>0.23713195201937959</v>
      </c>
      <c r="Z301">
        <f t="shared" si="24"/>
        <v>0.23713195201937959</v>
      </c>
    </row>
    <row r="302" spans="21:26" x14ac:dyDescent="0.3">
      <c r="U302" t="e">
        <f t="shared" si="20"/>
        <v>#N/A</v>
      </c>
      <c r="V302">
        <v>-1.01</v>
      </c>
      <c r="W302">
        <f t="shared" si="21"/>
        <v>0.23955109772801336</v>
      </c>
      <c r="X302" t="e">
        <f t="shared" si="22"/>
        <v>#N/A</v>
      </c>
      <c r="Y302">
        <f t="shared" si="23"/>
        <v>0.23955109772801336</v>
      </c>
      <c r="Z302">
        <f t="shared" si="24"/>
        <v>0.23955109772801336</v>
      </c>
    </row>
    <row r="303" spans="21:26" x14ac:dyDescent="0.3">
      <c r="U303" t="e">
        <f t="shared" si="20"/>
        <v>#N/A</v>
      </c>
      <c r="V303">
        <v>-1</v>
      </c>
      <c r="W303">
        <f t="shared" si="21"/>
        <v>0.24197072451914337</v>
      </c>
      <c r="X303" t="e">
        <f t="shared" si="22"/>
        <v>#N/A</v>
      </c>
      <c r="Y303">
        <f t="shared" si="23"/>
        <v>0.24197072451914337</v>
      </c>
      <c r="Z303">
        <f t="shared" si="24"/>
        <v>0.24197072451914337</v>
      </c>
    </row>
    <row r="304" spans="21:26" x14ac:dyDescent="0.3">
      <c r="U304" t="e">
        <f t="shared" si="20"/>
        <v>#N/A</v>
      </c>
      <c r="V304">
        <v>-0.99</v>
      </c>
      <c r="W304">
        <f t="shared" si="21"/>
        <v>0.24439035090699956</v>
      </c>
      <c r="X304" t="e">
        <f t="shared" si="22"/>
        <v>#N/A</v>
      </c>
      <c r="Y304">
        <f t="shared" si="23"/>
        <v>0.24439035090699956</v>
      </c>
      <c r="Z304">
        <f t="shared" si="24"/>
        <v>0.24439035090699956</v>
      </c>
    </row>
    <row r="305" spans="21:26" x14ac:dyDescent="0.3">
      <c r="U305" t="e">
        <f t="shared" si="20"/>
        <v>#N/A</v>
      </c>
      <c r="V305">
        <v>-0.98</v>
      </c>
      <c r="W305">
        <f t="shared" si="21"/>
        <v>0.24680949056704274</v>
      </c>
      <c r="X305" t="e">
        <f t="shared" si="22"/>
        <v>#N/A</v>
      </c>
      <c r="Y305">
        <f t="shared" si="23"/>
        <v>0.24680949056704274</v>
      </c>
      <c r="Z305">
        <f t="shared" si="24"/>
        <v>0.24680949056704274</v>
      </c>
    </row>
    <row r="306" spans="21:26" x14ac:dyDescent="0.3">
      <c r="U306" t="e">
        <f t="shared" si="20"/>
        <v>#N/A</v>
      </c>
      <c r="V306">
        <v>-0.97</v>
      </c>
      <c r="W306">
        <f t="shared" si="21"/>
        <v>0.24922765248306594</v>
      </c>
      <c r="X306" t="e">
        <f t="shared" si="22"/>
        <v>#N/A</v>
      </c>
      <c r="Y306">
        <f t="shared" si="23"/>
        <v>0.24922765248306594</v>
      </c>
      <c r="Z306">
        <f t="shared" si="24"/>
        <v>0.24922765248306594</v>
      </c>
    </row>
    <row r="307" spans="21:26" x14ac:dyDescent="0.3">
      <c r="U307" t="e">
        <f t="shared" si="20"/>
        <v>#N/A</v>
      </c>
      <c r="V307">
        <v>-0.96</v>
      </c>
      <c r="W307">
        <f t="shared" si="21"/>
        <v>0.25164434109811712</v>
      </c>
      <c r="X307" t="e">
        <f t="shared" si="22"/>
        <v>#N/A</v>
      </c>
      <c r="Y307">
        <f t="shared" si="23"/>
        <v>0.25164434109811712</v>
      </c>
      <c r="Z307">
        <f t="shared" si="24"/>
        <v>0.25164434109811712</v>
      </c>
    </row>
    <row r="308" spans="21:26" x14ac:dyDescent="0.3">
      <c r="U308" t="e">
        <f t="shared" si="20"/>
        <v>#N/A</v>
      </c>
      <c r="V308">
        <v>-0.95</v>
      </c>
      <c r="W308">
        <f t="shared" si="21"/>
        <v>0.25405905646918903</v>
      </c>
      <c r="X308" t="e">
        <f t="shared" si="22"/>
        <v>#N/A</v>
      </c>
      <c r="Y308">
        <f t="shared" si="23"/>
        <v>0.25405905646918903</v>
      </c>
      <c r="Z308">
        <f t="shared" si="24"/>
        <v>0.25405905646918903</v>
      </c>
    </row>
    <row r="309" spans="21:26" x14ac:dyDescent="0.3">
      <c r="U309" t="e">
        <f t="shared" si="20"/>
        <v>#N/A</v>
      </c>
      <c r="V309">
        <v>-0.94</v>
      </c>
      <c r="W309">
        <f t="shared" si="21"/>
        <v>0.25647129442562033</v>
      </c>
      <c r="X309" t="e">
        <f t="shared" si="22"/>
        <v>#N/A</v>
      </c>
      <c r="Y309">
        <f t="shared" si="23"/>
        <v>0.25647129442562033</v>
      </c>
      <c r="Z309">
        <f t="shared" si="24"/>
        <v>0.25647129442562033</v>
      </c>
    </row>
    <row r="310" spans="21:26" x14ac:dyDescent="0.3">
      <c r="U310" t="e">
        <f t="shared" si="20"/>
        <v>#N/A</v>
      </c>
      <c r="V310">
        <v>-0.93</v>
      </c>
      <c r="W310">
        <f t="shared" si="21"/>
        <v>0.2588805467311488</v>
      </c>
      <c r="X310" t="e">
        <f t="shared" si="22"/>
        <v>#N/A</v>
      </c>
      <c r="Y310">
        <f t="shared" si="23"/>
        <v>0.2588805467311488</v>
      </c>
      <c r="Z310">
        <f t="shared" si="24"/>
        <v>0.2588805467311488</v>
      </c>
    </row>
    <row r="311" spans="21:26" x14ac:dyDescent="0.3">
      <c r="U311" t="e">
        <f t="shared" si="20"/>
        <v>#N/A</v>
      </c>
      <c r="V311">
        <v>-0.92</v>
      </c>
      <c r="W311">
        <f t="shared" si="21"/>
        <v>0.26128630124955315</v>
      </c>
      <c r="X311" t="e">
        <f t="shared" si="22"/>
        <v>#N/A</v>
      </c>
      <c r="Y311">
        <f t="shared" si="23"/>
        <v>0.26128630124955315</v>
      </c>
      <c r="Z311">
        <f t="shared" si="24"/>
        <v>0.26128630124955315</v>
      </c>
    </row>
    <row r="312" spans="21:26" x14ac:dyDescent="0.3">
      <c r="U312" t="e">
        <f t="shared" si="20"/>
        <v>#N/A</v>
      </c>
      <c r="V312">
        <v>-0.91</v>
      </c>
      <c r="W312">
        <f t="shared" si="21"/>
        <v>0.26368804211381813</v>
      </c>
      <c r="X312" t="e">
        <f t="shared" si="22"/>
        <v>#N/A</v>
      </c>
      <c r="Y312">
        <f t="shared" si="23"/>
        <v>0.26368804211381813</v>
      </c>
      <c r="Z312">
        <f t="shared" si="24"/>
        <v>0.26368804211381813</v>
      </c>
    </row>
    <row r="313" spans="21:26" x14ac:dyDescent="0.3">
      <c r="U313" t="e">
        <f t="shared" si="20"/>
        <v>#N/A</v>
      </c>
      <c r="V313">
        <v>-0.9</v>
      </c>
      <c r="W313">
        <f t="shared" si="21"/>
        <v>0.26608524989875482</v>
      </c>
      <c r="X313" t="e">
        <f t="shared" si="22"/>
        <v>#N/A</v>
      </c>
      <c r="Y313">
        <f t="shared" si="23"/>
        <v>0.26608524989875482</v>
      </c>
      <c r="Z313">
        <f t="shared" si="24"/>
        <v>0.26608524989875482</v>
      </c>
    </row>
    <row r="314" spans="21:26" x14ac:dyDescent="0.3">
      <c r="U314" t="e">
        <f t="shared" si="20"/>
        <v>#N/A</v>
      </c>
      <c r="V314">
        <v>-0.89</v>
      </c>
      <c r="W314">
        <f t="shared" si="21"/>
        <v>0.26847740179700241</v>
      </c>
      <c r="X314" t="e">
        <f t="shared" si="22"/>
        <v>#N/A</v>
      </c>
      <c r="Y314">
        <f t="shared" si="23"/>
        <v>0.26847740179700241</v>
      </c>
      <c r="Z314">
        <f t="shared" si="24"/>
        <v>0.26847740179700241</v>
      </c>
    </row>
    <row r="315" spans="21:26" x14ac:dyDescent="0.3">
      <c r="U315" t="e">
        <f t="shared" si="20"/>
        <v>#N/A</v>
      </c>
      <c r="V315">
        <v>-0.88</v>
      </c>
      <c r="W315">
        <f t="shared" si="21"/>
        <v>0.27086397179833799</v>
      </c>
      <c r="X315" t="e">
        <f t="shared" si="22"/>
        <v>#N/A</v>
      </c>
      <c r="Y315">
        <f t="shared" si="23"/>
        <v>0.27086397179833799</v>
      </c>
      <c r="Z315">
        <f t="shared" si="24"/>
        <v>0.27086397179833799</v>
      </c>
    </row>
    <row r="316" spans="21:26" x14ac:dyDescent="0.3">
      <c r="U316" t="e">
        <f t="shared" si="20"/>
        <v>#N/A</v>
      </c>
      <c r="V316">
        <v>-0.87</v>
      </c>
      <c r="W316">
        <f t="shared" si="21"/>
        <v>0.27324443087221623</v>
      </c>
      <c r="X316" t="e">
        <f t="shared" si="22"/>
        <v>#N/A</v>
      </c>
      <c r="Y316">
        <f t="shared" si="23"/>
        <v>0.27324443087221623</v>
      </c>
      <c r="Z316">
        <f t="shared" si="24"/>
        <v>0.27324443087221623</v>
      </c>
    </row>
    <row r="317" spans="21:26" x14ac:dyDescent="0.3">
      <c r="U317" t="e">
        <f t="shared" si="20"/>
        <v>#N/A</v>
      </c>
      <c r="V317">
        <v>-0.86</v>
      </c>
      <c r="W317">
        <f t="shared" si="21"/>
        <v>0.27561824715345667</v>
      </c>
      <c r="X317" t="e">
        <f t="shared" si="22"/>
        <v>#N/A</v>
      </c>
      <c r="Y317">
        <f t="shared" si="23"/>
        <v>0.27561824715345667</v>
      </c>
      <c r="Z317">
        <f t="shared" si="24"/>
        <v>0.27561824715345667</v>
      </c>
    </row>
    <row r="318" spans="21:26" x14ac:dyDescent="0.3">
      <c r="U318" t="e">
        <f t="shared" si="20"/>
        <v>#N/A</v>
      </c>
      <c r="V318">
        <v>-0.85</v>
      </c>
      <c r="W318">
        <f t="shared" si="21"/>
        <v>0.27798488613099648</v>
      </c>
      <c r="X318" t="e">
        <f t="shared" si="22"/>
        <v>#N/A</v>
      </c>
      <c r="Y318">
        <f t="shared" si="23"/>
        <v>0.27798488613099648</v>
      </c>
      <c r="Z318">
        <f t="shared" si="24"/>
        <v>0.27798488613099648</v>
      </c>
    </row>
    <row r="319" spans="21:26" x14ac:dyDescent="0.3">
      <c r="U319" t="e">
        <f t="shared" si="20"/>
        <v>#N/A</v>
      </c>
      <c r="V319">
        <v>-0.84</v>
      </c>
      <c r="W319">
        <f t="shared" si="21"/>
        <v>0.28034381083962062</v>
      </c>
      <c r="X319" t="e">
        <f t="shared" si="22"/>
        <v>#N/A</v>
      </c>
      <c r="Y319">
        <f t="shared" si="23"/>
        <v>0.28034381083962062</v>
      </c>
      <c r="Z319">
        <f t="shared" si="24"/>
        <v>0.28034381083962062</v>
      </c>
    </row>
    <row r="320" spans="21:26" x14ac:dyDescent="0.3">
      <c r="U320" t="e">
        <f t="shared" si="20"/>
        <v>#N/A</v>
      </c>
      <c r="V320">
        <v>-0.83</v>
      </c>
      <c r="W320">
        <f t="shared" si="21"/>
        <v>0.28269448205458025</v>
      </c>
      <c r="X320" t="e">
        <f t="shared" si="22"/>
        <v>#N/A</v>
      </c>
      <c r="Y320">
        <f t="shared" si="23"/>
        <v>0.28269448205458025</v>
      </c>
      <c r="Z320">
        <f t="shared" si="24"/>
        <v>0.28269448205458025</v>
      </c>
    </row>
    <row r="321" spans="21:26" x14ac:dyDescent="0.3">
      <c r="U321" t="e">
        <f t="shared" si="20"/>
        <v>#N/A</v>
      </c>
      <c r="V321">
        <v>-0.82</v>
      </c>
      <c r="W321">
        <f t="shared" si="21"/>
        <v>0.28503635848900727</v>
      </c>
      <c r="X321" t="e">
        <f t="shared" si="22"/>
        <v>#N/A</v>
      </c>
      <c r="Y321">
        <f t="shared" si="23"/>
        <v>0.28503635848900727</v>
      </c>
      <c r="Z321">
        <f t="shared" si="24"/>
        <v>0.28503635848900727</v>
      </c>
    </row>
    <row r="322" spans="21:26" x14ac:dyDescent="0.3">
      <c r="U322" t="e">
        <f t="shared" si="20"/>
        <v>#N/A</v>
      </c>
      <c r="V322">
        <v>-0.81</v>
      </c>
      <c r="W322">
        <f t="shared" si="21"/>
        <v>0.28736889699402829</v>
      </c>
      <c r="X322" t="e">
        <f t="shared" si="22"/>
        <v>#N/A</v>
      </c>
      <c r="Y322">
        <f t="shared" si="23"/>
        <v>0.28736889699402829</v>
      </c>
      <c r="Z322">
        <f t="shared" si="24"/>
        <v>0.28736889699402829</v>
      </c>
    </row>
    <row r="323" spans="21:26" x14ac:dyDescent="0.3">
      <c r="U323" t="e">
        <f t="shared" si="20"/>
        <v>#N/A</v>
      </c>
      <c r="V323">
        <v>-0.8</v>
      </c>
      <c r="W323">
        <f t="shared" si="21"/>
        <v>0.28969155276148273</v>
      </c>
      <c r="X323" t="e">
        <f t="shared" si="22"/>
        <v>#N/A</v>
      </c>
      <c r="Y323">
        <f t="shared" si="23"/>
        <v>0.28969155276148273</v>
      </c>
      <c r="Z323">
        <f t="shared" si="24"/>
        <v>0.28969155276148273</v>
      </c>
    </row>
    <row r="324" spans="21:26" x14ac:dyDescent="0.3">
      <c r="U324" t="e">
        <f t="shared" ref="U324:U387" si="25">IF($A$2=ABS(V324),0,NA())</f>
        <v>#N/A</v>
      </c>
      <c r="V324">
        <v>-0.79</v>
      </c>
      <c r="W324">
        <f t="shared" ref="W324:W387" si="26">_xlfn.NORM.S.DIST(V324,0)</f>
        <v>0.29200377952914142</v>
      </c>
      <c r="X324" t="e">
        <f t="shared" ref="X324:X387" si="27">IF(ABS(V324)=$A$2,W324,NA())</f>
        <v>#N/A</v>
      </c>
      <c r="Y324">
        <f t="shared" ref="Y324:Y387" si="28">IF(V324&lt;=$A$2,W324,NA())</f>
        <v>0.29200377952914142</v>
      </c>
      <c r="Z324">
        <f t="shared" ref="Z324:Z387" si="29">IF(ABS(V324)&lt;=$A$2,W324,NA())</f>
        <v>0.29200377952914142</v>
      </c>
    </row>
    <row r="325" spans="21:26" x14ac:dyDescent="0.3">
      <c r="U325" t="e">
        <f t="shared" si="25"/>
        <v>#N/A</v>
      </c>
      <c r="V325">
        <v>-0.78</v>
      </c>
      <c r="W325">
        <f t="shared" si="26"/>
        <v>0.29430502978832512</v>
      </c>
      <c r="X325" t="e">
        <f t="shared" si="27"/>
        <v>#N/A</v>
      </c>
      <c r="Y325">
        <f t="shared" si="28"/>
        <v>0.29430502978832512</v>
      </c>
      <c r="Z325">
        <f t="shared" si="29"/>
        <v>0.29430502978832512</v>
      </c>
    </row>
    <row r="326" spans="21:26" x14ac:dyDescent="0.3">
      <c r="U326" t="e">
        <f t="shared" si="25"/>
        <v>#N/A</v>
      </c>
      <c r="V326">
        <v>-0.77</v>
      </c>
      <c r="W326">
        <f t="shared" si="26"/>
        <v>0.29659475499381571</v>
      </c>
      <c r="X326" t="e">
        <f t="shared" si="27"/>
        <v>#N/A</v>
      </c>
      <c r="Y326">
        <f t="shared" si="28"/>
        <v>0.29659475499381571</v>
      </c>
      <c r="Z326">
        <f t="shared" si="29"/>
        <v>0.29659475499381571</v>
      </c>
    </row>
    <row r="327" spans="21:26" x14ac:dyDescent="0.3">
      <c r="U327" t="e">
        <f t="shared" si="25"/>
        <v>#N/A</v>
      </c>
      <c r="V327">
        <v>-0.76</v>
      </c>
      <c r="W327">
        <f t="shared" si="26"/>
        <v>0.29887240577595275</v>
      </c>
      <c r="X327" t="e">
        <f t="shared" si="27"/>
        <v>#N/A</v>
      </c>
      <c r="Y327">
        <f t="shared" si="28"/>
        <v>0.29887240577595275</v>
      </c>
      <c r="Z327">
        <f t="shared" si="29"/>
        <v>0.29887240577595275</v>
      </c>
    </row>
    <row r="328" spans="21:26" x14ac:dyDescent="0.3">
      <c r="U328" t="e">
        <f t="shared" si="25"/>
        <v>#N/A</v>
      </c>
      <c r="V328">
        <v>-0.75</v>
      </c>
      <c r="W328">
        <f t="shared" si="26"/>
        <v>0.30113743215480443</v>
      </c>
      <c r="X328" t="e">
        <f t="shared" si="27"/>
        <v>#N/A</v>
      </c>
      <c r="Y328">
        <f t="shared" si="28"/>
        <v>0.30113743215480443</v>
      </c>
      <c r="Z328">
        <f t="shared" si="29"/>
        <v>0.30113743215480443</v>
      </c>
    </row>
    <row r="329" spans="21:26" x14ac:dyDescent="0.3">
      <c r="U329" t="e">
        <f t="shared" si="25"/>
        <v>#N/A</v>
      </c>
      <c r="V329">
        <v>-0.74</v>
      </c>
      <c r="W329">
        <f t="shared" si="26"/>
        <v>0.30338928375630014</v>
      </c>
      <c r="X329" t="e">
        <f t="shared" si="27"/>
        <v>#N/A</v>
      </c>
      <c r="Y329">
        <f t="shared" si="28"/>
        <v>0.30338928375630014</v>
      </c>
      <c r="Z329">
        <f t="shared" si="29"/>
        <v>0.30338928375630014</v>
      </c>
    </row>
    <row r="330" spans="21:26" x14ac:dyDescent="0.3">
      <c r="U330" t="e">
        <f t="shared" si="25"/>
        <v>#N/A</v>
      </c>
      <c r="V330">
        <v>-0.73</v>
      </c>
      <c r="W330">
        <f t="shared" si="26"/>
        <v>0.30562741003020988</v>
      </c>
      <c r="X330" t="e">
        <f t="shared" si="27"/>
        <v>#N/A</v>
      </c>
      <c r="Y330">
        <f t="shared" si="28"/>
        <v>0.30562741003020988</v>
      </c>
      <c r="Z330">
        <f t="shared" si="29"/>
        <v>0.30562741003020988</v>
      </c>
    </row>
    <row r="331" spans="21:26" x14ac:dyDescent="0.3">
      <c r="U331" t="e">
        <f t="shared" si="25"/>
        <v>#N/A</v>
      </c>
      <c r="V331">
        <v>-0.72</v>
      </c>
      <c r="W331">
        <f t="shared" si="26"/>
        <v>0.30785126046985295</v>
      </c>
      <c r="X331" t="e">
        <f t="shared" si="27"/>
        <v>#N/A</v>
      </c>
      <c r="Y331">
        <f t="shared" si="28"/>
        <v>0.30785126046985295</v>
      </c>
      <c r="Z331">
        <f t="shared" si="29"/>
        <v>0.30785126046985295</v>
      </c>
    </row>
    <row r="332" spans="21:26" x14ac:dyDescent="0.3">
      <c r="U332" t="e">
        <f t="shared" si="25"/>
        <v>#N/A</v>
      </c>
      <c r="V332">
        <v>-0.71</v>
      </c>
      <c r="W332">
        <f t="shared" si="26"/>
        <v>0.31006028483341613</v>
      </c>
      <c r="X332" t="e">
        <f t="shared" si="27"/>
        <v>#N/A</v>
      </c>
      <c r="Y332">
        <f t="shared" si="28"/>
        <v>0.31006028483341613</v>
      </c>
      <c r="Z332">
        <f t="shared" si="29"/>
        <v>0.31006028483341613</v>
      </c>
    </row>
    <row r="333" spans="21:26" x14ac:dyDescent="0.3">
      <c r="U333" t="e">
        <f t="shared" si="25"/>
        <v>#N/A</v>
      </c>
      <c r="V333">
        <v>-0.7</v>
      </c>
      <c r="W333">
        <f t="shared" si="26"/>
        <v>0.31225393336676127</v>
      </c>
      <c r="X333" t="e">
        <f t="shared" si="27"/>
        <v>#N/A</v>
      </c>
      <c r="Y333">
        <f t="shared" si="28"/>
        <v>0.31225393336676127</v>
      </c>
      <c r="Z333">
        <f t="shared" si="29"/>
        <v>0.31225393336676127</v>
      </c>
    </row>
    <row r="334" spans="21:26" x14ac:dyDescent="0.3">
      <c r="U334" t="e">
        <f t="shared" si="25"/>
        <v>#N/A</v>
      </c>
      <c r="V334">
        <v>-0.69</v>
      </c>
      <c r="W334">
        <f t="shared" si="26"/>
        <v>0.31443165702759734</v>
      </c>
      <c r="X334" t="e">
        <f t="shared" si="27"/>
        <v>#N/A</v>
      </c>
      <c r="Y334">
        <f t="shared" si="28"/>
        <v>0.31443165702759734</v>
      </c>
      <c r="Z334">
        <f t="shared" si="29"/>
        <v>0.31443165702759734</v>
      </c>
    </row>
    <row r="335" spans="21:26" x14ac:dyDescent="0.3">
      <c r="U335" t="e">
        <f t="shared" si="25"/>
        <v>#N/A</v>
      </c>
      <c r="V335">
        <v>-0.68</v>
      </c>
      <c r="W335">
        <f t="shared" si="26"/>
        <v>0.31659290771089277</v>
      </c>
      <c r="X335" t="e">
        <f t="shared" si="27"/>
        <v>#N/A</v>
      </c>
      <c r="Y335">
        <f t="shared" si="28"/>
        <v>0.31659290771089277</v>
      </c>
      <c r="Z335">
        <f t="shared" si="29"/>
        <v>0.31659290771089277</v>
      </c>
    </row>
    <row r="336" spans="21:26" x14ac:dyDescent="0.3">
      <c r="U336" t="e">
        <f t="shared" si="25"/>
        <v>#N/A</v>
      </c>
      <c r="V336">
        <v>-0.67</v>
      </c>
      <c r="W336">
        <f t="shared" si="26"/>
        <v>0.31873713847540153</v>
      </c>
      <c r="X336" t="e">
        <f t="shared" si="27"/>
        <v>#N/A</v>
      </c>
      <c r="Y336">
        <f t="shared" si="28"/>
        <v>0.31873713847540153</v>
      </c>
      <c r="Z336">
        <f t="shared" si="29"/>
        <v>0.31873713847540153</v>
      </c>
    </row>
    <row r="337" spans="21:26" x14ac:dyDescent="0.3">
      <c r="U337" t="e">
        <f t="shared" si="25"/>
        <v>#N/A</v>
      </c>
      <c r="V337">
        <v>-0.66</v>
      </c>
      <c r="W337">
        <f t="shared" si="26"/>
        <v>0.32086380377117252</v>
      </c>
      <c r="X337" t="e">
        <f t="shared" si="27"/>
        <v>#N/A</v>
      </c>
      <c r="Y337">
        <f t="shared" si="28"/>
        <v>0.32086380377117252</v>
      </c>
      <c r="Z337">
        <f t="shared" si="29"/>
        <v>0.32086380377117252</v>
      </c>
    </row>
    <row r="338" spans="21:26" x14ac:dyDescent="0.3">
      <c r="U338" t="e">
        <f t="shared" si="25"/>
        <v>#N/A</v>
      </c>
      <c r="V338">
        <v>-0.65</v>
      </c>
      <c r="W338">
        <f t="shared" si="26"/>
        <v>0.32297235966791427</v>
      </c>
      <c r="X338" t="e">
        <f t="shared" si="27"/>
        <v>#N/A</v>
      </c>
      <c r="Y338">
        <f t="shared" si="28"/>
        <v>0.32297235966791427</v>
      </c>
      <c r="Z338">
        <f t="shared" si="29"/>
        <v>0.32297235966791427</v>
      </c>
    </row>
    <row r="339" spans="21:26" x14ac:dyDescent="0.3">
      <c r="U339" t="e">
        <f t="shared" si="25"/>
        <v>#N/A</v>
      </c>
      <c r="V339">
        <v>-0.64</v>
      </c>
      <c r="W339">
        <f t="shared" si="26"/>
        <v>0.32506226408408218</v>
      </c>
      <c r="X339" t="e">
        <f t="shared" si="27"/>
        <v>#N/A</v>
      </c>
      <c r="Y339">
        <f t="shared" si="28"/>
        <v>0.32506226408408218</v>
      </c>
      <c r="Z339">
        <f t="shared" si="29"/>
        <v>0.32506226408408218</v>
      </c>
    </row>
    <row r="340" spans="21:26" x14ac:dyDescent="0.3">
      <c r="U340" t="e">
        <f t="shared" si="25"/>
        <v>#N/A</v>
      </c>
      <c r="V340">
        <v>-0.63</v>
      </c>
      <c r="W340">
        <f t="shared" si="26"/>
        <v>0.32713297701655447</v>
      </c>
      <c r="X340" t="e">
        <f t="shared" si="27"/>
        <v>#N/A</v>
      </c>
      <c r="Y340">
        <f t="shared" si="28"/>
        <v>0.32713297701655447</v>
      </c>
      <c r="Z340">
        <f t="shared" si="29"/>
        <v>0.32713297701655447</v>
      </c>
    </row>
    <row r="341" spans="21:26" x14ac:dyDescent="0.3">
      <c r="U341" t="e">
        <f t="shared" si="25"/>
        <v>#N/A</v>
      </c>
      <c r="V341">
        <v>-0.62</v>
      </c>
      <c r="W341">
        <f t="shared" si="26"/>
        <v>0.32918396077076478</v>
      </c>
      <c r="X341" t="e">
        <f t="shared" si="27"/>
        <v>#N/A</v>
      </c>
      <c r="Y341">
        <f t="shared" si="28"/>
        <v>0.32918396077076478</v>
      </c>
      <c r="Z341">
        <f t="shared" si="29"/>
        <v>0.32918396077076478</v>
      </c>
    </row>
    <row r="342" spans="21:26" x14ac:dyDescent="0.3">
      <c r="U342" t="e">
        <f t="shared" si="25"/>
        <v>#N/A</v>
      </c>
      <c r="V342">
        <v>-0.61</v>
      </c>
      <c r="W342">
        <f t="shared" si="26"/>
        <v>0.33121468019115297</v>
      </c>
      <c r="X342" t="e">
        <f t="shared" si="27"/>
        <v>#N/A</v>
      </c>
      <c r="Y342">
        <f t="shared" si="28"/>
        <v>0.33121468019115297</v>
      </c>
      <c r="Z342">
        <f t="shared" si="29"/>
        <v>0.33121468019115297</v>
      </c>
    </row>
    <row r="343" spans="21:26" x14ac:dyDescent="0.3">
      <c r="U343" t="e">
        <f t="shared" si="25"/>
        <v>#N/A</v>
      </c>
      <c r="V343">
        <v>-0.6</v>
      </c>
      <c r="W343">
        <f t="shared" si="26"/>
        <v>0.33322460289179967</v>
      </c>
      <c r="X343" t="e">
        <f t="shared" si="27"/>
        <v>#N/A</v>
      </c>
      <c r="Y343">
        <f t="shared" si="28"/>
        <v>0.33322460289179967</v>
      </c>
      <c r="Z343">
        <f t="shared" si="29"/>
        <v>0.33322460289179967</v>
      </c>
    </row>
    <row r="344" spans="21:26" x14ac:dyDescent="0.3">
      <c r="U344" t="e">
        <f t="shared" si="25"/>
        <v>#N/A</v>
      </c>
      <c r="V344">
        <v>-0.59</v>
      </c>
      <c r="W344">
        <f t="shared" si="26"/>
        <v>0.33521319948710609</v>
      </c>
      <c r="X344" t="e">
        <f t="shared" si="27"/>
        <v>#N/A</v>
      </c>
      <c r="Y344">
        <f t="shared" si="28"/>
        <v>0.33521319948710609</v>
      </c>
      <c r="Z344">
        <f t="shared" si="29"/>
        <v>0.33521319948710609</v>
      </c>
    </row>
    <row r="345" spans="21:26" x14ac:dyDescent="0.3">
      <c r="U345" t="e">
        <f t="shared" si="25"/>
        <v>#N/A</v>
      </c>
      <c r="V345">
        <v>-0.57999999999999996</v>
      </c>
      <c r="W345">
        <f t="shared" si="26"/>
        <v>0.33717994382238059</v>
      </c>
      <c r="X345" t="e">
        <f t="shared" si="27"/>
        <v>#N/A</v>
      </c>
      <c r="Y345">
        <f t="shared" si="28"/>
        <v>0.33717994382238059</v>
      </c>
      <c r="Z345">
        <f t="shared" si="29"/>
        <v>0.33717994382238059</v>
      </c>
    </row>
    <row r="346" spans="21:26" x14ac:dyDescent="0.3">
      <c r="U346" t="e">
        <f t="shared" si="25"/>
        <v>#N/A</v>
      </c>
      <c r="V346">
        <v>-0.56999999999999995</v>
      </c>
      <c r="W346">
        <f t="shared" si="26"/>
        <v>0.33912431320419223</v>
      </c>
      <c r="X346" t="e">
        <f t="shared" si="27"/>
        <v>#N/A</v>
      </c>
      <c r="Y346">
        <f t="shared" si="28"/>
        <v>0.33912431320419223</v>
      </c>
      <c r="Z346">
        <f t="shared" si="29"/>
        <v>0.33912431320419223</v>
      </c>
    </row>
    <row r="347" spans="21:26" x14ac:dyDescent="0.3">
      <c r="U347" t="e">
        <f t="shared" si="25"/>
        <v>#N/A</v>
      </c>
      <c r="V347">
        <v>-0.56000000000000005</v>
      </c>
      <c r="W347">
        <f t="shared" si="26"/>
        <v>0.34104578863035256</v>
      </c>
      <c r="X347" t="e">
        <f t="shared" si="27"/>
        <v>#N/A</v>
      </c>
      <c r="Y347">
        <f t="shared" si="28"/>
        <v>0.34104578863035256</v>
      </c>
      <c r="Z347">
        <f t="shared" si="29"/>
        <v>0.34104578863035256</v>
      </c>
    </row>
    <row r="348" spans="21:26" x14ac:dyDescent="0.3">
      <c r="U348" t="e">
        <f t="shared" si="25"/>
        <v>#N/A</v>
      </c>
      <c r="V348">
        <v>-0.55000000000000004</v>
      </c>
      <c r="W348">
        <f t="shared" si="26"/>
        <v>0.3429438550193839</v>
      </c>
      <c r="X348" t="e">
        <f t="shared" si="27"/>
        <v>#N/A</v>
      </c>
      <c r="Y348">
        <f t="shared" si="28"/>
        <v>0.3429438550193839</v>
      </c>
      <c r="Z348">
        <f t="shared" si="29"/>
        <v>0.3429438550193839</v>
      </c>
    </row>
    <row r="349" spans="21:26" x14ac:dyDescent="0.3">
      <c r="U349" t="e">
        <f t="shared" si="25"/>
        <v>#N/A</v>
      </c>
      <c r="V349">
        <v>-0.54</v>
      </c>
      <c r="W349">
        <f t="shared" si="26"/>
        <v>0.34481800143933333</v>
      </c>
      <c r="X349" t="e">
        <f t="shared" si="27"/>
        <v>#N/A</v>
      </c>
      <c r="Y349">
        <f t="shared" si="28"/>
        <v>0.34481800143933333</v>
      </c>
      <c r="Z349">
        <f t="shared" si="29"/>
        <v>0.34481800143933333</v>
      </c>
    </row>
    <row r="350" spans="21:26" x14ac:dyDescent="0.3">
      <c r="U350" t="e">
        <f t="shared" si="25"/>
        <v>#N/A</v>
      </c>
      <c r="V350">
        <v>-0.53</v>
      </c>
      <c r="W350">
        <f t="shared" si="26"/>
        <v>0.34666772133579166</v>
      </c>
      <c r="X350" t="e">
        <f t="shared" si="27"/>
        <v>#N/A</v>
      </c>
      <c r="Y350">
        <f t="shared" si="28"/>
        <v>0.34666772133579166</v>
      </c>
      <c r="Z350">
        <f t="shared" si="29"/>
        <v>0.34666772133579166</v>
      </c>
    </row>
    <row r="351" spans="21:26" x14ac:dyDescent="0.3">
      <c r="U351" t="e">
        <f t="shared" si="25"/>
        <v>#N/A</v>
      </c>
      <c r="V351">
        <v>-0.52</v>
      </c>
      <c r="W351">
        <f t="shared" si="26"/>
        <v>0.34849251275897447</v>
      </c>
      <c r="X351" t="e">
        <f t="shared" si="27"/>
        <v>#N/A</v>
      </c>
      <c r="Y351">
        <f t="shared" si="28"/>
        <v>0.34849251275897447</v>
      </c>
      <c r="Z351">
        <f t="shared" si="29"/>
        <v>0.34849251275897447</v>
      </c>
    </row>
    <row r="352" spans="21:26" x14ac:dyDescent="0.3">
      <c r="U352" t="e">
        <f t="shared" si="25"/>
        <v>#N/A</v>
      </c>
      <c r="V352">
        <v>-0.51</v>
      </c>
      <c r="W352">
        <f t="shared" si="26"/>
        <v>0.35029187858972582</v>
      </c>
      <c r="X352" t="e">
        <f t="shared" si="27"/>
        <v>#N/A</v>
      </c>
      <c r="Y352">
        <f t="shared" si="28"/>
        <v>0.35029187858972582</v>
      </c>
      <c r="Z352">
        <f t="shared" si="29"/>
        <v>0.35029187858972582</v>
      </c>
    </row>
    <row r="353" spans="21:26" x14ac:dyDescent="0.3">
      <c r="U353" t="e">
        <f t="shared" si="25"/>
        <v>#N/A</v>
      </c>
      <c r="V353">
        <v>-0.5</v>
      </c>
      <c r="W353">
        <f t="shared" si="26"/>
        <v>0.35206532676429952</v>
      </c>
      <c r="X353" t="e">
        <f t="shared" si="27"/>
        <v>#N/A</v>
      </c>
      <c r="Y353">
        <f t="shared" si="28"/>
        <v>0.35206532676429952</v>
      </c>
      <c r="Z353">
        <f t="shared" si="29"/>
        <v>0.35206532676429952</v>
      </c>
    </row>
    <row r="354" spans="21:26" x14ac:dyDescent="0.3">
      <c r="U354" t="e">
        <f t="shared" si="25"/>
        <v>#N/A</v>
      </c>
      <c r="V354">
        <v>-0.49</v>
      </c>
      <c r="W354">
        <f t="shared" si="26"/>
        <v>0.35381237049777969</v>
      </c>
      <c r="X354" t="e">
        <f t="shared" si="27"/>
        <v>#N/A</v>
      </c>
      <c r="Y354">
        <f t="shared" si="28"/>
        <v>0.35381237049777969</v>
      </c>
      <c r="Z354">
        <f t="shared" si="29"/>
        <v>0.35381237049777969</v>
      </c>
    </row>
    <row r="355" spans="21:26" x14ac:dyDescent="0.3">
      <c r="U355" t="e">
        <f t="shared" si="25"/>
        <v>#N/A</v>
      </c>
      <c r="V355">
        <v>-0.48</v>
      </c>
      <c r="W355">
        <f t="shared" si="26"/>
        <v>0.35553252850599709</v>
      </c>
      <c r="X355" t="e">
        <f t="shared" si="27"/>
        <v>#N/A</v>
      </c>
      <c r="Y355">
        <f t="shared" si="28"/>
        <v>0.35553252850599709</v>
      </c>
      <c r="Z355">
        <f t="shared" si="29"/>
        <v>0.35553252850599709</v>
      </c>
    </row>
    <row r="356" spans="21:26" x14ac:dyDescent="0.3">
      <c r="U356" t="e">
        <f t="shared" si="25"/>
        <v>#N/A</v>
      </c>
      <c r="V356">
        <v>-0.47</v>
      </c>
      <c r="W356">
        <f t="shared" si="26"/>
        <v>0.35722532522580086</v>
      </c>
      <c r="X356" t="e">
        <f t="shared" si="27"/>
        <v>#N/A</v>
      </c>
      <c r="Y356">
        <f t="shared" si="28"/>
        <v>0.35722532522580086</v>
      </c>
      <c r="Z356">
        <f t="shared" si="29"/>
        <v>0.35722532522580086</v>
      </c>
    </row>
    <row r="357" spans="21:26" x14ac:dyDescent="0.3">
      <c r="U357" t="e">
        <f t="shared" si="25"/>
        <v>#N/A</v>
      </c>
      <c r="V357">
        <v>-0.46</v>
      </c>
      <c r="W357">
        <f t="shared" si="26"/>
        <v>0.35889029103354464</v>
      </c>
      <c r="X357" t="e">
        <f t="shared" si="27"/>
        <v>#N/A</v>
      </c>
      <c r="Y357">
        <f t="shared" si="28"/>
        <v>0.35889029103354464</v>
      </c>
      <c r="Z357">
        <f t="shared" si="29"/>
        <v>0.35889029103354464</v>
      </c>
    </row>
    <row r="358" spans="21:26" x14ac:dyDescent="0.3">
      <c r="U358" t="e">
        <f t="shared" si="25"/>
        <v>#N/A</v>
      </c>
      <c r="V358">
        <v>-0.45</v>
      </c>
      <c r="W358">
        <f t="shared" si="26"/>
        <v>0.36052696246164795</v>
      </c>
      <c r="X358" t="e">
        <f t="shared" si="27"/>
        <v>#N/A</v>
      </c>
      <c r="Y358">
        <f t="shared" si="28"/>
        <v>0.36052696246164795</v>
      </c>
      <c r="Z358">
        <f t="shared" si="29"/>
        <v>0.36052696246164795</v>
      </c>
    </row>
    <row r="359" spans="21:26" x14ac:dyDescent="0.3">
      <c r="U359" t="e">
        <f t="shared" si="25"/>
        <v>#N/A</v>
      </c>
      <c r="V359">
        <v>-0.44</v>
      </c>
      <c r="W359">
        <f t="shared" si="26"/>
        <v>0.36213488241309222</v>
      </c>
      <c r="X359" t="e">
        <f t="shared" si="27"/>
        <v>#N/A</v>
      </c>
      <c r="Y359">
        <f t="shared" si="28"/>
        <v>0.36213488241309222</v>
      </c>
      <c r="Z359">
        <f t="shared" si="29"/>
        <v>0.36213488241309222</v>
      </c>
    </row>
    <row r="360" spans="21:26" x14ac:dyDescent="0.3">
      <c r="U360" t="e">
        <f t="shared" si="25"/>
        <v>#N/A</v>
      </c>
      <c r="V360">
        <v>-0.43</v>
      </c>
      <c r="W360">
        <f t="shared" si="26"/>
        <v>0.36371360037371342</v>
      </c>
      <c r="X360" t="e">
        <f t="shared" si="27"/>
        <v>#N/A</v>
      </c>
      <c r="Y360">
        <f t="shared" si="28"/>
        <v>0.36371360037371342</v>
      </c>
      <c r="Z360">
        <f t="shared" si="29"/>
        <v>0.36371360037371342</v>
      </c>
    </row>
    <row r="361" spans="21:26" x14ac:dyDescent="0.3">
      <c r="U361" t="e">
        <f t="shared" si="25"/>
        <v>#N/A</v>
      </c>
      <c r="V361">
        <v>-0.42</v>
      </c>
      <c r="W361">
        <f t="shared" si="26"/>
        <v>0.36526267262215389</v>
      </c>
      <c r="X361" t="e">
        <f t="shared" si="27"/>
        <v>#N/A</v>
      </c>
      <c r="Y361">
        <f t="shared" si="28"/>
        <v>0.36526267262215389</v>
      </c>
      <c r="Z361">
        <f t="shared" si="29"/>
        <v>0.36526267262215389</v>
      </c>
    </row>
    <row r="362" spans="21:26" x14ac:dyDescent="0.3">
      <c r="U362" t="e">
        <f t="shared" si="25"/>
        <v>#N/A</v>
      </c>
      <c r="V362">
        <v>-0.41</v>
      </c>
      <c r="W362">
        <f t="shared" si="26"/>
        <v>0.36678166243733612</v>
      </c>
      <c r="X362" t="e">
        <f t="shared" si="27"/>
        <v>#N/A</v>
      </c>
      <c r="Y362">
        <f t="shared" si="28"/>
        <v>0.36678166243733612</v>
      </c>
      <c r="Z362">
        <f t="shared" si="29"/>
        <v>0.36678166243733612</v>
      </c>
    </row>
    <row r="363" spans="21:26" x14ac:dyDescent="0.3">
      <c r="U363" t="e">
        <f t="shared" si="25"/>
        <v>#N/A</v>
      </c>
      <c r="V363">
        <v>-0.4</v>
      </c>
      <c r="W363">
        <f t="shared" si="26"/>
        <v>0.36827014030332333</v>
      </c>
      <c r="X363" t="e">
        <f t="shared" si="27"/>
        <v>#N/A</v>
      </c>
      <c r="Y363">
        <f t="shared" si="28"/>
        <v>0.36827014030332333</v>
      </c>
      <c r="Z363">
        <f t="shared" si="29"/>
        <v>0.36827014030332333</v>
      </c>
    </row>
    <row r="364" spans="21:26" x14ac:dyDescent="0.3">
      <c r="U364" t="e">
        <f t="shared" si="25"/>
        <v>#N/A</v>
      </c>
      <c r="V364">
        <v>-0.39</v>
      </c>
      <c r="W364">
        <f t="shared" si="26"/>
        <v>0.36972768411143236</v>
      </c>
      <c r="X364" t="e">
        <f t="shared" si="27"/>
        <v>#N/A</v>
      </c>
      <c r="Y364">
        <f t="shared" si="28"/>
        <v>0.36972768411143236</v>
      </c>
      <c r="Z364">
        <f t="shared" si="29"/>
        <v>0.36972768411143236</v>
      </c>
    </row>
    <row r="365" spans="21:26" x14ac:dyDescent="0.3">
      <c r="U365" t="e">
        <f t="shared" si="25"/>
        <v>#N/A</v>
      </c>
      <c r="V365">
        <v>-0.38</v>
      </c>
      <c r="W365">
        <f t="shared" si="26"/>
        <v>0.37115387935946603</v>
      </c>
      <c r="X365" t="e">
        <f t="shared" si="27"/>
        <v>#N/A</v>
      </c>
      <c r="Y365">
        <f t="shared" si="28"/>
        <v>0.37115387935946603</v>
      </c>
      <c r="Z365">
        <f t="shared" si="29"/>
        <v>0.37115387935946603</v>
      </c>
    </row>
    <row r="366" spans="21:26" x14ac:dyDescent="0.3">
      <c r="U366" t="e">
        <f t="shared" si="25"/>
        <v>#N/A</v>
      </c>
      <c r="V366">
        <v>-0.37</v>
      </c>
      <c r="W366">
        <f t="shared" si="26"/>
        <v>0.37254831934793342</v>
      </c>
      <c r="X366" t="e">
        <f t="shared" si="27"/>
        <v>#N/A</v>
      </c>
      <c r="Y366">
        <f t="shared" si="28"/>
        <v>0.37254831934793342</v>
      </c>
      <c r="Z366">
        <f t="shared" si="29"/>
        <v>0.37254831934793342</v>
      </c>
    </row>
    <row r="367" spans="21:26" x14ac:dyDescent="0.3">
      <c r="U367" t="e">
        <f t="shared" si="25"/>
        <v>#N/A</v>
      </c>
      <c r="V367">
        <v>-0.36</v>
      </c>
      <c r="W367">
        <f t="shared" si="26"/>
        <v>0.37391060537312842</v>
      </c>
      <c r="X367" t="e">
        <f t="shared" si="27"/>
        <v>#N/A</v>
      </c>
      <c r="Y367">
        <f t="shared" si="28"/>
        <v>0.37391060537312842</v>
      </c>
      <c r="Z367">
        <f t="shared" si="29"/>
        <v>0.37391060537312842</v>
      </c>
    </row>
    <row r="368" spans="21:26" x14ac:dyDescent="0.3">
      <c r="U368" t="e">
        <f t="shared" si="25"/>
        <v>#N/A</v>
      </c>
      <c r="V368">
        <v>-0.35</v>
      </c>
      <c r="W368">
        <f t="shared" si="26"/>
        <v>0.37524034691693792</v>
      </c>
      <c r="X368" t="e">
        <f t="shared" si="27"/>
        <v>#N/A</v>
      </c>
      <c r="Y368">
        <f t="shared" si="28"/>
        <v>0.37524034691693792</v>
      </c>
      <c r="Z368">
        <f t="shared" si="29"/>
        <v>0.37524034691693792</v>
      </c>
    </row>
    <row r="369" spans="21:26" x14ac:dyDescent="0.3">
      <c r="U369" t="e">
        <f t="shared" si="25"/>
        <v>#N/A</v>
      </c>
      <c r="V369">
        <v>-0.34</v>
      </c>
      <c r="W369">
        <f t="shared" si="26"/>
        <v>0.37653716183325392</v>
      </c>
      <c r="X369" t="e">
        <f t="shared" si="27"/>
        <v>#N/A</v>
      </c>
      <c r="Y369">
        <f t="shared" si="28"/>
        <v>0.37653716183325392</v>
      </c>
      <c r="Z369">
        <f t="shared" si="29"/>
        <v>0.37653716183325392</v>
      </c>
    </row>
    <row r="370" spans="21:26" x14ac:dyDescent="0.3">
      <c r="U370" t="e">
        <f t="shared" si="25"/>
        <v>#N/A</v>
      </c>
      <c r="V370">
        <v>-0.33</v>
      </c>
      <c r="W370">
        <f t="shared" si="26"/>
        <v>0.37780067653086458</v>
      </c>
      <c r="X370" t="e">
        <f t="shared" si="27"/>
        <v>#N/A</v>
      </c>
      <c r="Y370">
        <f t="shared" si="28"/>
        <v>0.37780067653086458</v>
      </c>
      <c r="Z370">
        <f t="shared" si="29"/>
        <v>0.37780067653086458</v>
      </c>
    </row>
    <row r="371" spans="21:26" x14ac:dyDescent="0.3">
      <c r="U371" t="e">
        <f t="shared" si="25"/>
        <v>#N/A</v>
      </c>
      <c r="V371">
        <v>-0.32</v>
      </c>
      <c r="W371">
        <f t="shared" si="26"/>
        <v>0.37903052615270166</v>
      </c>
      <c r="X371" t="e">
        <f t="shared" si="27"/>
        <v>#N/A</v>
      </c>
      <c r="Y371">
        <f t="shared" si="28"/>
        <v>0.37903052615270166</v>
      </c>
      <c r="Z371">
        <f t="shared" si="29"/>
        <v>0.37903052615270166</v>
      </c>
    </row>
    <row r="372" spans="21:26" x14ac:dyDescent="0.3">
      <c r="U372" t="e">
        <f t="shared" si="25"/>
        <v>#N/A</v>
      </c>
      <c r="V372">
        <v>-0.31</v>
      </c>
      <c r="W372">
        <f t="shared" si="26"/>
        <v>0.38022635475132494</v>
      </c>
      <c r="X372" t="e">
        <f t="shared" si="27"/>
        <v>#N/A</v>
      </c>
      <c r="Y372">
        <f t="shared" si="28"/>
        <v>0.38022635475132494</v>
      </c>
      <c r="Z372">
        <f t="shared" si="29"/>
        <v>0.38022635475132494</v>
      </c>
    </row>
    <row r="373" spans="21:26" x14ac:dyDescent="0.3">
      <c r="U373" t="e">
        <f t="shared" si="25"/>
        <v>#N/A</v>
      </c>
      <c r="V373">
        <v>-0.3</v>
      </c>
      <c r="W373">
        <f t="shared" si="26"/>
        <v>0.38138781546052414</v>
      </c>
      <c r="X373" t="e">
        <f t="shared" si="27"/>
        <v>#N/A</v>
      </c>
      <c r="Y373">
        <f t="shared" si="28"/>
        <v>0.38138781546052414</v>
      </c>
      <c r="Z373">
        <f t="shared" si="29"/>
        <v>0.38138781546052414</v>
      </c>
    </row>
    <row r="374" spans="21:26" x14ac:dyDescent="0.3">
      <c r="U374" t="e">
        <f t="shared" si="25"/>
        <v>#N/A</v>
      </c>
      <c r="V374">
        <v>-0.28999999999999998</v>
      </c>
      <c r="W374">
        <f t="shared" si="26"/>
        <v>0.38251457066292405</v>
      </c>
      <c r="X374" t="e">
        <f t="shared" si="27"/>
        <v>#N/A</v>
      </c>
      <c r="Y374">
        <f t="shared" si="28"/>
        <v>0.38251457066292405</v>
      </c>
      <c r="Z374">
        <f t="shared" si="29"/>
        <v>0.38251457066292405</v>
      </c>
    </row>
    <row r="375" spans="21:26" x14ac:dyDescent="0.3">
      <c r="U375" t="e">
        <f t="shared" si="25"/>
        <v>#N/A</v>
      </c>
      <c r="V375">
        <v>-0.28000000000000003</v>
      </c>
      <c r="W375">
        <f t="shared" si="26"/>
        <v>0.38360629215347858</v>
      </c>
      <c r="X375" t="e">
        <f t="shared" si="27"/>
        <v>#N/A</v>
      </c>
      <c r="Y375">
        <f t="shared" si="28"/>
        <v>0.38360629215347858</v>
      </c>
      <c r="Z375">
        <f t="shared" si="29"/>
        <v>0.38360629215347858</v>
      </c>
    </row>
    <row r="376" spans="21:26" x14ac:dyDescent="0.3">
      <c r="U376" t="e">
        <f t="shared" si="25"/>
        <v>#N/A</v>
      </c>
      <c r="V376">
        <v>-0.27</v>
      </c>
      <c r="W376">
        <f t="shared" si="26"/>
        <v>0.38466266129874283</v>
      </c>
      <c r="X376" t="e">
        <f t="shared" si="27"/>
        <v>#N/A</v>
      </c>
      <c r="Y376">
        <f t="shared" si="28"/>
        <v>0.38466266129874283</v>
      </c>
      <c r="Z376">
        <f t="shared" si="29"/>
        <v>0.38466266129874283</v>
      </c>
    </row>
    <row r="377" spans="21:26" x14ac:dyDescent="0.3">
      <c r="U377" t="e">
        <f t="shared" si="25"/>
        <v>#N/A</v>
      </c>
      <c r="V377">
        <v>-0.26</v>
      </c>
      <c r="W377">
        <f t="shared" si="26"/>
        <v>0.38568336919181612</v>
      </c>
      <c r="X377" t="e">
        <f t="shared" si="27"/>
        <v>#N/A</v>
      </c>
      <c r="Y377">
        <f t="shared" si="28"/>
        <v>0.38568336919181612</v>
      </c>
      <c r="Z377">
        <f t="shared" si="29"/>
        <v>0.38568336919181612</v>
      </c>
    </row>
    <row r="378" spans="21:26" x14ac:dyDescent="0.3">
      <c r="U378" t="e">
        <f t="shared" si="25"/>
        <v>#N/A</v>
      </c>
      <c r="V378">
        <v>-0.25</v>
      </c>
      <c r="W378">
        <f t="shared" si="26"/>
        <v>0.38666811680284924</v>
      </c>
      <c r="X378" t="e">
        <f t="shared" si="27"/>
        <v>#N/A</v>
      </c>
      <c r="Y378">
        <f t="shared" si="28"/>
        <v>0.38666811680284924</v>
      </c>
      <c r="Z378">
        <f t="shared" si="29"/>
        <v>0.38666811680284924</v>
      </c>
    </row>
    <row r="379" spans="21:26" x14ac:dyDescent="0.3">
      <c r="U379" t="e">
        <f t="shared" si="25"/>
        <v>#N/A</v>
      </c>
      <c r="V379">
        <v>-0.24</v>
      </c>
      <c r="W379">
        <f t="shared" si="26"/>
        <v>0.38761661512501416</v>
      </c>
      <c r="X379" t="e">
        <f t="shared" si="27"/>
        <v>#N/A</v>
      </c>
      <c r="Y379">
        <f t="shared" si="28"/>
        <v>0.38761661512501416</v>
      </c>
      <c r="Z379">
        <f t="shared" si="29"/>
        <v>0.38761661512501416</v>
      </c>
    </row>
    <row r="380" spans="21:26" x14ac:dyDescent="0.3">
      <c r="U380" t="e">
        <f t="shared" si="25"/>
        <v>#N/A</v>
      </c>
      <c r="V380">
        <v>-0.23</v>
      </c>
      <c r="W380">
        <f t="shared" si="26"/>
        <v>0.38852858531583589</v>
      </c>
      <c r="X380" t="e">
        <f t="shared" si="27"/>
        <v>#N/A</v>
      </c>
      <c r="Y380">
        <f t="shared" si="28"/>
        <v>0.38852858531583589</v>
      </c>
      <c r="Z380">
        <f t="shared" si="29"/>
        <v>0.38852858531583589</v>
      </c>
    </row>
    <row r="381" spans="21:26" x14ac:dyDescent="0.3">
      <c r="U381" t="e">
        <f t="shared" si="25"/>
        <v>#N/A</v>
      </c>
      <c r="V381">
        <v>-0.22</v>
      </c>
      <c r="W381">
        <f t="shared" si="26"/>
        <v>0.38940375883379041</v>
      </c>
      <c r="X381" t="e">
        <f t="shared" si="27"/>
        <v>#N/A</v>
      </c>
      <c r="Y381">
        <f t="shared" si="28"/>
        <v>0.38940375883379041</v>
      </c>
      <c r="Z381">
        <f t="shared" si="29"/>
        <v>0.38940375883379041</v>
      </c>
    </row>
    <row r="382" spans="21:26" x14ac:dyDescent="0.3">
      <c r="U382" t="e">
        <f t="shared" si="25"/>
        <v>#N/A</v>
      </c>
      <c r="V382">
        <v>-0.21</v>
      </c>
      <c r="W382">
        <f t="shared" si="26"/>
        <v>0.39024187757007428</v>
      </c>
      <c r="X382" t="e">
        <f t="shared" si="27"/>
        <v>#N/A</v>
      </c>
      <c r="Y382">
        <f t="shared" si="28"/>
        <v>0.39024187757007428</v>
      </c>
      <c r="Z382">
        <f t="shared" si="29"/>
        <v>0.39024187757007428</v>
      </c>
    </row>
    <row r="383" spans="21:26" x14ac:dyDescent="0.3">
      <c r="U383" t="e">
        <f t="shared" si="25"/>
        <v>#N/A</v>
      </c>
      <c r="V383">
        <v>-0.2</v>
      </c>
      <c r="W383">
        <f t="shared" si="26"/>
        <v>0.39104269397545588</v>
      </c>
      <c r="X383" t="e">
        <f t="shared" si="27"/>
        <v>#N/A</v>
      </c>
      <c r="Y383">
        <f t="shared" si="28"/>
        <v>0.39104269397545588</v>
      </c>
      <c r="Z383">
        <f t="shared" si="29"/>
        <v>0.39104269397545588</v>
      </c>
    </row>
    <row r="384" spans="21:26" x14ac:dyDescent="0.3">
      <c r="U384" t="e">
        <f t="shared" si="25"/>
        <v>#N/A</v>
      </c>
      <c r="V384">
        <v>-0.19</v>
      </c>
      <c r="W384">
        <f t="shared" si="26"/>
        <v>0.39180597118212113</v>
      </c>
      <c r="X384" t="e">
        <f t="shared" si="27"/>
        <v>#N/A</v>
      </c>
      <c r="Y384">
        <f t="shared" si="28"/>
        <v>0.39180597118212113</v>
      </c>
      <c r="Z384">
        <f t="shared" si="29"/>
        <v>0.39180597118212113</v>
      </c>
    </row>
    <row r="385" spans="21:26" x14ac:dyDescent="0.3">
      <c r="U385" t="e">
        <f t="shared" si="25"/>
        <v>#N/A</v>
      </c>
      <c r="V385">
        <v>-0.18</v>
      </c>
      <c r="W385">
        <f t="shared" si="26"/>
        <v>0.3925314831204289</v>
      </c>
      <c r="X385" t="e">
        <f t="shared" si="27"/>
        <v>#N/A</v>
      </c>
      <c r="Y385">
        <f t="shared" si="28"/>
        <v>0.3925314831204289</v>
      </c>
      <c r="Z385">
        <f t="shared" si="29"/>
        <v>0.3925314831204289</v>
      </c>
    </row>
    <row r="386" spans="21:26" x14ac:dyDescent="0.3">
      <c r="U386" t="e">
        <f t="shared" si="25"/>
        <v>#N/A</v>
      </c>
      <c r="V386">
        <v>-0.17</v>
      </c>
      <c r="W386">
        <f t="shared" si="26"/>
        <v>0.39321901463049719</v>
      </c>
      <c r="X386" t="e">
        <f t="shared" si="27"/>
        <v>#N/A</v>
      </c>
      <c r="Y386">
        <f t="shared" si="28"/>
        <v>0.39321901463049719</v>
      </c>
      <c r="Z386">
        <f t="shared" si="29"/>
        <v>0.39321901463049719</v>
      </c>
    </row>
    <row r="387" spans="21:26" x14ac:dyDescent="0.3">
      <c r="U387" t="e">
        <f t="shared" si="25"/>
        <v>#N/A</v>
      </c>
      <c r="V387">
        <v>-0.16</v>
      </c>
      <c r="W387">
        <f t="shared" si="26"/>
        <v>0.39386836156854083</v>
      </c>
      <c r="X387" t="e">
        <f t="shared" si="27"/>
        <v>#N/A</v>
      </c>
      <c r="Y387">
        <f t="shared" si="28"/>
        <v>0.39386836156854083</v>
      </c>
      <c r="Z387">
        <f t="shared" si="29"/>
        <v>0.39386836156854083</v>
      </c>
    </row>
    <row r="388" spans="21:26" x14ac:dyDescent="0.3">
      <c r="U388" t="e">
        <f t="shared" ref="U388:U451" si="30">IF($A$2=ABS(V388),0,NA())</f>
        <v>#N/A</v>
      </c>
      <c r="V388">
        <v>-0.15</v>
      </c>
      <c r="W388">
        <f t="shared" ref="W388:W451" si="31">_xlfn.NORM.S.DIST(V388,0)</f>
        <v>0.39447933090788895</v>
      </c>
      <c r="X388" t="e">
        <f t="shared" ref="X388:X451" si="32">IF(ABS(V388)=$A$2,W388,NA())</f>
        <v>#N/A</v>
      </c>
      <c r="Y388">
        <f t="shared" ref="Y388:Y451" si="33">IF(V388&lt;=$A$2,W388,NA())</f>
        <v>0.39447933090788895</v>
      </c>
      <c r="Z388">
        <f t="shared" ref="Z388:Z451" si="34">IF(ABS(V388)&lt;=$A$2,W388,NA())</f>
        <v>0.39447933090788895</v>
      </c>
    </row>
    <row r="389" spans="21:26" x14ac:dyDescent="0.3">
      <c r="U389" t="e">
        <f t="shared" si="30"/>
        <v>#N/A</v>
      </c>
      <c r="V389">
        <v>-0.14000000000000001</v>
      </c>
      <c r="W389">
        <f t="shared" si="31"/>
        <v>0.39505174083461125</v>
      </c>
      <c r="X389" t="e">
        <f t="shared" si="32"/>
        <v>#N/A</v>
      </c>
      <c r="Y389">
        <f t="shared" si="33"/>
        <v>0.39505174083461125</v>
      </c>
      <c r="Z389">
        <f t="shared" si="34"/>
        <v>0.39505174083461125</v>
      </c>
    </row>
    <row r="390" spans="21:26" x14ac:dyDescent="0.3">
      <c r="U390" t="e">
        <f t="shared" si="30"/>
        <v>#N/A</v>
      </c>
      <c r="V390">
        <v>-0.13</v>
      </c>
      <c r="W390">
        <f t="shared" si="31"/>
        <v>0.39558542083768738</v>
      </c>
      <c r="X390" t="e">
        <f t="shared" si="32"/>
        <v>#N/A</v>
      </c>
      <c r="Y390">
        <f t="shared" si="33"/>
        <v>0.39558542083768738</v>
      </c>
      <c r="Z390">
        <f t="shared" si="34"/>
        <v>0.39558542083768738</v>
      </c>
    </row>
    <row r="391" spans="21:26" x14ac:dyDescent="0.3">
      <c r="U391" t="e">
        <f t="shared" si="30"/>
        <v>#N/A</v>
      </c>
      <c r="V391">
        <v>-0.12</v>
      </c>
      <c r="W391">
        <f t="shared" si="31"/>
        <v>0.3960802117936561</v>
      </c>
      <c r="X391" t="e">
        <f t="shared" si="32"/>
        <v>#N/A</v>
      </c>
      <c r="Y391">
        <f t="shared" si="33"/>
        <v>0.3960802117936561</v>
      </c>
      <c r="Z391">
        <f t="shared" si="34"/>
        <v>0.3960802117936561</v>
      </c>
    </row>
    <row r="392" spans="21:26" x14ac:dyDescent="0.3">
      <c r="U392" t="e">
        <f t="shared" si="30"/>
        <v>#N/A</v>
      </c>
      <c r="V392">
        <v>-0.11</v>
      </c>
      <c r="W392">
        <f t="shared" si="31"/>
        <v>0.39653596604568575</v>
      </c>
      <c r="X392" t="e">
        <f t="shared" si="32"/>
        <v>#N/A</v>
      </c>
      <c r="Y392">
        <f t="shared" si="33"/>
        <v>0.39653596604568575</v>
      </c>
      <c r="Z392">
        <f t="shared" si="34"/>
        <v>0.39653596604568575</v>
      </c>
    </row>
    <row r="393" spans="21:26" x14ac:dyDescent="0.3">
      <c r="U393" t="e">
        <f t="shared" si="30"/>
        <v>#N/A</v>
      </c>
      <c r="V393">
        <v>-0.1</v>
      </c>
      <c r="W393">
        <f t="shared" si="31"/>
        <v>0.39695254747701181</v>
      </c>
      <c r="X393" t="e">
        <f t="shared" si="32"/>
        <v>#N/A</v>
      </c>
      <c r="Y393">
        <f t="shared" si="33"/>
        <v>0.39695254747701181</v>
      </c>
      <c r="Z393">
        <f t="shared" si="34"/>
        <v>0.39695254747701181</v>
      </c>
    </row>
    <row r="394" spans="21:26" x14ac:dyDescent="0.3">
      <c r="U394" t="e">
        <f t="shared" si="30"/>
        <v>#N/A</v>
      </c>
      <c r="V394">
        <v>-0.09</v>
      </c>
      <c r="W394">
        <f t="shared" si="31"/>
        <v>0.39732983157868834</v>
      </c>
      <c r="X394" t="e">
        <f t="shared" si="32"/>
        <v>#N/A</v>
      </c>
      <c r="Y394">
        <f t="shared" si="33"/>
        <v>0.39732983157868834</v>
      </c>
      <c r="Z394">
        <f t="shared" si="34"/>
        <v>0.39732983157868834</v>
      </c>
    </row>
    <row r="395" spans="21:26" x14ac:dyDescent="0.3">
      <c r="U395" t="e">
        <f t="shared" si="30"/>
        <v>#N/A</v>
      </c>
      <c r="V395">
        <v>-0.08</v>
      </c>
      <c r="W395">
        <f t="shared" si="31"/>
        <v>0.39766770551160885</v>
      </c>
      <c r="X395" t="e">
        <f t="shared" si="32"/>
        <v>#N/A</v>
      </c>
      <c r="Y395">
        <f t="shared" si="33"/>
        <v>0.39766770551160885</v>
      </c>
      <c r="Z395">
        <f t="shared" si="34"/>
        <v>0.39766770551160885</v>
      </c>
    </row>
    <row r="396" spans="21:26" x14ac:dyDescent="0.3">
      <c r="U396" t="e">
        <f t="shared" si="30"/>
        <v>#N/A</v>
      </c>
      <c r="V396">
        <v>-7.0000000000000007E-2</v>
      </c>
      <c r="W396">
        <f t="shared" si="31"/>
        <v>0.39796606816275104</v>
      </c>
      <c r="X396" t="e">
        <f t="shared" si="32"/>
        <v>#N/A</v>
      </c>
      <c r="Y396">
        <f t="shared" si="33"/>
        <v>0.39796606816275104</v>
      </c>
      <c r="Z396">
        <f t="shared" si="34"/>
        <v>0.39796606816275104</v>
      </c>
    </row>
    <row r="397" spans="21:26" x14ac:dyDescent="0.3">
      <c r="U397" t="e">
        <f t="shared" si="30"/>
        <v>#N/A</v>
      </c>
      <c r="V397">
        <v>-0.06</v>
      </c>
      <c r="W397">
        <f t="shared" si="31"/>
        <v>0.39822483019560695</v>
      </c>
      <c r="X397" t="e">
        <f t="shared" si="32"/>
        <v>#N/A</v>
      </c>
      <c r="Y397">
        <f t="shared" si="33"/>
        <v>0.39822483019560695</v>
      </c>
      <c r="Z397">
        <f t="shared" si="34"/>
        <v>0.39822483019560695</v>
      </c>
    </row>
    <row r="398" spans="21:26" x14ac:dyDescent="0.3">
      <c r="U398" t="e">
        <f t="shared" si="30"/>
        <v>#N/A</v>
      </c>
      <c r="V398">
        <v>-0.05</v>
      </c>
      <c r="W398">
        <f t="shared" si="31"/>
        <v>0.39844391409476404</v>
      </c>
      <c r="X398" t="e">
        <f t="shared" si="32"/>
        <v>#N/A</v>
      </c>
      <c r="Y398">
        <f t="shared" si="33"/>
        <v>0.39844391409476404</v>
      </c>
      <c r="Z398">
        <f t="shared" si="34"/>
        <v>0.39844391409476404</v>
      </c>
    </row>
    <row r="399" spans="21:26" x14ac:dyDescent="0.3">
      <c r="U399" t="e">
        <f t="shared" si="30"/>
        <v>#N/A</v>
      </c>
      <c r="V399">
        <v>-0.04</v>
      </c>
      <c r="W399">
        <f t="shared" si="31"/>
        <v>0.39862325420460504</v>
      </c>
      <c r="X399" t="e">
        <f t="shared" si="32"/>
        <v>#N/A</v>
      </c>
      <c r="Y399">
        <f t="shared" si="33"/>
        <v>0.39862325420460504</v>
      </c>
      <c r="Z399">
        <f t="shared" si="34"/>
        <v>0.39862325420460504</v>
      </c>
    </row>
    <row r="400" spans="21:26" x14ac:dyDescent="0.3">
      <c r="U400" t="e">
        <f t="shared" si="30"/>
        <v>#N/A</v>
      </c>
      <c r="V400">
        <v>-0.03</v>
      </c>
      <c r="W400">
        <f t="shared" si="31"/>
        <v>0.39876279676209969</v>
      </c>
      <c r="X400" t="e">
        <f t="shared" si="32"/>
        <v>#N/A</v>
      </c>
      <c r="Y400">
        <f t="shared" si="33"/>
        <v>0.39876279676209969</v>
      </c>
      <c r="Z400">
        <f t="shared" si="34"/>
        <v>0.39876279676209969</v>
      </c>
    </row>
    <row r="401" spans="21:27" x14ac:dyDescent="0.3">
      <c r="U401" t="e">
        <f t="shared" si="30"/>
        <v>#N/A</v>
      </c>
      <c r="V401">
        <v>-0.02</v>
      </c>
      <c r="W401">
        <f t="shared" si="31"/>
        <v>0.39886249992366613</v>
      </c>
      <c r="X401" t="e">
        <f t="shared" si="32"/>
        <v>#N/A</v>
      </c>
      <c r="Y401">
        <f t="shared" si="33"/>
        <v>0.39886249992366613</v>
      </c>
      <c r="Z401">
        <f t="shared" si="34"/>
        <v>0.39886249992366613</v>
      </c>
    </row>
    <row r="402" spans="21:27" x14ac:dyDescent="0.3">
      <c r="U402" t="e">
        <f t="shared" si="30"/>
        <v>#N/A</v>
      </c>
      <c r="V402">
        <v>-0.01</v>
      </c>
      <c r="W402">
        <f t="shared" si="31"/>
        <v>0.39892233378608216</v>
      </c>
      <c r="X402" t="e">
        <f t="shared" si="32"/>
        <v>#N/A</v>
      </c>
      <c r="Y402">
        <f t="shared" si="33"/>
        <v>0.39892233378608216</v>
      </c>
      <c r="Z402">
        <f t="shared" si="34"/>
        <v>0.39892233378608216</v>
      </c>
    </row>
    <row r="403" spans="21:27" x14ac:dyDescent="0.3">
      <c r="U403" t="e">
        <f t="shared" si="30"/>
        <v>#N/A</v>
      </c>
      <c r="V403">
        <v>0</v>
      </c>
      <c r="W403">
        <f t="shared" si="31"/>
        <v>0.3989422804014327</v>
      </c>
      <c r="X403" t="e">
        <f t="shared" si="32"/>
        <v>#N/A</v>
      </c>
      <c r="Y403">
        <f t="shared" si="33"/>
        <v>0.3989422804014327</v>
      </c>
      <c r="Z403">
        <f t="shared" si="34"/>
        <v>0.3989422804014327</v>
      </c>
      <c r="AA403">
        <f>W403</f>
        <v>0.3989422804014327</v>
      </c>
    </row>
    <row r="404" spans="21:27" x14ac:dyDescent="0.3">
      <c r="U404" t="e">
        <f t="shared" si="30"/>
        <v>#N/A</v>
      </c>
      <c r="V404">
        <v>0.01</v>
      </c>
      <c r="W404">
        <f t="shared" si="31"/>
        <v>0.39892233378608216</v>
      </c>
      <c r="X404" t="e">
        <f t="shared" si="32"/>
        <v>#N/A</v>
      </c>
      <c r="Y404">
        <f t="shared" si="33"/>
        <v>0.39892233378608216</v>
      </c>
      <c r="Z404">
        <f t="shared" si="34"/>
        <v>0.39892233378608216</v>
      </c>
    </row>
    <row r="405" spans="21:27" x14ac:dyDescent="0.3">
      <c r="U405" t="e">
        <f t="shared" si="30"/>
        <v>#N/A</v>
      </c>
      <c r="V405">
        <v>0.02</v>
      </c>
      <c r="W405">
        <f t="shared" si="31"/>
        <v>0.39886249992366613</v>
      </c>
      <c r="X405" t="e">
        <f t="shared" si="32"/>
        <v>#N/A</v>
      </c>
      <c r="Y405">
        <f t="shared" si="33"/>
        <v>0.39886249992366613</v>
      </c>
      <c r="Z405">
        <f t="shared" si="34"/>
        <v>0.39886249992366613</v>
      </c>
    </row>
    <row r="406" spans="21:27" x14ac:dyDescent="0.3">
      <c r="U406" t="e">
        <f t="shared" si="30"/>
        <v>#N/A</v>
      </c>
      <c r="V406">
        <v>0.03</v>
      </c>
      <c r="W406">
        <f t="shared" si="31"/>
        <v>0.39876279676209969</v>
      </c>
      <c r="X406" t="e">
        <f t="shared" si="32"/>
        <v>#N/A</v>
      </c>
      <c r="Y406">
        <f t="shared" si="33"/>
        <v>0.39876279676209969</v>
      </c>
      <c r="Z406">
        <f t="shared" si="34"/>
        <v>0.39876279676209969</v>
      </c>
    </row>
    <row r="407" spans="21:27" x14ac:dyDescent="0.3">
      <c r="U407" t="e">
        <f t="shared" si="30"/>
        <v>#N/A</v>
      </c>
      <c r="V407">
        <v>0.04</v>
      </c>
      <c r="W407">
        <f t="shared" si="31"/>
        <v>0.39862325420460504</v>
      </c>
      <c r="X407" t="e">
        <f t="shared" si="32"/>
        <v>#N/A</v>
      </c>
      <c r="Y407">
        <f t="shared" si="33"/>
        <v>0.39862325420460504</v>
      </c>
      <c r="Z407">
        <f t="shared" si="34"/>
        <v>0.39862325420460504</v>
      </c>
    </row>
    <row r="408" spans="21:27" x14ac:dyDescent="0.3">
      <c r="U408" t="e">
        <f t="shared" si="30"/>
        <v>#N/A</v>
      </c>
      <c r="V408">
        <v>0.05</v>
      </c>
      <c r="W408">
        <f t="shared" si="31"/>
        <v>0.39844391409476404</v>
      </c>
      <c r="X408" t="e">
        <f t="shared" si="32"/>
        <v>#N/A</v>
      </c>
      <c r="Y408">
        <f t="shared" si="33"/>
        <v>0.39844391409476404</v>
      </c>
      <c r="Z408">
        <f t="shared" si="34"/>
        <v>0.39844391409476404</v>
      </c>
    </row>
    <row r="409" spans="21:27" x14ac:dyDescent="0.3">
      <c r="U409" t="e">
        <f t="shared" si="30"/>
        <v>#N/A</v>
      </c>
      <c r="V409">
        <v>0.06</v>
      </c>
      <c r="W409">
        <f t="shared" si="31"/>
        <v>0.39822483019560695</v>
      </c>
      <c r="X409" t="e">
        <f t="shared" si="32"/>
        <v>#N/A</v>
      </c>
      <c r="Y409">
        <f t="shared" si="33"/>
        <v>0.39822483019560695</v>
      </c>
      <c r="Z409">
        <f t="shared" si="34"/>
        <v>0.39822483019560695</v>
      </c>
    </row>
    <row r="410" spans="21:27" x14ac:dyDescent="0.3">
      <c r="U410" t="e">
        <f t="shared" si="30"/>
        <v>#N/A</v>
      </c>
      <c r="V410">
        <v>7.0000000000000007E-2</v>
      </c>
      <c r="W410">
        <f t="shared" si="31"/>
        <v>0.39796606816275104</v>
      </c>
      <c r="X410" t="e">
        <f t="shared" si="32"/>
        <v>#N/A</v>
      </c>
      <c r="Y410">
        <f t="shared" si="33"/>
        <v>0.39796606816275104</v>
      </c>
      <c r="Z410">
        <f t="shared" si="34"/>
        <v>0.39796606816275104</v>
      </c>
    </row>
    <row r="411" spans="21:27" x14ac:dyDescent="0.3">
      <c r="U411" t="e">
        <f t="shared" si="30"/>
        <v>#N/A</v>
      </c>
      <c r="V411">
        <v>0.08</v>
      </c>
      <c r="W411">
        <f t="shared" si="31"/>
        <v>0.39766770551160885</v>
      </c>
      <c r="X411" t="e">
        <f t="shared" si="32"/>
        <v>#N/A</v>
      </c>
      <c r="Y411">
        <f t="shared" si="33"/>
        <v>0.39766770551160885</v>
      </c>
      <c r="Z411">
        <f t="shared" si="34"/>
        <v>0.39766770551160885</v>
      </c>
    </row>
    <row r="412" spans="21:27" x14ac:dyDescent="0.3">
      <c r="U412" t="e">
        <f t="shared" si="30"/>
        <v>#N/A</v>
      </c>
      <c r="V412">
        <v>0.09</v>
      </c>
      <c r="W412">
        <f t="shared" si="31"/>
        <v>0.39732983157868834</v>
      </c>
      <c r="X412" t="e">
        <f t="shared" si="32"/>
        <v>#N/A</v>
      </c>
      <c r="Y412">
        <f t="shared" si="33"/>
        <v>0.39732983157868834</v>
      </c>
      <c r="Z412">
        <f t="shared" si="34"/>
        <v>0.39732983157868834</v>
      </c>
    </row>
    <row r="413" spans="21:27" x14ac:dyDescent="0.3">
      <c r="U413" t="e">
        <f t="shared" si="30"/>
        <v>#N/A</v>
      </c>
      <c r="V413">
        <v>0.1</v>
      </c>
      <c r="W413">
        <f t="shared" si="31"/>
        <v>0.39695254747701181</v>
      </c>
      <c r="X413" t="e">
        <f t="shared" si="32"/>
        <v>#N/A</v>
      </c>
      <c r="Y413">
        <f t="shared" si="33"/>
        <v>0.39695254747701181</v>
      </c>
      <c r="Z413">
        <f t="shared" si="34"/>
        <v>0.39695254747701181</v>
      </c>
    </row>
    <row r="414" spans="21:27" x14ac:dyDescent="0.3">
      <c r="U414" t="e">
        <f t="shared" si="30"/>
        <v>#N/A</v>
      </c>
      <c r="V414">
        <v>0.11</v>
      </c>
      <c r="W414">
        <f t="shared" si="31"/>
        <v>0.39653596604568575</v>
      </c>
      <c r="X414" t="e">
        <f t="shared" si="32"/>
        <v>#N/A</v>
      </c>
      <c r="Y414">
        <f t="shared" si="33"/>
        <v>0.39653596604568575</v>
      </c>
      <c r="Z414">
        <f t="shared" si="34"/>
        <v>0.39653596604568575</v>
      </c>
    </row>
    <row r="415" spans="21:27" x14ac:dyDescent="0.3">
      <c r="U415" t="e">
        <f t="shared" si="30"/>
        <v>#N/A</v>
      </c>
      <c r="V415">
        <v>0.12</v>
      </c>
      <c r="W415">
        <f t="shared" si="31"/>
        <v>0.3960802117936561</v>
      </c>
      <c r="X415" t="e">
        <f t="shared" si="32"/>
        <v>#N/A</v>
      </c>
      <c r="Y415">
        <f t="shared" si="33"/>
        <v>0.3960802117936561</v>
      </c>
      <c r="Z415">
        <f t="shared" si="34"/>
        <v>0.3960802117936561</v>
      </c>
    </row>
    <row r="416" spans="21:27" x14ac:dyDescent="0.3">
      <c r="U416" t="e">
        <f t="shared" si="30"/>
        <v>#N/A</v>
      </c>
      <c r="V416">
        <v>0.13</v>
      </c>
      <c r="W416">
        <f t="shared" si="31"/>
        <v>0.39558542083768738</v>
      </c>
      <c r="X416" t="e">
        <f t="shared" si="32"/>
        <v>#N/A</v>
      </c>
      <c r="Y416">
        <f t="shared" si="33"/>
        <v>0.39558542083768738</v>
      </c>
      <c r="Z416">
        <f t="shared" si="34"/>
        <v>0.39558542083768738</v>
      </c>
    </row>
    <row r="417" spans="21:26" x14ac:dyDescent="0.3">
      <c r="U417" t="e">
        <f t="shared" si="30"/>
        <v>#N/A</v>
      </c>
      <c r="V417">
        <v>0.14000000000000001</v>
      </c>
      <c r="W417">
        <f t="shared" si="31"/>
        <v>0.39505174083461125</v>
      </c>
      <c r="X417" t="e">
        <f t="shared" si="32"/>
        <v>#N/A</v>
      </c>
      <c r="Y417">
        <f t="shared" si="33"/>
        <v>0.39505174083461125</v>
      </c>
      <c r="Z417">
        <f t="shared" si="34"/>
        <v>0.39505174083461125</v>
      </c>
    </row>
    <row r="418" spans="21:26" x14ac:dyDescent="0.3">
      <c r="U418" t="e">
        <f t="shared" si="30"/>
        <v>#N/A</v>
      </c>
      <c r="V418">
        <v>0.15</v>
      </c>
      <c r="W418">
        <f t="shared" si="31"/>
        <v>0.39447933090788895</v>
      </c>
      <c r="X418" t="e">
        <f t="shared" si="32"/>
        <v>#N/A</v>
      </c>
      <c r="Y418">
        <f t="shared" si="33"/>
        <v>0.39447933090788895</v>
      </c>
      <c r="Z418">
        <f t="shared" si="34"/>
        <v>0.39447933090788895</v>
      </c>
    </row>
    <row r="419" spans="21:26" x14ac:dyDescent="0.3">
      <c r="U419" t="e">
        <f t="shared" si="30"/>
        <v>#N/A</v>
      </c>
      <c r="V419">
        <v>0.16</v>
      </c>
      <c r="W419">
        <f t="shared" si="31"/>
        <v>0.39386836156854083</v>
      </c>
      <c r="X419" t="e">
        <f t="shared" si="32"/>
        <v>#N/A</v>
      </c>
      <c r="Y419">
        <f t="shared" si="33"/>
        <v>0.39386836156854083</v>
      </c>
      <c r="Z419">
        <f t="shared" si="34"/>
        <v>0.39386836156854083</v>
      </c>
    </row>
    <row r="420" spans="21:26" x14ac:dyDescent="0.3">
      <c r="U420" t="e">
        <f t="shared" si="30"/>
        <v>#N/A</v>
      </c>
      <c r="V420">
        <v>0.17</v>
      </c>
      <c r="W420">
        <f t="shared" si="31"/>
        <v>0.39321901463049719</v>
      </c>
      <c r="X420" t="e">
        <f t="shared" si="32"/>
        <v>#N/A</v>
      </c>
      <c r="Y420">
        <f t="shared" si="33"/>
        <v>0.39321901463049719</v>
      </c>
      <c r="Z420">
        <f t="shared" si="34"/>
        <v>0.39321901463049719</v>
      </c>
    </row>
    <row r="421" spans="21:26" x14ac:dyDescent="0.3">
      <c r="U421" t="e">
        <f t="shared" si="30"/>
        <v>#N/A</v>
      </c>
      <c r="V421">
        <v>0.18</v>
      </c>
      <c r="W421">
        <f t="shared" si="31"/>
        <v>0.3925314831204289</v>
      </c>
      <c r="X421" t="e">
        <f t="shared" si="32"/>
        <v>#N/A</v>
      </c>
      <c r="Y421">
        <f t="shared" si="33"/>
        <v>0.3925314831204289</v>
      </c>
      <c r="Z421">
        <f t="shared" si="34"/>
        <v>0.3925314831204289</v>
      </c>
    </row>
    <row r="422" spans="21:26" x14ac:dyDescent="0.3">
      <c r="U422" t="e">
        <f t="shared" si="30"/>
        <v>#N/A</v>
      </c>
      <c r="V422">
        <v>0.19</v>
      </c>
      <c r="W422">
        <f t="shared" si="31"/>
        <v>0.39180597118212113</v>
      </c>
      <c r="X422" t="e">
        <f t="shared" si="32"/>
        <v>#N/A</v>
      </c>
      <c r="Y422">
        <f t="shared" si="33"/>
        <v>0.39180597118212113</v>
      </c>
      <c r="Z422">
        <f t="shared" si="34"/>
        <v>0.39180597118212113</v>
      </c>
    </row>
    <row r="423" spans="21:26" x14ac:dyDescent="0.3">
      <c r="U423" t="e">
        <f t="shared" si="30"/>
        <v>#N/A</v>
      </c>
      <c r="V423">
        <v>0.2</v>
      </c>
      <c r="W423">
        <f t="shared" si="31"/>
        <v>0.39104269397545588</v>
      </c>
      <c r="X423" t="e">
        <f t="shared" si="32"/>
        <v>#N/A</v>
      </c>
      <c r="Y423">
        <f t="shared" si="33"/>
        <v>0.39104269397545588</v>
      </c>
      <c r="Z423">
        <f t="shared" si="34"/>
        <v>0.39104269397545588</v>
      </c>
    </row>
    <row r="424" spans="21:26" x14ac:dyDescent="0.3">
      <c r="U424" t="e">
        <f t="shared" si="30"/>
        <v>#N/A</v>
      </c>
      <c r="V424">
        <v>0.21</v>
      </c>
      <c r="W424">
        <f t="shared" si="31"/>
        <v>0.39024187757007428</v>
      </c>
      <c r="X424" t="e">
        <f t="shared" si="32"/>
        <v>#N/A</v>
      </c>
      <c r="Y424">
        <f t="shared" si="33"/>
        <v>0.39024187757007428</v>
      </c>
      <c r="Z424">
        <f t="shared" si="34"/>
        <v>0.39024187757007428</v>
      </c>
    </row>
    <row r="425" spans="21:26" x14ac:dyDescent="0.3">
      <c r="U425" t="e">
        <f t="shared" si="30"/>
        <v>#N/A</v>
      </c>
      <c r="V425">
        <v>0.22</v>
      </c>
      <c r="W425">
        <f t="shared" si="31"/>
        <v>0.38940375883379041</v>
      </c>
      <c r="X425" t="e">
        <f t="shared" si="32"/>
        <v>#N/A</v>
      </c>
      <c r="Y425">
        <f t="shared" si="33"/>
        <v>0.38940375883379041</v>
      </c>
      <c r="Z425">
        <f t="shared" si="34"/>
        <v>0.38940375883379041</v>
      </c>
    </row>
    <row r="426" spans="21:26" x14ac:dyDescent="0.3">
      <c r="U426" t="e">
        <f t="shared" si="30"/>
        <v>#N/A</v>
      </c>
      <c r="V426">
        <v>0.23</v>
      </c>
      <c r="W426">
        <f t="shared" si="31"/>
        <v>0.38852858531583589</v>
      </c>
      <c r="X426" t="e">
        <f t="shared" si="32"/>
        <v>#N/A</v>
      </c>
      <c r="Y426">
        <f t="shared" si="33"/>
        <v>0.38852858531583589</v>
      </c>
      <c r="Z426">
        <f t="shared" si="34"/>
        <v>0.38852858531583589</v>
      </c>
    </row>
    <row r="427" spans="21:26" x14ac:dyDescent="0.3">
      <c r="U427" t="e">
        <f t="shared" si="30"/>
        <v>#N/A</v>
      </c>
      <c r="V427">
        <v>0.24</v>
      </c>
      <c r="W427">
        <f t="shared" si="31"/>
        <v>0.38761661512501416</v>
      </c>
      <c r="X427" t="e">
        <f t="shared" si="32"/>
        <v>#N/A</v>
      </c>
      <c r="Y427">
        <f t="shared" si="33"/>
        <v>0.38761661512501416</v>
      </c>
      <c r="Z427">
        <f t="shared" si="34"/>
        <v>0.38761661512501416</v>
      </c>
    </row>
    <row r="428" spans="21:26" x14ac:dyDescent="0.3">
      <c r="U428" t="e">
        <f t="shared" si="30"/>
        <v>#N/A</v>
      </c>
      <c r="V428">
        <v>0.25</v>
      </c>
      <c r="W428">
        <f t="shared" si="31"/>
        <v>0.38666811680284924</v>
      </c>
      <c r="X428" t="e">
        <f t="shared" si="32"/>
        <v>#N/A</v>
      </c>
      <c r="Y428">
        <f t="shared" si="33"/>
        <v>0.38666811680284924</v>
      </c>
      <c r="Z428">
        <f t="shared" si="34"/>
        <v>0.38666811680284924</v>
      </c>
    </row>
    <row r="429" spans="21:26" x14ac:dyDescent="0.3">
      <c r="U429" t="e">
        <f t="shared" si="30"/>
        <v>#N/A</v>
      </c>
      <c r="V429">
        <v>0.26</v>
      </c>
      <c r="W429">
        <f t="shared" si="31"/>
        <v>0.38568336919181612</v>
      </c>
      <c r="X429" t="e">
        <f t="shared" si="32"/>
        <v>#N/A</v>
      </c>
      <c r="Y429">
        <f t="shared" si="33"/>
        <v>0.38568336919181612</v>
      </c>
      <c r="Z429">
        <f t="shared" si="34"/>
        <v>0.38568336919181612</v>
      </c>
    </row>
    <row r="430" spans="21:26" x14ac:dyDescent="0.3">
      <c r="U430" t="e">
        <f t="shared" si="30"/>
        <v>#N/A</v>
      </c>
      <c r="V430">
        <v>0.27</v>
      </c>
      <c r="W430">
        <f t="shared" si="31"/>
        <v>0.38466266129874283</v>
      </c>
      <c r="X430" t="e">
        <f t="shared" si="32"/>
        <v>#N/A</v>
      </c>
      <c r="Y430">
        <f t="shared" si="33"/>
        <v>0.38466266129874283</v>
      </c>
      <c r="Z430">
        <f t="shared" si="34"/>
        <v>0.38466266129874283</v>
      </c>
    </row>
    <row r="431" spans="21:26" x14ac:dyDescent="0.3">
      <c r="U431" t="e">
        <f t="shared" si="30"/>
        <v>#N/A</v>
      </c>
      <c r="V431">
        <v>0.28000000000000003</v>
      </c>
      <c r="W431">
        <f t="shared" si="31"/>
        <v>0.38360629215347858</v>
      </c>
      <c r="X431" t="e">
        <f t="shared" si="32"/>
        <v>#N/A</v>
      </c>
      <c r="Y431">
        <f t="shared" si="33"/>
        <v>0.38360629215347858</v>
      </c>
      <c r="Z431">
        <f t="shared" si="34"/>
        <v>0.38360629215347858</v>
      </c>
    </row>
    <row r="432" spans="21:26" x14ac:dyDescent="0.3">
      <c r="U432" t="e">
        <f t="shared" si="30"/>
        <v>#N/A</v>
      </c>
      <c r="V432">
        <v>0.28999999999999998</v>
      </c>
      <c r="W432">
        <f t="shared" si="31"/>
        <v>0.38251457066292405</v>
      </c>
      <c r="X432" t="e">
        <f t="shared" si="32"/>
        <v>#N/A</v>
      </c>
      <c r="Y432">
        <f t="shared" si="33"/>
        <v>0.38251457066292405</v>
      </c>
      <c r="Z432">
        <f t="shared" si="34"/>
        <v>0.38251457066292405</v>
      </c>
    </row>
    <row r="433" spans="21:26" x14ac:dyDescent="0.3">
      <c r="U433" t="e">
        <f t="shared" si="30"/>
        <v>#N/A</v>
      </c>
      <c r="V433">
        <v>0.3</v>
      </c>
      <c r="W433">
        <f t="shared" si="31"/>
        <v>0.38138781546052414</v>
      </c>
      <c r="X433" t="e">
        <f t="shared" si="32"/>
        <v>#N/A</v>
      </c>
      <c r="Y433">
        <f t="shared" si="33"/>
        <v>0.38138781546052414</v>
      </c>
      <c r="Z433">
        <f t="shared" si="34"/>
        <v>0.38138781546052414</v>
      </c>
    </row>
    <row r="434" spans="21:26" x14ac:dyDescent="0.3">
      <c r="U434" t="e">
        <f t="shared" si="30"/>
        <v>#N/A</v>
      </c>
      <c r="V434">
        <v>0.31</v>
      </c>
      <c r="W434">
        <f t="shared" si="31"/>
        <v>0.38022635475132494</v>
      </c>
      <c r="X434" t="e">
        <f t="shared" si="32"/>
        <v>#N/A</v>
      </c>
      <c r="Y434">
        <f t="shared" si="33"/>
        <v>0.38022635475132494</v>
      </c>
      <c r="Z434">
        <f t="shared" si="34"/>
        <v>0.38022635475132494</v>
      </c>
    </row>
    <row r="435" spans="21:26" x14ac:dyDescent="0.3">
      <c r="U435" t="e">
        <f t="shared" si="30"/>
        <v>#N/A</v>
      </c>
      <c r="V435">
        <v>0.32</v>
      </c>
      <c r="W435">
        <f t="shared" si="31"/>
        <v>0.37903052615270166</v>
      </c>
      <c r="X435" t="e">
        <f t="shared" si="32"/>
        <v>#N/A</v>
      </c>
      <c r="Y435">
        <f t="shared" si="33"/>
        <v>0.37903052615270166</v>
      </c>
      <c r="Z435">
        <f t="shared" si="34"/>
        <v>0.37903052615270166</v>
      </c>
    </row>
    <row r="436" spans="21:26" x14ac:dyDescent="0.3">
      <c r="U436" t="e">
        <f t="shared" si="30"/>
        <v>#N/A</v>
      </c>
      <c r="V436">
        <v>0.33</v>
      </c>
      <c r="W436">
        <f t="shared" si="31"/>
        <v>0.37780067653086458</v>
      </c>
      <c r="X436" t="e">
        <f t="shared" si="32"/>
        <v>#N/A</v>
      </c>
      <c r="Y436">
        <f t="shared" si="33"/>
        <v>0.37780067653086458</v>
      </c>
      <c r="Z436">
        <f t="shared" si="34"/>
        <v>0.37780067653086458</v>
      </c>
    </row>
    <row r="437" spans="21:26" x14ac:dyDescent="0.3">
      <c r="U437" t="e">
        <f t="shared" si="30"/>
        <v>#N/A</v>
      </c>
      <c r="V437">
        <v>0.34</v>
      </c>
      <c r="W437">
        <f t="shared" si="31"/>
        <v>0.37653716183325392</v>
      </c>
      <c r="X437" t="e">
        <f t="shared" si="32"/>
        <v>#N/A</v>
      </c>
      <c r="Y437">
        <f t="shared" si="33"/>
        <v>0.37653716183325392</v>
      </c>
      <c r="Z437">
        <f t="shared" si="34"/>
        <v>0.37653716183325392</v>
      </c>
    </row>
    <row r="438" spans="21:26" x14ac:dyDescent="0.3">
      <c r="U438" t="e">
        <f t="shared" si="30"/>
        <v>#N/A</v>
      </c>
      <c r="V438">
        <v>0.35</v>
      </c>
      <c r="W438">
        <f t="shared" si="31"/>
        <v>0.37524034691693792</v>
      </c>
      <c r="X438" t="e">
        <f t="shared" si="32"/>
        <v>#N/A</v>
      </c>
      <c r="Y438">
        <f t="shared" si="33"/>
        <v>0.37524034691693792</v>
      </c>
      <c r="Z438">
        <f t="shared" si="34"/>
        <v>0.37524034691693792</v>
      </c>
    </row>
    <row r="439" spans="21:26" x14ac:dyDescent="0.3">
      <c r="U439" t="e">
        <f t="shared" si="30"/>
        <v>#N/A</v>
      </c>
      <c r="V439">
        <v>0.36</v>
      </c>
      <c r="W439">
        <f t="shared" si="31"/>
        <v>0.37391060537312842</v>
      </c>
      <c r="X439" t="e">
        <f t="shared" si="32"/>
        <v>#N/A</v>
      </c>
      <c r="Y439">
        <f t="shared" si="33"/>
        <v>0.37391060537312842</v>
      </c>
      <c r="Z439">
        <f t="shared" si="34"/>
        <v>0.37391060537312842</v>
      </c>
    </row>
    <row r="440" spans="21:26" x14ac:dyDescent="0.3">
      <c r="U440" t="e">
        <f t="shared" si="30"/>
        <v>#N/A</v>
      </c>
      <c r="V440">
        <v>0.37</v>
      </c>
      <c r="W440">
        <f t="shared" si="31"/>
        <v>0.37254831934793342</v>
      </c>
      <c r="X440" t="e">
        <f t="shared" si="32"/>
        <v>#N/A</v>
      </c>
      <c r="Y440">
        <f t="shared" si="33"/>
        <v>0.37254831934793342</v>
      </c>
      <c r="Z440">
        <f t="shared" si="34"/>
        <v>0.37254831934793342</v>
      </c>
    </row>
    <row r="441" spans="21:26" x14ac:dyDescent="0.3">
      <c r="U441" t="e">
        <f t="shared" si="30"/>
        <v>#N/A</v>
      </c>
      <c r="V441">
        <v>0.38</v>
      </c>
      <c r="W441">
        <f t="shared" si="31"/>
        <v>0.37115387935946603</v>
      </c>
      <c r="X441" t="e">
        <f t="shared" si="32"/>
        <v>#N/A</v>
      </c>
      <c r="Y441">
        <f t="shared" si="33"/>
        <v>0.37115387935946603</v>
      </c>
      <c r="Z441">
        <f t="shared" si="34"/>
        <v>0.37115387935946603</v>
      </c>
    </row>
    <row r="442" spans="21:26" x14ac:dyDescent="0.3">
      <c r="U442" t="e">
        <f t="shared" si="30"/>
        <v>#N/A</v>
      </c>
      <c r="V442">
        <v>0.39</v>
      </c>
      <c r="W442">
        <f t="shared" si="31"/>
        <v>0.36972768411143236</v>
      </c>
      <c r="X442" t="e">
        <f t="shared" si="32"/>
        <v>#N/A</v>
      </c>
      <c r="Y442">
        <f t="shared" si="33"/>
        <v>0.36972768411143236</v>
      </c>
      <c r="Z442">
        <f t="shared" si="34"/>
        <v>0.36972768411143236</v>
      </c>
    </row>
    <row r="443" spans="21:26" x14ac:dyDescent="0.3">
      <c r="U443" t="e">
        <f t="shared" si="30"/>
        <v>#N/A</v>
      </c>
      <c r="V443">
        <v>0.4</v>
      </c>
      <c r="W443">
        <f t="shared" si="31"/>
        <v>0.36827014030332333</v>
      </c>
      <c r="X443" t="e">
        <f t="shared" si="32"/>
        <v>#N/A</v>
      </c>
      <c r="Y443">
        <f t="shared" si="33"/>
        <v>0.36827014030332333</v>
      </c>
      <c r="Z443">
        <f t="shared" si="34"/>
        <v>0.36827014030332333</v>
      </c>
    </row>
    <row r="444" spans="21:26" x14ac:dyDescent="0.3">
      <c r="U444" t="e">
        <f t="shared" si="30"/>
        <v>#N/A</v>
      </c>
      <c r="V444">
        <v>0.41</v>
      </c>
      <c r="W444">
        <f t="shared" si="31"/>
        <v>0.36678166243733612</v>
      </c>
      <c r="X444" t="e">
        <f t="shared" si="32"/>
        <v>#N/A</v>
      </c>
      <c r="Y444">
        <f t="shared" si="33"/>
        <v>0.36678166243733612</v>
      </c>
      <c r="Z444">
        <f t="shared" si="34"/>
        <v>0.36678166243733612</v>
      </c>
    </row>
    <row r="445" spans="21:26" x14ac:dyDescent="0.3">
      <c r="U445" t="e">
        <f t="shared" si="30"/>
        <v>#N/A</v>
      </c>
      <c r="V445">
        <v>0.42</v>
      </c>
      <c r="W445">
        <f t="shared" si="31"/>
        <v>0.36526267262215389</v>
      </c>
      <c r="X445" t="e">
        <f t="shared" si="32"/>
        <v>#N/A</v>
      </c>
      <c r="Y445">
        <f t="shared" si="33"/>
        <v>0.36526267262215389</v>
      </c>
      <c r="Z445">
        <f t="shared" si="34"/>
        <v>0.36526267262215389</v>
      </c>
    </row>
    <row r="446" spans="21:26" x14ac:dyDescent="0.3">
      <c r="U446" t="e">
        <f t="shared" si="30"/>
        <v>#N/A</v>
      </c>
      <c r="V446">
        <v>0.43</v>
      </c>
      <c r="W446">
        <f t="shared" si="31"/>
        <v>0.36371360037371342</v>
      </c>
      <c r="X446" t="e">
        <f t="shared" si="32"/>
        <v>#N/A</v>
      </c>
      <c r="Y446">
        <f t="shared" si="33"/>
        <v>0.36371360037371342</v>
      </c>
      <c r="Z446">
        <f t="shared" si="34"/>
        <v>0.36371360037371342</v>
      </c>
    </row>
    <row r="447" spans="21:26" x14ac:dyDescent="0.3">
      <c r="U447" t="e">
        <f t="shared" si="30"/>
        <v>#N/A</v>
      </c>
      <c r="V447">
        <v>0.44</v>
      </c>
      <c r="W447">
        <f t="shared" si="31"/>
        <v>0.36213488241309222</v>
      </c>
      <c r="X447" t="e">
        <f t="shared" si="32"/>
        <v>#N/A</v>
      </c>
      <c r="Y447">
        <f t="shared" si="33"/>
        <v>0.36213488241309222</v>
      </c>
      <c r="Z447">
        <f t="shared" si="34"/>
        <v>0.36213488241309222</v>
      </c>
    </row>
    <row r="448" spans="21:26" x14ac:dyDescent="0.3">
      <c r="U448" t="e">
        <f t="shared" si="30"/>
        <v>#N/A</v>
      </c>
      <c r="V448">
        <v>0.45</v>
      </c>
      <c r="W448">
        <f t="shared" si="31"/>
        <v>0.36052696246164795</v>
      </c>
      <c r="X448" t="e">
        <f t="shared" si="32"/>
        <v>#N/A</v>
      </c>
      <c r="Y448">
        <f t="shared" si="33"/>
        <v>0.36052696246164795</v>
      </c>
      <c r="Z448">
        <f t="shared" si="34"/>
        <v>0.36052696246164795</v>
      </c>
    </row>
    <row r="449" spans="21:26" x14ac:dyDescent="0.3">
      <c r="U449" t="e">
        <f t="shared" si="30"/>
        <v>#N/A</v>
      </c>
      <c r="V449">
        <v>0.46</v>
      </c>
      <c r="W449">
        <f t="shared" si="31"/>
        <v>0.35889029103354464</v>
      </c>
      <c r="X449" t="e">
        <f t="shared" si="32"/>
        <v>#N/A</v>
      </c>
      <c r="Y449">
        <f t="shared" si="33"/>
        <v>0.35889029103354464</v>
      </c>
      <c r="Z449">
        <f t="shared" si="34"/>
        <v>0.35889029103354464</v>
      </c>
    </row>
    <row r="450" spans="21:26" x14ac:dyDescent="0.3">
      <c r="U450" t="e">
        <f t="shared" si="30"/>
        <v>#N/A</v>
      </c>
      <c r="V450">
        <v>0.47</v>
      </c>
      <c r="W450">
        <f t="shared" si="31"/>
        <v>0.35722532522580086</v>
      </c>
      <c r="X450" t="e">
        <f t="shared" si="32"/>
        <v>#N/A</v>
      </c>
      <c r="Y450">
        <f t="shared" si="33"/>
        <v>0.35722532522580086</v>
      </c>
      <c r="Z450">
        <f t="shared" si="34"/>
        <v>0.35722532522580086</v>
      </c>
    </row>
    <row r="451" spans="21:26" x14ac:dyDescent="0.3">
      <c r="U451" t="e">
        <f t="shared" si="30"/>
        <v>#N/A</v>
      </c>
      <c r="V451">
        <v>0.48</v>
      </c>
      <c r="W451">
        <f t="shared" si="31"/>
        <v>0.35553252850599709</v>
      </c>
      <c r="X451" t="e">
        <f t="shared" si="32"/>
        <v>#N/A</v>
      </c>
      <c r="Y451">
        <f t="shared" si="33"/>
        <v>0.35553252850599709</v>
      </c>
      <c r="Z451">
        <f t="shared" si="34"/>
        <v>0.35553252850599709</v>
      </c>
    </row>
    <row r="452" spans="21:26" x14ac:dyDescent="0.3">
      <c r="U452" t="e">
        <f t="shared" ref="U452:U515" si="35">IF($A$2=ABS(V452),0,NA())</f>
        <v>#N/A</v>
      </c>
      <c r="V452">
        <v>0.49</v>
      </c>
      <c r="W452">
        <f t="shared" ref="W452:W515" si="36">_xlfn.NORM.S.DIST(V452,0)</f>
        <v>0.35381237049777969</v>
      </c>
      <c r="X452" t="e">
        <f t="shared" ref="X452:X515" si="37">IF(ABS(V452)=$A$2,W452,NA())</f>
        <v>#N/A</v>
      </c>
      <c r="Y452">
        <f t="shared" ref="Y452:Y515" si="38">IF(V452&lt;=$A$2,W452,NA())</f>
        <v>0.35381237049777969</v>
      </c>
      <c r="Z452">
        <f t="shared" ref="Z452:Z515" si="39">IF(ABS(V452)&lt;=$A$2,W452,NA())</f>
        <v>0.35381237049777969</v>
      </c>
    </row>
    <row r="453" spans="21:26" x14ac:dyDescent="0.3">
      <c r="U453" t="e">
        <f t="shared" si="35"/>
        <v>#N/A</v>
      </c>
      <c r="V453">
        <v>0.5</v>
      </c>
      <c r="W453">
        <f t="shared" si="36"/>
        <v>0.35206532676429952</v>
      </c>
      <c r="X453" t="e">
        <f t="shared" si="37"/>
        <v>#N/A</v>
      </c>
      <c r="Y453">
        <f t="shared" si="38"/>
        <v>0.35206532676429952</v>
      </c>
      <c r="Z453">
        <f t="shared" si="39"/>
        <v>0.35206532676429952</v>
      </c>
    </row>
    <row r="454" spans="21:26" x14ac:dyDescent="0.3">
      <c r="U454" t="e">
        <f t="shared" si="35"/>
        <v>#N/A</v>
      </c>
      <c r="V454">
        <v>0.51</v>
      </c>
      <c r="W454">
        <f t="shared" si="36"/>
        <v>0.35029187858972582</v>
      </c>
      <c r="X454" t="e">
        <f t="shared" si="37"/>
        <v>#N/A</v>
      </c>
      <c r="Y454">
        <f t="shared" si="38"/>
        <v>0.35029187858972582</v>
      </c>
      <c r="Z454">
        <f t="shared" si="39"/>
        <v>0.35029187858972582</v>
      </c>
    </row>
    <row r="455" spans="21:26" x14ac:dyDescent="0.3">
      <c r="U455" t="e">
        <f t="shared" si="35"/>
        <v>#N/A</v>
      </c>
      <c r="V455">
        <v>0.52</v>
      </c>
      <c r="W455">
        <f t="shared" si="36"/>
        <v>0.34849251275897447</v>
      </c>
      <c r="X455" t="e">
        <f t="shared" si="37"/>
        <v>#N/A</v>
      </c>
      <c r="Y455">
        <f t="shared" si="38"/>
        <v>0.34849251275897447</v>
      </c>
      <c r="Z455">
        <f t="shared" si="39"/>
        <v>0.34849251275897447</v>
      </c>
    </row>
    <row r="456" spans="21:26" x14ac:dyDescent="0.3">
      <c r="U456" t="e">
        <f t="shared" si="35"/>
        <v>#N/A</v>
      </c>
      <c r="V456">
        <v>0.53</v>
      </c>
      <c r="W456">
        <f t="shared" si="36"/>
        <v>0.34666772133579166</v>
      </c>
      <c r="X456" t="e">
        <f t="shared" si="37"/>
        <v>#N/A</v>
      </c>
      <c r="Y456">
        <f t="shared" si="38"/>
        <v>0.34666772133579166</v>
      </c>
      <c r="Z456">
        <f t="shared" si="39"/>
        <v>0.34666772133579166</v>
      </c>
    </row>
    <row r="457" spans="21:26" x14ac:dyDescent="0.3">
      <c r="U457" t="e">
        <f t="shared" si="35"/>
        <v>#N/A</v>
      </c>
      <c r="V457">
        <v>0.54</v>
      </c>
      <c r="W457">
        <f t="shared" si="36"/>
        <v>0.34481800143933333</v>
      </c>
      <c r="X457" t="e">
        <f t="shared" si="37"/>
        <v>#N/A</v>
      </c>
      <c r="Y457">
        <f t="shared" si="38"/>
        <v>0.34481800143933333</v>
      </c>
      <c r="Z457">
        <f t="shared" si="39"/>
        <v>0.34481800143933333</v>
      </c>
    </row>
    <row r="458" spans="21:26" x14ac:dyDescent="0.3">
      <c r="U458" t="e">
        <f t="shared" si="35"/>
        <v>#N/A</v>
      </c>
      <c r="V458">
        <v>0.55000000000000004</v>
      </c>
      <c r="W458">
        <f t="shared" si="36"/>
        <v>0.3429438550193839</v>
      </c>
      <c r="X458" t="e">
        <f t="shared" si="37"/>
        <v>#N/A</v>
      </c>
      <c r="Y458">
        <f t="shared" si="38"/>
        <v>0.3429438550193839</v>
      </c>
      <c r="Z458">
        <f t="shared" si="39"/>
        <v>0.3429438550193839</v>
      </c>
    </row>
    <row r="459" spans="21:26" x14ac:dyDescent="0.3">
      <c r="U459" t="e">
        <f t="shared" si="35"/>
        <v>#N/A</v>
      </c>
      <c r="V459">
        <v>0.56000000000000005</v>
      </c>
      <c r="W459">
        <f t="shared" si="36"/>
        <v>0.34104578863035256</v>
      </c>
      <c r="X459" t="e">
        <f t="shared" si="37"/>
        <v>#N/A</v>
      </c>
      <c r="Y459">
        <f t="shared" si="38"/>
        <v>0.34104578863035256</v>
      </c>
      <c r="Z459">
        <f t="shared" si="39"/>
        <v>0.34104578863035256</v>
      </c>
    </row>
    <row r="460" spans="21:26" x14ac:dyDescent="0.3">
      <c r="U460" t="e">
        <f t="shared" si="35"/>
        <v>#N/A</v>
      </c>
      <c r="V460">
        <v>0.56999999999999995</v>
      </c>
      <c r="W460">
        <f t="shared" si="36"/>
        <v>0.33912431320419223</v>
      </c>
      <c r="X460" t="e">
        <f t="shared" si="37"/>
        <v>#N/A</v>
      </c>
      <c r="Y460">
        <f t="shared" si="38"/>
        <v>0.33912431320419223</v>
      </c>
      <c r="Z460">
        <f t="shared" si="39"/>
        <v>0.33912431320419223</v>
      </c>
    </row>
    <row r="461" spans="21:26" x14ac:dyDescent="0.3">
      <c r="U461" t="e">
        <f t="shared" si="35"/>
        <v>#N/A</v>
      </c>
      <c r="V461">
        <v>0.57999999999999996</v>
      </c>
      <c r="W461">
        <f t="shared" si="36"/>
        <v>0.33717994382238059</v>
      </c>
      <c r="X461" t="e">
        <f t="shared" si="37"/>
        <v>#N/A</v>
      </c>
      <c r="Y461">
        <f t="shared" si="38"/>
        <v>0.33717994382238059</v>
      </c>
      <c r="Z461">
        <f t="shared" si="39"/>
        <v>0.33717994382238059</v>
      </c>
    </row>
    <row r="462" spans="21:26" x14ac:dyDescent="0.3">
      <c r="U462" t="e">
        <f t="shared" si="35"/>
        <v>#N/A</v>
      </c>
      <c r="V462">
        <v>0.59</v>
      </c>
      <c r="W462">
        <f t="shared" si="36"/>
        <v>0.33521319948710609</v>
      </c>
      <c r="X462" t="e">
        <f t="shared" si="37"/>
        <v>#N/A</v>
      </c>
      <c r="Y462">
        <f t="shared" si="38"/>
        <v>0.33521319948710609</v>
      </c>
      <c r="Z462">
        <f t="shared" si="39"/>
        <v>0.33521319948710609</v>
      </c>
    </row>
    <row r="463" spans="21:26" x14ac:dyDescent="0.3">
      <c r="U463" t="e">
        <f t="shared" si="35"/>
        <v>#N/A</v>
      </c>
      <c r="V463">
        <v>0.6</v>
      </c>
      <c r="W463">
        <f t="shared" si="36"/>
        <v>0.33322460289179967</v>
      </c>
      <c r="X463" t="e">
        <f t="shared" si="37"/>
        <v>#N/A</v>
      </c>
      <c r="Y463">
        <f t="shared" si="38"/>
        <v>0.33322460289179967</v>
      </c>
      <c r="Z463">
        <f t="shared" si="39"/>
        <v>0.33322460289179967</v>
      </c>
    </row>
    <row r="464" spans="21:26" x14ac:dyDescent="0.3">
      <c r="U464" t="e">
        <f t="shared" si="35"/>
        <v>#N/A</v>
      </c>
      <c r="V464">
        <v>0.61</v>
      </c>
      <c r="W464">
        <f t="shared" si="36"/>
        <v>0.33121468019115297</v>
      </c>
      <c r="X464" t="e">
        <f t="shared" si="37"/>
        <v>#N/A</v>
      </c>
      <c r="Y464">
        <f t="shared" si="38"/>
        <v>0.33121468019115297</v>
      </c>
      <c r="Z464">
        <f t="shared" si="39"/>
        <v>0.33121468019115297</v>
      </c>
    </row>
    <row r="465" spans="21:26" x14ac:dyDescent="0.3">
      <c r="U465" t="e">
        <f t="shared" si="35"/>
        <v>#N/A</v>
      </c>
      <c r="V465">
        <v>0.62</v>
      </c>
      <c r="W465">
        <f t="shared" si="36"/>
        <v>0.32918396077076478</v>
      </c>
      <c r="X465" t="e">
        <f t="shared" si="37"/>
        <v>#N/A</v>
      </c>
      <c r="Y465">
        <f t="shared" si="38"/>
        <v>0.32918396077076478</v>
      </c>
      <c r="Z465">
        <f t="shared" si="39"/>
        <v>0.32918396077076478</v>
      </c>
    </row>
    <row r="466" spans="21:26" x14ac:dyDescent="0.3">
      <c r="U466" t="e">
        <f t="shared" si="35"/>
        <v>#N/A</v>
      </c>
      <c r="V466">
        <v>0.63</v>
      </c>
      <c r="W466">
        <f t="shared" si="36"/>
        <v>0.32713297701655447</v>
      </c>
      <c r="X466" t="e">
        <f t="shared" si="37"/>
        <v>#N/A</v>
      </c>
      <c r="Y466">
        <f t="shared" si="38"/>
        <v>0.32713297701655447</v>
      </c>
      <c r="Z466">
        <f t="shared" si="39"/>
        <v>0.32713297701655447</v>
      </c>
    </row>
    <row r="467" spans="21:26" x14ac:dyDescent="0.3">
      <c r="U467" t="e">
        <f t="shared" si="35"/>
        <v>#N/A</v>
      </c>
      <c r="V467">
        <v>0.64</v>
      </c>
      <c r="W467">
        <f t="shared" si="36"/>
        <v>0.32506226408408218</v>
      </c>
      <c r="X467" t="e">
        <f t="shared" si="37"/>
        <v>#N/A</v>
      </c>
      <c r="Y467">
        <f t="shared" si="38"/>
        <v>0.32506226408408218</v>
      </c>
      <c r="Z467">
        <f t="shared" si="39"/>
        <v>0.32506226408408218</v>
      </c>
    </row>
    <row r="468" spans="21:26" x14ac:dyDescent="0.3">
      <c r="U468" t="e">
        <f t="shared" si="35"/>
        <v>#N/A</v>
      </c>
      <c r="V468">
        <v>0.65</v>
      </c>
      <c r="W468">
        <f t="shared" si="36"/>
        <v>0.32297235966791427</v>
      </c>
      <c r="X468" t="e">
        <f t="shared" si="37"/>
        <v>#N/A</v>
      </c>
      <c r="Y468">
        <f t="shared" si="38"/>
        <v>0.32297235966791427</v>
      </c>
      <c r="Z468">
        <f t="shared" si="39"/>
        <v>0.32297235966791427</v>
      </c>
    </row>
    <row r="469" spans="21:26" x14ac:dyDescent="0.3">
      <c r="U469" t="e">
        <f t="shared" si="35"/>
        <v>#N/A</v>
      </c>
      <c r="V469">
        <v>0.66</v>
      </c>
      <c r="W469">
        <f t="shared" si="36"/>
        <v>0.32086380377117252</v>
      </c>
      <c r="X469" t="e">
        <f t="shared" si="37"/>
        <v>#N/A</v>
      </c>
      <c r="Y469">
        <f t="shared" si="38"/>
        <v>0.32086380377117252</v>
      </c>
      <c r="Z469">
        <f t="shared" si="39"/>
        <v>0.32086380377117252</v>
      </c>
    </row>
    <row r="470" spans="21:26" x14ac:dyDescent="0.3">
      <c r="U470" t="e">
        <f t="shared" si="35"/>
        <v>#N/A</v>
      </c>
      <c r="V470">
        <v>0.67</v>
      </c>
      <c r="W470">
        <f t="shared" si="36"/>
        <v>0.31873713847540153</v>
      </c>
      <c r="X470" t="e">
        <f t="shared" si="37"/>
        <v>#N/A</v>
      </c>
      <c r="Y470">
        <f t="shared" si="38"/>
        <v>0.31873713847540153</v>
      </c>
      <c r="Z470">
        <f t="shared" si="39"/>
        <v>0.31873713847540153</v>
      </c>
    </row>
    <row r="471" spans="21:26" x14ac:dyDescent="0.3">
      <c r="U471" t="e">
        <f t="shared" si="35"/>
        <v>#N/A</v>
      </c>
      <c r="V471">
        <v>0.68</v>
      </c>
      <c r="W471">
        <f t="shared" si="36"/>
        <v>0.31659290771089277</v>
      </c>
      <c r="X471" t="e">
        <f t="shared" si="37"/>
        <v>#N/A</v>
      </c>
      <c r="Y471">
        <f t="shared" si="38"/>
        <v>0.31659290771089277</v>
      </c>
      <c r="Z471">
        <f t="shared" si="39"/>
        <v>0.31659290771089277</v>
      </c>
    </row>
    <row r="472" spans="21:26" x14ac:dyDescent="0.3">
      <c r="U472" t="e">
        <f t="shared" si="35"/>
        <v>#N/A</v>
      </c>
      <c r="V472">
        <v>0.69</v>
      </c>
      <c r="W472">
        <f t="shared" si="36"/>
        <v>0.31443165702759734</v>
      </c>
      <c r="X472" t="e">
        <f t="shared" si="37"/>
        <v>#N/A</v>
      </c>
      <c r="Y472">
        <f t="shared" si="38"/>
        <v>0.31443165702759734</v>
      </c>
      <c r="Z472">
        <f t="shared" si="39"/>
        <v>0.31443165702759734</v>
      </c>
    </row>
    <row r="473" spans="21:26" x14ac:dyDescent="0.3">
      <c r="U473" t="e">
        <f t="shared" si="35"/>
        <v>#N/A</v>
      </c>
      <c r="V473">
        <v>0.7</v>
      </c>
      <c r="W473">
        <f t="shared" si="36"/>
        <v>0.31225393336676127</v>
      </c>
      <c r="X473" t="e">
        <f t="shared" si="37"/>
        <v>#N/A</v>
      </c>
      <c r="Y473">
        <f t="shared" si="38"/>
        <v>0.31225393336676127</v>
      </c>
      <c r="Z473">
        <f t="shared" si="39"/>
        <v>0.31225393336676127</v>
      </c>
    </row>
    <row r="474" spans="21:26" x14ac:dyDescent="0.3">
      <c r="U474" t="e">
        <f t="shared" si="35"/>
        <v>#N/A</v>
      </c>
      <c r="V474">
        <v>0.71</v>
      </c>
      <c r="W474">
        <f t="shared" si="36"/>
        <v>0.31006028483341613</v>
      </c>
      <c r="X474" t="e">
        <f t="shared" si="37"/>
        <v>#N/A</v>
      </c>
      <c r="Y474">
        <f t="shared" si="38"/>
        <v>0.31006028483341613</v>
      </c>
      <c r="Z474">
        <f t="shared" si="39"/>
        <v>0.31006028483341613</v>
      </c>
    </row>
    <row r="475" spans="21:26" x14ac:dyDescent="0.3">
      <c r="U475" t="e">
        <f t="shared" si="35"/>
        <v>#N/A</v>
      </c>
      <c r="V475">
        <v>0.72</v>
      </c>
      <c r="W475">
        <f t="shared" si="36"/>
        <v>0.30785126046985295</v>
      </c>
      <c r="X475" t="e">
        <f t="shared" si="37"/>
        <v>#N/A</v>
      </c>
      <c r="Y475">
        <f t="shared" si="38"/>
        <v>0.30785126046985295</v>
      </c>
      <c r="Z475">
        <f t="shared" si="39"/>
        <v>0.30785126046985295</v>
      </c>
    </row>
    <row r="476" spans="21:26" x14ac:dyDescent="0.3">
      <c r="U476" t="e">
        <f t="shared" si="35"/>
        <v>#N/A</v>
      </c>
      <c r="V476">
        <v>0.73</v>
      </c>
      <c r="W476">
        <f t="shared" si="36"/>
        <v>0.30562741003020988</v>
      </c>
      <c r="X476" t="e">
        <f t="shared" si="37"/>
        <v>#N/A</v>
      </c>
      <c r="Y476">
        <f t="shared" si="38"/>
        <v>0.30562741003020988</v>
      </c>
      <c r="Z476">
        <f t="shared" si="39"/>
        <v>0.30562741003020988</v>
      </c>
    </row>
    <row r="477" spans="21:26" x14ac:dyDescent="0.3">
      <c r="U477" t="e">
        <f t="shared" si="35"/>
        <v>#N/A</v>
      </c>
      <c r="V477">
        <v>0.74</v>
      </c>
      <c r="W477">
        <f t="shared" si="36"/>
        <v>0.30338928375630014</v>
      </c>
      <c r="X477" t="e">
        <f t="shared" si="37"/>
        <v>#N/A</v>
      </c>
      <c r="Y477">
        <f t="shared" si="38"/>
        <v>0.30338928375630014</v>
      </c>
      <c r="Z477">
        <f t="shared" si="39"/>
        <v>0.30338928375630014</v>
      </c>
    </row>
    <row r="478" spans="21:26" x14ac:dyDescent="0.3">
      <c r="U478" t="e">
        <f t="shared" si="35"/>
        <v>#N/A</v>
      </c>
      <c r="V478">
        <v>0.75</v>
      </c>
      <c r="W478">
        <f t="shared" si="36"/>
        <v>0.30113743215480443</v>
      </c>
      <c r="X478" t="e">
        <f t="shared" si="37"/>
        <v>#N/A</v>
      </c>
      <c r="Y478">
        <f t="shared" si="38"/>
        <v>0.30113743215480443</v>
      </c>
      <c r="Z478">
        <f t="shared" si="39"/>
        <v>0.30113743215480443</v>
      </c>
    </row>
    <row r="479" spans="21:26" x14ac:dyDescent="0.3">
      <c r="U479" t="e">
        <f t="shared" si="35"/>
        <v>#N/A</v>
      </c>
      <c r="V479">
        <v>0.76</v>
      </c>
      <c r="W479">
        <f t="shared" si="36"/>
        <v>0.29887240577595275</v>
      </c>
      <c r="X479" t="e">
        <f t="shared" si="37"/>
        <v>#N/A</v>
      </c>
      <c r="Y479">
        <f t="shared" si="38"/>
        <v>0.29887240577595275</v>
      </c>
      <c r="Z479">
        <f t="shared" si="39"/>
        <v>0.29887240577595275</v>
      </c>
    </row>
    <row r="480" spans="21:26" x14ac:dyDescent="0.3">
      <c r="U480" t="e">
        <f t="shared" si="35"/>
        <v>#N/A</v>
      </c>
      <c r="V480">
        <v>0.77</v>
      </c>
      <c r="W480">
        <f t="shared" si="36"/>
        <v>0.29659475499381571</v>
      </c>
      <c r="X480" t="e">
        <f t="shared" si="37"/>
        <v>#N/A</v>
      </c>
      <c r="Y480">
        <f t="shared" si="38"/>
        <v>0.29659475499381571</v>
      </c>
      <c r="Z480">
        <f t="shared" si="39"/>
        <v>0.29659475499381571</v>
      </c>
    </row>
    <row r="481" spans="21:26" x14ac:dyDescent="0.3">
      <c r="U481" t="e">
        <f t="shared" si="35"/>
        <v>#N/A</v>
      </c>
      <c r="V481">
        <v>0.78</v>
      </c>
      <c r="W481">
        <f t="shared" si="36"/>
        <v>0.29430502978832512</v>
      </c>
      <c r="X481" t="e">
        <f t="shared" si="37"/>
        <v>#N/A</v>
      </c>
      <c r="Y481">
        <f t="shared" si="38"/>
        <v>0.29430502978832512</v>
      </c>
      <c r="Z481">
        <f t="shared" si="39"/>
        <v>0.29430502978832512</v>
      </c>
    </row>
    <row r="482" spans="21:26" x14ac:dyDescent="0.3">
      <c r="U482" t="e">
        <f t="shared" si="35"/>
        <v>#N/A</v>
      </c>
      <c r="V482">
        <v>0.79</v>
      </c>
      <c r="W482">
        <f t="shared" si="36"/>
        <v>0.29200377952914142</v>
      </c>
      <c r="X482" t="e">
        <f t="shared" si="37"/>
        <v>#N/A</v>
      </c>
      <c r="Y482">
        <f t="shared" si="38"/>
        <v>0.29200377952914142</v>
      </c>
      <c r="Z482">
        <f t="shared" si="39"/>
        <v>0.29200377952914142</v>
      </c>
    </row>
    <row r="483" spans="21:26" x14ac:dyDescent="0.3">
      <c r="U483" t="e">
        <f t="shared" si="35"/>
        <v>#N/A</v>
      </c>
      <c r="V483">
        <v>0.8</v>
      </c>
      <c r="W483">
        <f t="shared" si="36"/>
        <v>0.28969155276148273</v>
      </c>
      <c r="X483" t="e">
        <f t="shared" si="37"/>
        <v>#N/A</v>
      </c>
      <c r="Y483">
        <f t="shared" si="38"/>
        <v>0.28969155276148273</v>
      </c>
      <c r="Z483">
        <f t="shared" si="39"/>
        <v>0.28969155276148273</v>
      </c>
    </row>
    <row r="484" spans="21:26" x14ac:dyDescent="0.3">
      <c r="U484" t="e">
        <f t="shared" si="35"/>
        <v>#N/A</v>
      </c>
      <c r="V484">
        <v>0.81</v>
      </c>
      <c r="W484">
        <f t="shared" si="36"/>
        <v>0.28736889699402829</v>
      </c>
      <c r="X484" t="e">
        <f t="shared" si="37"/>
        <v>#N/A</v>
      </c>
      <c r="Y484">
        <f t="shared" si="38"/>
        <v>0.28736889699402829</v>
      </c>
      <c r="Z484">
        <f t="shared" si="39"/>
        <v>0.28736889699402829</v>
      </c>
    </row>
    <row r="485" spans="21:26" x14ac:dyDescent="0.3">
      <c r="U485" t="e">
        <f t="shared" si="35"/>
        <v>#N/A</v>
      </c>
      <c r="V485">
        <v>0.82</v>
      </c>
      <c r="W485">
        <f t="shared" si="36"/>
        <v>0.28503635848900727</v>
      </c>
      <c r="X485" t="e">
        <f t="shared" si="37"/>
        <v>#N/A</v>
      </c>
      <c r="Y485">
        <f t="shared" si="38"/>
        <v>0.28503635848900727</v>
      </c>
      <c r="Z485">
        <f t="shared" si="39"/>
        <v>0.28503635848900727</v>
      </c>
    </row>
    <row r="486" spans="21:26" x14ac:dyDescent="0.3">
      <c r="U486" t="e">
        <f t="shared" si="35"/>
        <v>#N/A</v>
      </c>
      <c r="V486">
        <v>0.83</v>
      </c>
      <c r="W486">
        <f t="shared" si="36"/>
        <v>0.28269448205458025</v>
      </c>
      <c r="X486" t="e">
        <f t="shared" si="37"/>
        <v>#N/A</v>
      </c>
      <c r="Y486">
        <f t="shared" si="38"/>
        <v>0.28269448205458025</v>
      </c>
      <c r="Z486">
        <f t="shared" si="39"/>
        <v>0.28269448205458025</v>
      </c>
    </row>
    <row r="487" spans="21:26" x14ac:dyDescent="0.3">
      <c r="U487" t="e">
        <f t="shared" si="35"/>
        <v>#N/A</v>
      </c>
      <c r="V487">
        <v>0.84</v>
      </c>
      <c r="W487">
        <f t="shared" si="36"/>
        <v>0.28034381083962062</v>
      </c>
      <c r="X487" t="e">
        <f t="shared" si="37"/>
        <v>#N/A</v>
      </c>
      <c r="Y487">
        <f t="shared" si="38"/>
        <v>0.28034381083962062</v>
      </c>
      <c r="Z487">
        <f t="shared" si="39"/>
        <v>0.28034381083962062</v>
      </c>
    </row>
    <row r="488" spans="21:26" x14ac:dyDescent="0.3">
      <c r="U488" t="e">
        <f t="shared" si="35"/>
        <v>#N/A</v>
      </c>
      <c r="V488">
        <v>0.85</v>
      </c>
      <c r="W488">
        <f t="shared" si="36"/>
        <v>0.27798488613099648</v>
      </c>
      <c r="X488" t="e">
        <f t="shared" si="37"/>
        <v>#N/A</v>
      </c>
      <c r="Y488">
        <f t="shared" si="38"/>
        <v>0.27798488613099648</v>
      </c>
      <c r="Z488">
        <f t="shared" si="39"/>
        <v>0.27798488613099648</v>
      </c>
    </row>
    <row r="489" spans="21:26" x14ac:dyDescent="0.3">
      <c r="U489" t="e">
        <f t="shared" si="35"/>
        <v>#N/A</v>
      </c>
      <c r="V489">
        <v>0.86</v>
      </c>
      <c r="W489">
        <f t="shared" si="36"/>
        <v>0.27561824715345667</v>
      </c>
      <c r="X489" t="e">
        <f t="shared" si="37"/>
        <v>#N/A</v>
      </c>
      <c r="Y489">
        <f t="shared" si="38"/>
        <v>0.27561824715345667</v>
      </c>
      <c r="Z489">
        <f t="shared" si="39"/>
        <v>0.27561824715345667</v>
      </c>
    </row>
    <row r="490" spans="21:26" x14ac:dyDescent="0.3">
      <c r="U490" t="e">
        <f t="shared" si="35"/>
        <v>#N/A</v>
      </c>
      <c r="V490">
        <v>0.87</v>
      </c>
      <c r="W490">
        <f t="shared" si="36"/>
        <v>0.27324443087221623</v>
      </c>
      <c r="X490" t="e">
        <f t="shared" si="37"/>
        <v>#N/A</v>
      </c>
      <c r="Y490">
        <f t="shared" si="38"/>
        <v>0.27324443087221623</v>
      </c>
      <c r="Z490">
        <f t="shared" si="39"/>
        <v>0.27324443087221623</v>
      </c>
    </row>
    <row r="491" spans="21:26" x14ac:dyDescent="0.3">
      <c r="U491" t="e">
        <f t="shared" si="35"/>
        <v>#N/A</v>
      </c>
      <c r="V491">
        <v>0.88</v>
      </c>
      <c r="W491">
        <f t="shared" si="36"/>
        <v>0.27086397179833799</v>
      </c>
      <c r="X491" t="e">
        <f t="shared" si="37"/>
        <v>#N/A</v>
      </c>
      <c r="Y491">
        <f t="shared" si="38"/>
        <v>0.27086397179833799</v>
      </c>
      <c r="Z491">
        <f t="shared" si="39"/>
        <v>0.27086397179833799</v>
      </c>
    </row>
    <row r="492" spans="21:26" x14ac:dyDescent="0.3">
      <c r="U492" t="e">
        <f t="shared" si="35"/>
        <v>#N/A</v>
      </c>
      <c r="V492">
        <v>0.89</v>
      </c>
      <c r="W492">
        <f t="shared" si="36"/>
        <v>0.26847740179700241</v>
      </c>
      <c r="X492" t="e">
        <f t="shared" si="37"/>
        <v>#N/A</v>
      </c>
      <c r="Y492">
        <f t="shared" si="38"/>
        <v>0.26847740179700241</v>
      </c>
      <c r="Z492">
        <f t="shared" si="39"/>
        <v>0.26847740179700241</v>
      </c>
    </row>
    <row r="493" spans="21:26" x14ac:dyDescent="0.3">
      <c r="U493" t="e">
        <f t="shared" si="35"/>
        <v>#N/A</v>
      </c>
      <c r="V493">
        <v>0.9</v>
      </c>
      <c r="W493">
        <f t="shared" si="36"/>
        <v>0.26608524989875482</v>
      </c>
      <c r="X493" t="e">
        <f t="shared" si="37"/>
        <v>#N/A</v>
      </c>
      <c r="Y493">
        <f t="shared" si="38"/>
        <v>0.26608524989875482</v>
      </c>
      <c r="Z493">
        <f t="shared" si="39"/>
        <v>0.26608524989875482</v>
      </c>
    </row>
    <row r="494" spans="21:26" x14ac:dyDescent="0.3">
      <c r="U494" t="e">
        <f t="shared" si="35"/>
        <v>#N/A</v>
      </c>
      <c r="V494">
        <v>0.91</v>
      </c>
      <c r="W494">
        <f t="shared" si="36"/>
        <v>0.26368804211381813</v>
      </c>
      <c r="X494" t="e">
        <f t="shared" si="37"/>
        <v>#N/A</v>
      </c>
      <c r="Y494">
        <f t="shared" si="38"/>
        <v>0.26368804211381813</v>
      </c>
      <c r="Z494">
        <f t="shared" si="39"/>
        <v>0.26368804211381813</v>
      </c>
    </row>
    <row r="495" spans="21:26" x14ac:dyDescent="0.3">
      <c r="U495" t="e">
        <f t="shared" si="35"/>
        <v>#N/A</v>
      </c>
      <c r="V495">
        <v>0.92</v>
      </c>
      <c r="W495">
        <f t="shared" si="36"/>
        <v>0.26128630124955315</v>
      </c>
      <c r="X495" t="e">
        <f t="shared" si="37"/>
        <v>#N/A</v>
      </c>
      <c r="Y495">
        <f t="shared" si="38"/>
        <v>0.26128630124955315</v>
      </c>
      <c r="Z495">
        <f t="shared" si="39"/>
        <v>0.26128630124955315</v>
      </c>
    </row>
    <row r="496" spans="21:26" x14ac:dyDescent="0.3">
      <c r="U496" t="e">
        <f t="shared" si="35"/>
        <v>#N/A</v>
      </c>
      <c r="V496">
        <v>0.93</v>
      </c>
      <c r="W496">
        <f t="shared" si="36"/>
        <v>0.2588805467311488</v>
      </c>
      <c r="X496" t="e">
        <f t="shared" si="37"/>
        <v>#N/A</v>
      </c>
      <c r="Y496">
        <f t="shared" si="38"/>
        <v>0.2588805467311488</v>
      </c>
      <c r="Z496">
        <f t="shared" si="39"/>
        <v>0.2588805467311488</v>
      </c>
    </row>
    <row r="497" spans="21:26" x14ac:dyDescent="0.3">
      <c r="U497" t="e">
        <f t="shared" si="35"/>
        <v>#N/A</v>
      </c>
      <c r="V497">
        <v>0.94</v>
      </c>
      <c r="W497">
        <f t="shared" si="36"/>
        <v>0.25647129442562033</v>
      </c>
      <c r="X497" t="e">
        <f t="shared" si="37"/>
        <v>#N/A</v>
      </c>
      <c r="Y497">
        <f t="shared" si="38"/>
        <v>0.25647129442562033</v>
      </c>
      <c r="Z497">
        <f t="shared" si="39"/>
        <v>0.25647129442562033</v>
      </c>
    </row>
    <row r="498" spans="21:26" x14ac:dyDescent="0.3">
      <c r="U498" t="e">
        <f t="shared" si="35"/>
        <v>#N/A</v>
      </c>
      <c r="V498">
        <v>0.95</v>
      </c>
      <c r="W498">
        <f t="shared" si="36"/>
        <v>0.25405905646918903</v>
      </c>
      <c r="X498" t="e">
        <f t="shared" si="37"/>
        <v>#N/A</v>
      </c>
      <c r="Y498">
        <f t="shared" si="38"/>
        <v>0.25405905646918903</v>
      </c>
      <c r="Z498">
        <f t="shared" si="39"/>
        <v>0.25405905646918903</v>
      </c>
    </row>
    <row r="499" spans="21:26" x14ac:dyDescent="0.3">
      <c r="U499" t="e">
        <f t="shared" si="35"/>
        <v>#N/A</v>
      </c>
      <c r="V499">
        <v>0.96</v>
      </c>
      <c r="W499">
        <f t="shared" si="36"/>
        <v>0.25164434109811712</v>
      </c>
      <c r="X499" t="e">
        <f t="shared" si="37"/>
        <v>#N/A</v>
      </c>
      <c r="Y499">
        <f t="shared" si="38"/>
        <v>0.25164434109811712</v>
      </c>
      <c r="Z499">
        <f t="shared" si="39"/>
        <v>0.25164434109811712</v>
      </c>
    </row>
    <row r="500" spans="21:26" x14ac:dyDescent="0.3">
      <c r="U500" t="e">
        <f t="shared" si="35"/>
        <v>#N/A</v>
      </c>
      <c r="V500">
        <v>0.97</v>
      </c>
      <c r="W500">
        <f t="shared" si="36"/>
        <v>0.24922765248306594</v>
      </c>
      <c r="X500" t="e">
        <f t="shared" si="37"/>
        <v>#N/A</v>
      </c>
      <c r="Y500">
        <f t="shared" si="38"/>
        <v>0.24922765248306594</v>
      </c>
      <c r="Z500">
        <f t="shared" si="39"/>
        <v>0.24922765248306594</v>
      </c>
    </row>
    <row r="501" spans="21:26" x14ac:dyDescent="0.3">
      <c r="U501" t="e">
        <f t="shared" si="35"/>
        <v>#N/A</v>
      </c>
      <c r="V501">
        <v>0.98</v>
      </c>
      <c r="W501">
        <f t="shared" si="36"/>
        <v>0.24680949056704274</v>
      </c>
      <c r="X501" t="e">
        <f t="shared" si="37"/>
        <v>#N/A</v>
      </c>
      <c r="Y501">
        <f t="shared" si="38"/>
        <v>0.24680949056704274</v>
      </c>
      <c r="Z501">
        <f t="shared" si="39"/>
        <v>0.24680949056704274</v>
      </c>
    </row>
    <row r="502" spans="21:26" x14ac:dyDescent="0.3">
      <c r="U502" t="e">
        <f t="shared" si="35"/>
        <v>#N/A</v>
      </c>
      <c r="V502">
        <v>0.99</v>
      </c>
      <c r="W502">
        <f t="shared" si="36"/>
        <v>0.24439035090699956</v>
      </c>
      <c r="X502" t="e">
        <f t="shared" si="37"/>
        <v>#N/A</v>
      </c>
      <c r="Y502">
        <f t="shared" si="38"/>
        <v>0.24439035090699956</v>
      </c>
      <c r="Z502">
        <f t="shared" si="39"/>
        <v>0.24439035090699956</v>
      </c>
    </row>
    <row r="503" spans="21:26" x14ac:dyDescent="0.3">
      <c r="U503" t="e">
        <f t="shared" si="35"/>
        <v>#N/A</v>
      </c>
      <c r="V503">
        <v>1</v>
      </c>
      <c r="W503">
        <f t="shared" si="36"/>
        <v>0.24197072451914337</v>
      </c>
      <c r="X503" t="e">
        <f t="shared" si="37"/>
        <v>#N/A</v>
      </c>
      <c r="Y503">
        <f t="shared" si="38"/>
        <v>0.24197072451914337</v>
      </c>
      <c r="Z503">
        <f t="shared" si="39"/>
        <v>0.24197072451914337</v>
      </c>
    </row>
    <row r="504" spans="21:26" x14ac:dyDescent="0.3">
      <c r="U504" t="e">
        <f t="shared" si="35"/>
        <v>#N/A</v>
      </c>
      <c r="V504">
        <v>1.01</v>
      </c>
      <c r="W504">
        <f t="shared" si="36"/>
        <v>0.23955109772801336</v>
      </c>
      <c r="X504" t="e">
        <f t="shared" si="37"/>
        <v>#N/A</v>
      </c>
      <c r="Y504">
        <f t="shared" si="38"/>
        <v>0.23955109772801336</v>
      </c>
      <c r="Z504">
        <f t="shared" si="39"/>
        <v>0.23955109772801336</v>
      </c>
    </row>
    <row r="505" spans="21:26" x14ac:dyDescent="0.3">
      <c r="U505" t="e">
        <f t="shared" si="35"/>
        <v>#N/A</v>
      </c>
      <c r="V505">
        <v>1.02</v>
      </c>
      <c r="W505">
        <f t="shared" si="36"/>
        <v>0.23713195201937959</v>
      </c>
      <c r="X505" t="e">
        <f t="shared" si="37"/>
        <v>#N/A</v>
      </c>
      <c r="Y505">
        <f t="shared" si="38"/>
        <v>0.23713195201937959</v>
      </c>
      <c r="Z505">
        <f t="shared" si="39"/>
        <v>0.23713195201937959</v>
      </c>
    </row>
    <row r="506" spans="21:26" x14ac:dyDescent="0.3">
      <c r="U506" t="e">
        <f t="shared" si="35"/>
        <v>#N/A</v>
      </c>
      <c r="V506">
        <v>1.03</v>
      </c>
      <c r="W506">
        <f t="shared" si="36"/>
        <v>0.23471376389701182</v>
      </c>
      <c r="X506" t="e">
        <f t="shared" si="37"/>
        <v>#N/A</v>
      </c>
      <c r="Y506">
        <f t="shared" si="38"/>
        <v>0.23471376389701182</v>
      </c>
      <c r="Z506">
        <f t="shared" si="39"/>
        <v>0.23471376389701182</v>
      </c>
    </row>
    <row r="507" spans="21:26" x14ac:dyDescent="0.3">
      <c r="U507" t="e">
        <f t="shared" si="35"/>
        <v>#N/A</v>
      </c>
      <c r="V507">
        <v>1.04</v>
      </c>
      <c r="W507">
        <f t="shared" si="36"/>
        <v>0.2322970047433662</v>
      </c>
      <c r="X507" t="e">
        <f t="shared" si="37"/>
        <v>#N/A</v>
      </c>
      <c r="Y507">
        <f t="shared" si="38"/>
        <v>0.2322970047433662</v>
      </c>
      <c r="Z507">
        <f t="shared" si="39"/>
        <v>0.2322970047433662</v>
      </c>
    </row>
    <row r="508" spans="21:26" x14ac:dyDescent="0.3">
      <c r="U508" t="e">
        <f t="shared" si="35"/>
        <v>#N/A</v>
      </c>
      <c r="V508">
        <v>1.05</v>
      </c>
      <c r="W508">
        <f t="shared" si="36"/>
        <v>0.22988214068423302</v>
      </c>
      <c r="X508" t="e">
        <f t="shared" si="37"/>
        <v>#N/A</v>
      </c>
      <c r="Y508">
        <f t="shared" si="38"/>
        <v>0.22988214068423302</v>
      </c>
      <c r="Z508">
        <f t="shared" si="39"/>
        <v>0.22988214068423302</v>
      </c>
    </row>
    <row r="509" spans="21:26" x14ac:dyDescent="0.3">
      <c r="U509" t="e">
        <f t="shared" si="35"/>
        <v>#N/A</v>
      </c>
      <c r="V509">
        <v>1.06</v>
      </c>
      <c r="W509">
        <f t="shared" si="36"/>
        <v>0.22746963245738591</v>
      </c>
      <c r="X509" t="e">
        <f t="shared" si="37"/>
        <v>#N/A</v>
      </c>
      <c r="Y509">
        <f t="shared" si="38"/>
        <v>0.22746963245738591</v>
      </c>
      <c r="Z509">
        <f t="shared" si="39"/>
        <v>0.22746963245738591</v>
      </c>
    </row>
    <row r="510" spans="21:26" x14ac:dyDescent="0.3">
      <c r="U510" t="e">
        <f t="shared" si="35"/>
        <v>#N/A</v>
      </c>
      <c r="V510">
        <v>1.07</v>
      </c>
      <c r="W510">
        <f t="shared" si="36"/>
        <v>0.22505993528526966</v>
      </c>
      <c r="X510" t="e">
        <f t="shared" si="37"/>
        <v>#N/A</v>
      </c>
      <c r="Y510">
        <f t="shared" si="38"/>
        <v>0.22505993528526966</v>
      </c>
      <c r="Z510">
        <f t="shared" si="39"/>
        <v>0.22505993528526966</v>
      </c>
    </row>
    <row r="511" spans="21:26" x14ac:dyDescent="0.3">
      <c r="U511" t="e">
        <f t="shared" si="35"/>
        <v>#N/A</v>
      </c>
      <c r="V511">
        <v>1.08</v>
      </c>
      <c r="W511">
        <f t="shared" si="36"/>
        <v>0.22265349875176113</v>
      </c>
      <c r="X511" t="e">
        <f t="shared" si="37"/>
        <v>#N/A</v>
      </c>
      <c r="Y511">
        <f t="shared" si="38"/>
        <v>0.22265349875176113</v>
      </c>
      <c r="Z511">
        <f t="shared" si="39"/>
        <v>0.22265349875176113</v>
      </c>
    </row>
    <row r="512" spans="21:26" x14ac:dyDescent="0.3">
      <c r="U512" t="e">
        <f t="shared" si="35"/>
        <v>#N/A</v>
      </c>
      <c r="V512">
        <v>1.0900000000000001</v>
      </c>
      <c r="W512">
        <f t="shared" si="36"/>
        <v>0.22025076668303326</v>
      </c>
      <c r="X512" t="e">
        <f t="shared" si="37"/>
        <v>#N/A</v>
      </c>
      <c r="Y512">
        <f t="shared" si="38"/>
        <v>0.22025076668303326</v>
      </c>
      <c r="Z512">
        <f t="shared" si="39"/>
        <v>0.22025076668303326</v>
      </c>
    </row>
    <row r="513" spans="21:26" x14ac:dyDescent="0.3">
      <c r="U513" t="e">
        <f t="shared" si="35"/>
        <v>#N/A</v>
      </c>
      <c r="V513">
        <v>1.1000000000000001</v>
      </c>
      <c r="W513">
        <f t="shared" si="36"/>
        <v>0.21785217703255053</v>
      </c>
      <c r="X513" t="e">
        <f t="shared" si="37"/>
        <v>#N/A</v>
      </c>
      <c r="Y513">
        <f t="shared" si="38"/>
        <v>0.21785217703255053</v>
      </c>
      <c r="Z513">
        <f t="shared" si="39"/>
        <v>0.21785217703255053</v>
      </c>
    </row>
    <row r="514" spans="21:26" x14ac:dyDescent="0.3">
      <c r="U514" t="e">
        <f t="shared" si="35"/>
        <v>#N/A</v>
      </c>
      <c r="V514">
        <v>1.1100000000000001</v>
      </c>
      <c r="W514">
        <f t="shared" si="36"/>
        <v>0.21545816177021967</v>
      </c>
      <c r="X514" t="e">
        <f t="shared" si="37"/>
        <v>#N/A</v>
      </c>
      <c r="Y514">
        <f t="shared" si="38"/>
        <v>0.21545816177021967</v>
      </c>
      <c r="Z514">
        <f t="shared" si="39"/>
        <v>0.21545816177021967</v>
      </c>
    </row>
    <row r="515" spans="21:26" x14ac:dyDescent="0.3">
      <c r="U515" t="e">
        <f t="shared" si="35"/>
        <v>#N/A</v>
      </c>
      <c r="V515">
        <v>1.1200000000000001</v>
      </c>
      <c r="W515">
        <f t="shared" si="36"/>
        <v>0.21306914677571784</v>
      </c>
      <c r="X515" t="e">
        <f t="shared" si="37"/>
        <v>#N/A</v>
      </c>
      <c r="Y515">
        <f t="shared" si="38"/>
        <v>0.21306914677571784</v>
      </c>
      <c r="Z515">
        <f t="shared" si="39"/>
        <v>0.21306914677571784</v>
      </c>
    </row>
    <row r="516" spans="21:26" x14ac:dyDescent="0.3">
      <c r="U516" t="e">
        <f t="shared" ref="U516:U579" si="40">IF($A$2=ABS(V516),0,NA())</f>
        <v>#N/A</v>
      </c>
      <c r="V516">
        <v>1.1299999999999999</v>
      </c>
      <c r="W516">
        <f t="shared" ref="W516:W579" si="41">_xlfn.NORM.S.DIST(V516,0)</f>
        <v>0.21068555173601533</v>
      </c>
      <c r="X516" t="e">
        <f t="shared" ref="X516:X579" si="42">IF(ABS(V516)=$A$2,W516,NA())</f>
        <v>#N/A</v>
      </c>
      <c r="Y516">
        <f t="shared" ref="Y516:Y579" si="43">IF(V516&lt;=$A$2,W516,NA())</f>
        <v>0.21068555173601533</v>
      </c>
      <c r="Z516">
        <f t="shared" ref="Z516:Z579" si="44">IF(ABS(V516)&lt;=$A$2,W516,NA())</f>
        <v>0.21068555173601533</v>
      </c>
    </row>
    <row r="517" spans="21:26" x14ac:dyDescent="0.3">
      <c r="U517" t="e">
        <f t="shared" si="40"/>
        <v>#N/A</v>
      </c>
      <c r="V517">
        <v>1.1399999999999999</v>
      </c>
      <c r="W517">
        <f t="shared" si="41"/>
        <v>0.20830779004710837</v>
      </c>
      <c r="X517" t="e">
        <f t="shared" si="42"/>
        <v>#N/A</v>
      </c>
      <c r="Y517">
        <f t="shared" si="43"/>
        <v>0.20830779004710837</v>
      </c>
      <c r="Z517">
        <f t="shared" si="44"/>
        <v>0.20830779004710837</v>
      </c>
    </row>
    <row r="518" spans="21:26" x14ac:dyDescent="0.3">
      <c r="U518" t="e">
        <f t="shared" si="40"/>
        <v>#N/A</v>
      </c>
      <c r="V518">
        <v>1.1499999999999999</v>
      </c>
      <c r="W518">
        <f t="shared" si="41"/>
        <v>0.20593626871997478</v>
      </c>
      <c r="X518" t="e">
        <f t="shared" si="42"/>
        <v>#N/A</v>
      </c>
      <c r="Y518">
        <f t="shared" si="43"/>
        <v>0.20593626871997478</v>
      </c>
      <c r="Z518">
        <f t="shared" si="44"/>
        <v>0.20593626871997478</v>
      </c>
    </row>
    <row r="519" spans="21:26" x14ac:dyDescent="0.3">
      <c r="U519" t="e">
        <f t="shared" si="40"/>
        <v>#N/A</v>
      </c>
      <c r="V519">
        <v>1.1599999999999999</v>
      </c>
      <c r="W519">
        <f t="shared" si="41"/>
        <v>0.20357138829075944</v>
      </c>
      <c r="X519" t="e">
        <f t="shared" si="42"/>
        <v>#N/A</v>
      </c>
      <c r="Y519">
        <f t="shared" si="43"/>
        <v>0.20357138829075944</v>
      </c>
      <c r="Z519">
        <f t="shared" si="44"/>
        <v>0.20357138829075944</v>
      </c>
    </row>
    <row r="520" spans="21:26" x14ac:dyDescent="0.3">
      <c r="U520" t="e">
        <f t="shared" si="40"/>
        <v>#N/A</v>
      </c>
      <c r="V520">
        <v>1.17</v>
      </c>
      <c r="W520">
        <f t="shared" si="41"/>
        <v>0.2012135427351974</v>
      </c>
      <c r="X520" t="e">
        <f t="shared" si="42"/>
        <v>#N/A</v>
      </c>
      <c r="Y520">
        <f t="shared" si="43"/>
        <v>0.2012135427351974</v>
      </c>
      <c r="Z520">
        <f t="shared" si="44"/>
        <v>0.2012135427351974</v>
      </c>
    </row>
    <row r="521" spans="21:26" x14ac:dyDescent="0.3">
      <c r="U521" t="e">
        <f t="shared" si="40"/>
        <v>#N/A</v>
      </c>
      <c r="V521">
        <v>1.18</v>
      </c>
      <c r="W521">
        <f t="shared" si="41"/>
        <v>0.19886311938727591</v>
      </c>
      <c r="X521" t="e">
        <f t="shared" si="42"/>
        <v>#N/A</v>
      </c>
      <c r="Y521">
        <f t="shared" si="43"/>
        <v>0.19886311938727591</v>
      </c>
      <c r="Z521">
        <f t="shared" si="44"/>
        <v>0.19886311938727591</v>
      </c>
    </row>
    <row r="522" spans="21:26" x14ac:dyDescent="0.3">
      <c r="U522" t="e">
        <f t="shared" si="40"/>
        <v>#N/A</v>
      </c>
      <c r="V522">
        <v>1.19</v>
      </c>
      <c r="W522">
        <f t="shared" si="41"/>
        <v>0.19652049886213654</v>
      </c>
      <c r="X522" t="e">
        <f t="shared" si="42"/>
        <v>#N/A</v>
      </c>
      <c r="Y522">
        <f t="shared" si="43"/>
        <v>0.19652049886213654</v>
      </c>
      <c r="Z522">
        <f t="shared" si="44"/>
        <v>0.19652049886213654</v>
      </c>
    </row>
    <row r="523" spans="21:26" x14ac:dyDescent="0.3">
      <c r="U523" t="e">
        <f t="shared" si="40"/>
        <v>#N/A</v>
      </c>
      <c r="V523">
        <v>1.2</v>
      </c>
      <c r="W523">
        <f t="shared" si="41"/>
        <v>0.19418605498321295</v>
      </c>
      <c r="X523" t="e">
        <f t="shared" si="42"/>
        <v>#N/A</v>
      </c>
      <c r="Y523">
        <f t="shared" si="43"/>
        <v>0.19418605498321295</v>
      </c>
      <c r="Z523">
        <f t="shared" si="44"/>
        <v>0.19418605498321295</v>
      </c>
    </row>
    <row r="524" spans="21:26" x14ac:dyDescent="0.3">
      <c r="U524" t="e">
        <f t="shared" si="40"/>
        <v>#N/A</v>
      </c>
      <c r="V524">
        <v>1.21</v>
      </c>
      <c r="W524">
        <f t="shared" si="41"/>
        <v>0.19186015471359938</v>
      </c>
      <c r="X524" t="e">
        <f t="shared" si="42"/>
        <v>#N/A</v>
      </c>
      <c r="Y524">
        <f t="shared" si="43"/>
        <v>0.19186015471359938</v>
      </c>
      <c r="Z524">
        <f t="shared" si="44"/>
        <v>0.19186015471359938</v>
      </c>
    </row>
    <row r="525" spans="21:26" x14ac:dyDescent="0.3">
      <c r="U525" t="e">
        <f t="shared" si="40"/>
        <v>#N/A</v>
      </c>
      <c r="V525">
        <v>1.22</v>
      </c>
      <c r="W525">
        <f t="shared" si="41"/>
        <v>0.18954315809164024</v>
      </c>
      <c r="X525" t="e">
        <f t="shared" si="42"/>
        <v>#N/A</v>
      </c>
      <c r="Y525">
        <f t="shared" si="43"/>
        <v>0.18954315809164024</v>
      </c>
      <c r="Z525">
        <f t="shared" si="44"/>
        <v>0.18954315809164024</v>
      </c>
    </row>
    <row r="526" spans="21:26" x14ac:dyDescent="0.3">
      <c r="U526" t="e">
        <f t="shared" si="40"/>
        <v>#N/A</v>
      </c>
      <c r="V526">
        <v>1.23</v>
      </c>
      <c r="W526">
        <f t="shared" si="41"/>
        <v>0.18723541817072956</v>
      </c>
      <c r="X526" t="e">
        <f t="shared" si="42"/>
        <v>#N/A</v>
      </c>
      <c r="Y526">
        <f t="shared" si="43"/>
        <v>0.18723541817072956</v>
      </c>
      <c r="Z526">
        <f t="shared" si="44"/>
        <v>0.18723541817072956</v>
      </c>
    </row>
    <row r="527" spans="21:26" x14ac:dyDescent="0.3">
      <c r="U527" t="e">
        <f t="shared" si="40"/>
        <v>#N/A</v>
      </c>
      <c r="V527">
        <v>1.24</v>
      </c>
      <c r="W527">
        <f t="shared" si="41"/>
        <v>0.18493728096330531</v>
      </c>
      <c r="X527" t="e">
        <f t="shared" si="42"/>
        <v>#N/A</v>
      </c>
      <c r="Y527">
        <f t="shared" si="43"/>
        <v>0.18493728096330531</v>
      </c>
      <c r="Z527">
        <f t="shared" si="44"/>
        <v>0.18493728096330531</v>
      </c>
    </row>
    <row r="528" spans="21:26" x14ac:dyDescent="0.3">
      <c r="U528" t="e">
        <f t="shared" si="40"/>
        <v>#N/A</v>
      </c>
      <c r="V528">
        <v>1.25</v>
      </c>
      <c r="W528">
        <f t="shared" si="41"/>
        <v>0.18264908538902191</v>
      </c>
      <c r="X528" t="e">
        <f t="shared" si="42"/>
        <v>#N/A</v>
      </c>
      <c r="Y528">
        <f t="shared" si="43"/>
        <v>0.18264908538902191</v>
      </c>
      <c r="Z528">
        <f t="shared" si="44"/>
        <v>0.18264908538902191</v>
      </c>
    </row>
    <row r="529" spans="21:26" x14ac:dyDescent="0.3">
      <c r="U529" t="e">
        <f t="shared" si="40"/>
        <v>#N/A</v>
      </c>
      <c r="V529">
        <v>1.26</v>
      </c>
      <c r="W529">
        <f t="shared" si="41"/>
        <v>0.18037116322708033</v>
      </c>
      <c r="X529" t="e">
        <f t="shared" si="42"/>
        <v>#N/A</v>
      </c>
      <c r="Y529">
        <f t="shared" si="43"/>
        <v>0.18037116322708033</v>
      </c>
      <c r="Z529">
        <f t="shared" si="44"/>
        <v>0.18037116322708033</v>
      </c>
    </row>
    <row r="530" spans="21:26" x14ac:dyDescent="0.3">
      <c r="U530" t="e">
        <f t="shared" si="40"/>
        <v>#N/A</v>
      </c>
      <c r="V530">
        <v>1.27</v>
      </c>
      <c r="W530">
        <f t="shared" si="41"/>
        <v>0.17810383907269359</v>
      </c>
      <c r="X530" t="e">
        <f t="shared" si="42"/>
        <v>#N/A</v>
      </c>
      <c r="Y530">
        <f t="shared" si="43"/>
        <v>0.17810383907269359</v>
      </c>
      <c r="Z530">
        <f t="shared" si="44"/>
        <v>0.17810383907269359</v>
      </c>
    </row>
    <row r="531" spans="21:26" x14ac:dyDescent="0.3">
      <c r="U531" t="e">
        <f t="shared" si="40"/>
        <v>#N/A</v>
      </c>
      <c r="V531">
        <v>1.28</v>
      </c>
      <c r="W531">
        <f t="shared" si="41"/>
        <v>0.17584743029766237</v>
      </c>
      <c r="X531" t="e">
        <f t="shared" si="42"/>
        <v>#N/A</v>
      </c>
      <c r="Y531">
        <f t="shared" si="43"/>
        <v>0.17584743029766237</v>
      </c>
      <c r="Z531">
        <f t="shared" si="44"/>
        <v>0.17584743029766237</v>
      </c>
    </row>
    <row r="532" spans="21:26" x14ac:dyDescent="0.3">
      <c r="U532" t="e">
        <f t="shared" si="40"/>
        <v>#N/A</v>
      </c>
      <c r="V532">
        <v>1.29</v>
      </c>
      <c r="W532">
        <f t="shared" si="41"/>
        <v>0.17360224701503299</v>
      </c>
      <c r="X532" t="e">
        <f t="shared" si="42"/>
        <v>#N/A</v>
      </c>
      <c r="Y532">
        <f t="shared" si="43"/>
        <v>0.17360224701503299</v>
      </c>
      <c r="Z532">
        <f t="shared" si="44"/>
        <v>0.17360224701503299</v>
      </c>
    </row>
    <row r="533" spans="21:26" x14ac:dyDescent="0.3">
      <c r="U533" t="e">
        <f t="shared" si="40"/>
        <v>#N/A</v>
      </c>
      <c r="V533">
        <v>1.3</v>
      </c>
      <c r="W533">
        <f t="shared" si="41"/>
        <v>0.17136859204780736</v>
      </c>
      <c r="X533" t="e">
        <f t="shared" si="42"/>
        <v>#N/A</v>
      </c>
      <c r="Y533">
        <f t="shared" si="43"/>
        <v>0.17136859204780736</v>
      </c>
      <c r="Z533">
        <f t="shared" si="44"/>
        <v>0.17136859204780736</v>
      </c>
    </row>
    <row r="534" spans="21:26" x14ac:dyDescent="0.3">
      <c r="U534" t="e">
        <f t="shared" si="40"/>
        <v>#N/A</v>
      </c>
      <c r="V534">
        <v>1.31</v>
      </c>
      <c r="W534">
        <f t="shared" si="41"/>
        <v>0.16914676090167238</v>
      </c>
      <c r="X534" t="e">
        <f t="shared" si="42"/>
        <v>#N/A</v>
      </c>
      <c r="Y534">
        <f t="shared" si="43"/>
        <v>0.16914676090167238</v>
      </c>
      <c r="Z534">
        <f t="shared" si="44"/>
        <v>0.16914676090167238</v>
      </c>
    </row>
    <row r="535" spans="21:26" x14ac:dyDescent="0.3">
      <c r="U535" t="e">
        <f t="shared" si="40"/>
        <v>#N/A</v>
      </c>
      <c r="V535">
        <v>1.32</v>
      </c>
      <c r="W535">
        <f t="shared" si="41"/>
        <v>0.16693704174171381</v>
      </c>
      <c r="X535" t="e">
        <f t="shared" si="42"/>
        <v>#N/A</v>
      </c>
      <c r="Y535">
        <f t="shared" si="43"/>
        <v>0.16693704174171381</v>
      </c>
      <c r="Z535">
        <f t="shared" si="44"/>
        <v>0.16693704174171381</v>
      </c>
    </row>
    <row r="536" spans="21:26" x14ac:dyDescent="0.3">
      <c r="U536" t="e">
        <f t="shared" si="40"/>
        <v>#N/A</v>
      </c>
      <c r="V536">
        <v>1.33</v>
      </c>
      <c r="W536">
        <f t="shared" si="41"/>
        <v>0.1647397153730768</v>
      </c>
      <c r="X536" t="e">
        <f t="shared" si="42"/>
        <v>#N/A</v>
      </c>
      <c r="Y536">
        <f t="shared" si="43"/>
        <v>0.1647397153730768</v>
      </c>
      <c r="Z536">
        <f t="shared" si="44"/>
        <v>0.1647397153730768</v>
      </c>
    </row>
    <row r="537" spans="21:26" x14ac:dyDescent="0.3">
      <c r="U537" t="e">
        <f t="shared" si="40"/>
        <v>#N/A</v>
      </c>
      <c r="V537">
        <v>1.34</v>
      </c>
      <c r="W537">
        <f t="shared" si="41"/>
        <v>0.16255505522553412</v>
      </c>
      <c r="X537" t="e">
        <f t="shared" si="42"/>
        <v>#N/A</v>
      </c>
      <c r="Y537">
        <f t="shared" si="43"/>
        <v>0.16255505522553412</v>
      </c>
      <c r="Z537">
        <f t="shared" si="44"/>
        <v>0.16255505522553412</v>
      </c>
    </row>
    <row r="538" spans="21:26" x14ac:dyDescent="0.3">
      <c r="U538" t="e">
        <f t="shared" si="40"/>
        <v>#N/A</v>
      </c>
      <c r="V538">
        <v>1.35</v>
      </c>
      <c r="W538">
        <f t="shared" si="41"/>
        <v>0.1603833273419196</v>
      </c>
      <c r="X538" t="e">
        <f t="shared" si="42"/>
        <v>#N/A</v>
      </c>
      <c r="Y538">
        <f t="shared" si="43"/>
        <v>0.1603833273419196</v>
      </c>
      <c r="Z538">
        <f t="shared" si="44"/>
        <v>0.1603833273419196</v>
      </c>
    </row>
    <row r="539" spans="21:26" x14ac:dyDescent="0.3">
      <c r="U539" t="e">
        <f t="shared" si="40"/>
        <v>#N/A</v>
      </c>
      <c r="V539">
        <v>1.36</v>
      </c>
      <c r="W539">
        <f t="shared" si="41"/>
        <v>0.15822479037038303</v>
      </c>
      <c r="X539" t="e">
        <f t="shared" si="42"/>
        <v>#N/A</v>
      </c>
      <c r="Y539">
        <f t="shared" si="43"/>
        <v>0.15822479037038303</v>
      </c>
      <c r="Z539">
        <f t="shared" si="44"/>
        <v>0.15822479037038303</v>
      </c>
    </row>
    <row r="540" spans="21:26" x14ac:dyDescent="0.3">
      <c r="U540" t="e">
        <f t="shared" si="40"/>
        <v>#N/A</v>
      </c>
      <c r="V540">
        <v>1.37</v>
      </c>
      <c r="W540">
        <f t="shared" si="41"/>
        <v>0.15607969556042084</v>
      </c>
      <c r="X540" t="e">
        <f t="shared" si="42"/>
        <v>#N/A</v>
      </c>
      <c r="Y540">
        <f t="shared" si="43"/>
        <v>0.15607969556042084</v>
      </c>
      <c r="Z540">
        <f t="shared" si="44"/>
        <v>0.15607969556042084</v>
      </c>
    </row>
    <row r="541" spans="21:26" x14ac:dyDescent="0.3">
      <c r="U541" t="e">
        <f t="shared" si="40"/>
        <v>#N/A</v>
      </c>
      <c r="V541">
        <v>1.38</v>
      </c>
      <c r="W541">
        <f t="shared" si="41"/>
        <v>0.15394828676263372</v>
      </c>
      <c r="X541" t="e">
        <f t="shared" si="42"/>
        <v>#N/A</v>
      </c>
      <c r="Y541">
        <f t="shared" si="43"/>
        <v>0.15394828676263372</v>
      </c>
      <c r="Z541">
        <f t="shared" si="44"/>
        <v>0.15394828676263372</v>
      </c>
    </row>
    <row r="542" spans="21:26" x14ac:dyDescent="0.3">
      <c r="U542" t="e">
        <f t="shared" si="40"/>
        <v>#N/A</v>
      </c>
      <c r="V542">
        <v>1.39</v>
      </c>
      <c r="W542">
        <f t="shared" si="41"/>
        <v>0.15183080043216168</v>
      </c>
      <c r="X542" t="e">
        <f t="shared" si="42"/>
        <v>#N/A</v>
      </c>
      <c r="Y542">
        <f t="shared" si="43"/>
        <v>0.15183080043216168</v>
      </c>
      <c r="Z542">
        <f t="shared" si="44"/>
        <v>0.15183080043216168</v>
      </c>
    </row>
    <row r="543" spans="21:26" x14ac:dyDescent="0.3">
      <c r="U543" t="e">
        <f t="shared" si="40"/>
        <v>#N/A</v>
      </c>
      <c r="V543">
        <v>1.4</v>
      </c>
      <c r="W543">
        <f t="shared" si="41"/>
        <v>0.14972746563574488</v>
      </c>
      <c r="X543" t="e">
        <f t="shared" si="42"/>
        <v>#N/A</v>
      </c>
      <c r="Y543">
        <f t="shared" si="43"/>
        <v>0.14972746563574488</v>
      </c>
      <c r="Z543">
        <f t="shared" si="44"/>
        <v>0.14972746563574488</v>
      </c>
    </row>
    <row r="544" spans="21:26" x14ac:dyDescent="0.3">
      <c r="U544" t="e">
        <f t="shared" si="40"/>
        <v>#N/A</v>
      </c>
      <c r="V544">
        <v>1.41</v>
      </c>
      <c r="W544">
        <f t="shared" si="41"/>
        <v>0.14763850406235574</v>
      </c>
      <c r="X544" t="e">
        <f t="shared" si="42"/>
        <v>#N/A</v>
      </c>
      <c r="Y544">
        <f t="shared" si="43"/>
        <v>0.14763850406235574</v>
      </c>
      <c r="Z544">
        <f t="shared" si="44"/>
        <v>0.14763850406235574</v>
      </c>
    </row>
    <row r="545" spans="21:26" x14ac:dyDescent="0.3">
      <c r="U545" t="e">
        <f t="shared" si="40"/>
        <v>#N/A</v>
      </c>
      <c r="V545">
        <v>1.42</v>
      </c>
      <c r="W545">
        <f t="shared" si="41"/>
        <v>0.14556413003734761</v>
      </c>
      <c r="X545" t="e">
        <f t="shared" si="42"/>
        <v>#N/A</v>
      </c>
      <c r="Y545">
        <f t="shared" si="43"/>
        <v>0.14556413003734761</v>
      </c>
      <c r="Z545">
        <f t="shared" si="44"/>
        <v>0.14556413003734761</v>
      </c>
    </row>
    <row r="546" spans="21:26" x14ac:dyDescent="0.3">
      <c r="U546" t="e">
        <f t="shared" si="40"/>
        <v>#N/A</v>
      </c>
      <c r="V546">
        <v>1.43</v>
      </c>
      <c r="W546">
        <f t="shared" si="41"/>
        <v>0.14350455054006242</v>
      </c>
      <c r="X546" t="e">
        <f t="shared" si="42"/>
        <v>#N/A</v>
      </c>
      <c r="Y546">
        <f t="shared" si="43"/>
        <v>0.14350455054006242</v>
      </c>
      <c r="Z546">
        <f t="shared" si="44"/>
        <v>0.14350455054006242</v>
      </c>
    </row>
    <row r="547" spans="21:26" x14ac:dyDescent="0.3">
      <c r="U547" t="e">
        <f t="shared" si="40"/>
        <v>#N/A</v>
      </c>
      <c r="V547">
        <v>1.44</v>
      </c>
      <c r="W547">
        <f t="shared" si="41"/>
        <v>0.14145996522483878</v>
      </c>
      <c r="X547" t="e">
        <f t="shared" si="42"/>
        <v>#N/A</v>
      </c>
      <c r="Y547">
        <f t="shared" si="43"/>
        <v>0.14145996522483878</v>
      </c>
      <c r="Z547">
        <f t="shared" si="44"/>
        <v>0.14145996522483878</v>
      </c>
    </row>
    <row r="548" spans="21:26" x14ac:dyDescent="0.3">
      <c r="U548" t="e">
        <f t="shared" si="40"/>
        <v>#N/A</v>
      </c>
      <c r="V548">
        <v>1.45</v>
      </c>
      <c r="W548">
        <f t="shared" si="41"/>
        <v>0.13943056644536028</v>
      </c>
      <c r="X548" t="e">
        <f t="shared" si="42"/>
        <v>#N/A</v>
      </c>
      <c r="Y548">
        <f t="shared" si="43"/>
        <v>0.13943056644536028</v>
      </c>
      <c r="Z548">
        <f t="shared" si="44"/>
        <v>0.13943056644536028</v>
      </c>
    </row>
    <row r="549" spans="21:26" x14ac:dyDescent="0.3">
      <c r="U549" t="e">
        <f t="shared" si="40"/>
        <v>#N/A</v>
      </c>
      <c r="V549">
        <v>1.46</v>
      </c>
      <c r="W549">
        <f t="shared" si="41"/>
        <v>0.13741653928228179</v>
      </c>
      <c r="X549" t="e">
        <f t="shared" si="42"/>
        <v>#N/A</v>
      </c>
      <c r="Y549">
        <f t="shared" si="43"/>
        <v>0.13741653928228179</v>
      </c>
      <c r="Z549">
        <f t="shared" si="44"/>
        <v>0.13741653928228179</v>
      </c>
    </row>
    <row r="550" spans="21:26" x14ac:dyDescent="0.3">
      <c r="U550" t="e">
        <f t="shared" si="40"/>
        <v>#N/A</v>
      </c>
      <c r="V550">
        <v>1.47</v>
      </c>
      <c r="W550">
        <f t="shared" si="41"/>
        <v>0.1354180615740713</v>
      </c>
      <c r="X550" t="e">
        <f t="shared" si="42"/>
        <v>#N/A</v>
      </c>
      <c r="Y550">
        <f t="shared" si="43"/>
        <v>0.1354180615740713</v>
      </c>
      <c r="Z550">
        <f t="shared" si="44"/>
        <v>0.1354180615740713</v>
      </c>
    </row>
    <row r="551" spans="21:26" x14ac:dyDescent="0.3">
      <c r="U551" t="e">
        <f t="shared" si="40"/>
        <v>#N/A</v>
      </c>
      <c r="V551">
        <v>1.48</v>
      </c>
      <c r="W551">
        <f t="shared" si="41"/>
        <v>0.13343530395100231</v>
      </c>
      <c r="X551" t="e">
        <f t="shared" si="42"/>
        <v>#N/A</v>
      </c>
      <c r="Y551">
        <f t="shared" si="43"/>
        <v>0.13343530395100231</v>
      </c>
      <c r="Z551">
        <f t="shared" si="44"/>
        <v>0.13343530395100231</v>
      </c>
    </row>
    <row r="552" spans="21:26" x14ac:dyDescent="0.3">
      <c r="U552" t="e">
        <f t="shared" si="40"/>
        <v>#N/A</v>
      </c>
      <c r="V552">
        <v>1.49</v>
      </c>
      <c r="W552">
        <f t="shared" si="41"/>
        <v>0.13146842987223104</v>
      </c>
      <c r="X552" t="e">
        <f t="shared" si="42"/>
        <v>#N/A</v>
      </c>
      <c r="Y552">
        <f t="shared" si="43"/>
        <v>0.13146842987223104</v>
      </c>
      <c r="Z552">
        <f t="shared" si="44"/>
        <v>0.13146842987223104</v>
      </c>
    </row>
    <row r="553" spans="21:26" x14ac:dyDescent="0.3">
      <c r="U553" t="e">
        <f t="shared" si="40"/>
        <v>#N/A</v>
      </c>
      <c r="V553">
        <v>1.5</v>
      </c>
      <c r="W553">
        <f t="shared" si="41"/>
        <v>0.12951759566589174</v>
      </c>
      <c r="X553" t="e">
        <f t="shared" si="42"/>
        <v>#N/A</v>
      </c>
      <c r="Y553">
        <f t="shared" si="43"/>
        <v>0.12951759566589174</v>
      </c>
      <c r="Z553">
        <f t="shared" si="44"/>
        <v>0.12951759566589174</v>
      </c>
    </row>
    <row r="554" spans="21:26" x14ac:dyDescent="0.3">
      <c r="U554" t="e">
        <f t="shared" si="40"/>
        <v>#N/A</v>
      </c>
      <c r="V554">
        <v>1.51</v>
      </c>
      <c r="W554">
        <f t="shared" si="41"/>
        <v>0.12758295057214186</v>
      </c>
      <c r="X554" t="e">
        <f t="shared" si="42"/>
        <v>#N/A</v>
      </c>
      <c r="Y554">
        <f t="shared" si="43"/>
        <v>0.12758295057214186</v>
      </c>
      <c r="Z554">
        <f t="shared" si="44"/>
        <v>0.12758295057214186</v>
      </c>
    </row>
    <row r="555" spans="21:26" x14ac:dyDescent="0.3">
      <c r="U555" t="e">
        <f t="shared" si="40"/>
        <v>#N/A</v>
      </c>
      <c r="V555">
        <v>1.52</v>
      </c>
      <c r="W555">
        <f t="shared" si="41"/>
        <v>0.12566463678908815</v>
      </c>
      <c r="X555" t="e">
        <f t="shared" si="42"/>
        <v>#N/A</v>
      </c>
      <c r="Y555">
        <f t="shared" si="43"/>
        <v>0.12566463678908815</v>
      </c>
      <c r="Z555">
        <f t="shared" si="44"/>
        <v>0.12566463678908815</v>
      </c>
    </row>
    <row r="556" spans="21:26" x14ac:dyDescent="0.3">
      <c r="U556" t="e">
        <f t="shared" si="40"/>
        <v>#N/A</v>
      </c>
      <c r="V556">
        <v>1.53</v>
      </c>
      <c r="W556">
        <f t="shared" si="41"/>
        <v>0.12376278952152313</v>
      </c>
      <c r="X556" t="e">
        <f t="shared" si="42"/>
        <v>#N/A</v>
      </c>
      <c r="Y556">
        <f t="shared" si="43"/>
        <v>0.12376278952152313</v>
      </c>
      <c r="Z556">
        <f t="shared" si="44"/>
        <v>0.12376278952152313</v>
      </c>
    </row>
    <row r="557" spans="21:26" x14ac:dyDescent="0.3">
      <c r="U557" t="e">
        <f t="shared" si="40"/>
        <v>#N/A</v>
      </c>
      <c r="V557">
        <v>1.54</v>
      </c>
      <c r="W557">
        <f t="shared" si="41"/>
        <v>0.12187753703240178</v>
      </c>
      <c r="X557" t="e">
        <f t="shared" si="42"/>
        <v>#N/A</v>
      </c>
      <c r="Y557">
        <f t="shared" si="43"/>
        <v>0.12187753703240178</v>
      </c>
      <c r="Z557">
        <f t="shared" si="44"/>
        <v>0.12187753703240178</v>
      </c>
    </row>
    <row r="558" spans="21:26" x14ac:dyDescent="0.3">
      <c r="U558" t="e">
        <f t="shared" si="40"/>
        <v>#N/A</v>
      </c>
      <c r="V558">
        <v>1.55</v>
      </c>
      <c r="W558">
        <f t="shared" si="41"/>
        <v>0.12000900069698558</v>
      </c>
      <c r="X558" t="e">
        <f t="shared" si="42"/>
        <v>#N/A</v>
      </c>
      <c r="Y558">
        <f t="shared" si="43"/>
        <v>0.12000900069698558</v>
      </c>
      <c r="Z558">
        <f t="shared" si="44"/>
        <v>0.12000900069698558</v>
      </c>
    </row>
    <row r="559" spans="21:26" x14ac:dyDescent="0.3">
      <c r="U559" t="e">
        <f t="shared" si="40"/>
        <v>#N/A</v>
      </c>
      <c r="V559">
        <v>1.56</v>
      </c>
      <c r="W559">
        <f t="shared" si="41"/>
        <v>0.11815729505958227</v>
      </c>
      <c r="X559" t="e">
        <f t="shared" si="42"/>
        <v>#N/A</v>
      </c>
      <c r="Y559">
        <f t="shared" si="43"/>
        <v>0.11815729505958227</v>
      </c>
      <c r="Z559">
        <f t="shared" si="44"/>
        <v>0.11815729505958227</v>
      </c>
    </row>
    <row r="560" spans="21:26" x14ac:dyDescent="0.3">
      <c r="U560" t="e">
        <f t="shared" si="40"/>
        <v>#N/A</v>
      </c>
      <c r="V560">
        <v>1.57</v>
      </c>
      <c r="W560">
        <f t="shared" si="41"/>
        <v>0.11632252789280709</v>
      </c>
      <c r="X560" t="e">
        <f t="shared" si="42"/>
        <v>#N/A</v>
      </c>
      <c r="Y560">
        <f t="shared" si="43"/>
        <v>0.11632252789280709</v>
      </c>
      <c r="Z560">
        <f t="shared" si="44"/>
        <v>0.11632252789280709</v>
      </c>
    </row>
    <row r="561" spans="21:26" x14ac:dyDescent="0.3">
      <c r="U561" t="e">
        <f t="shared" si="40"/>
        <v>#N/A</v>
      </c>
      <c r="V561">
        <v>1.58</v>
      </c>
      <c r="W561">
        <f t="shared" si="41"/>
        <v>0.11450480025929236</v>
      </c>
      <c r="X561" t="e">
        <f t="shared" si="42"/>
        <v>#N/A</v>
      </c>
      <c r="Y561">
        <f t="shared" si="43"/>
        <v>0.11450480025929236</v>
      </c>
      <c r="Z561">
        <f t="shared" si="44"/>
        <v>0.11450480025929236</v>
      </c>
    </row>
    <row r="562" spans="21:26" x14ac:dyDescent="0.3">
      <c r="U562" t="e">
        <f t="shared" si="40"/>
        <v>#N/A</v>
      </c>
      <c r="V562">
        <v>1.59</v>
      </c>
      <c r="W562">
        <f t="shared" si="41"/>
        <v>0.11270420657577056</v>
      </c>
      <c r="X562" t="e">
        <f t="shared" si="42"/>
        <v>#N/A</v>
      </c>
      <c r="Y562">
        <f t="shared" si="43"/>
        <v>0.11270420657577056</v>
      </c>
      <c r="Z562">
        <f t="shared" si="44"/>
        <v>0.11270420657577056</v>
      </c>
    </row>
    <row r="563" spans="21:26" x14ac:dyDescent="0.3">
      <c r="U563" t="e">
        <f t="shared" si="40"/>
        <v>#N/A</v>
      </c>
      <c r="V563">
        <v>1.6</v>
      </c>
      <c r="W563">
        <f t="shared" si="41"/>
        <v>0.11092083467945554</v>
      </c>
      <c r="X563" t="e">
        <f t="shared" si="42"/>
        <v>#N/A</v>
      </c>
      <c r="Y563">
        <f t="shared" si="43"/>
        <v>0.11092083467945554</v>
      </c>
      <c r="Z563">
        <f t="shared" si="44"/>
        <v>0.11092083467945554</v>
      </c>
    </row>
    <row r="564" spans="21:26" x14ac:dyDescent="0.3">
      <c r="U564" t="e">
        <f t="shared" si="40"/>
        <v>#N/A</v>
      </c>
      <c r="V564">
        <v>1.61</v>
      </c>
      <c r="W564">
        <f t="shared" si="41"/>
        <v>0.10915476589664735</v>
      </c>
      <c r="X564" t="e">
        <f t="shared" si="42"/>
        <v>#N/A</v>
      </c>
      <c r="Y564">
        <f t="shared" si="43"/>
        <v>0.10915476589664735</v>
      </c>
      <c r="Z564">
        <f t="shared" si="44"/>
        <v>0.10915476589664735</v>
      </c>
    </row>
    <row r="565" spans="21:26" x14ac:dyDescent="0.3">
      <c r="U565" t="e">
        <f t="shared" si="40"/>
        <v>#N/A</v>
      </c>
      <c r="V565">
        <v>1.62</v>
      </c>
      <c r="W565">
        <f t="shared" si="41"/>
        <v>0.1074060751134838</v>
      </c>
      <c r="X565" t="e">
        <f t="shared" si="42"/>
        <v>#N/A</v>
      </c>
      <c r="Y565">
        <f t="shared" si="43"/>
        <v>0.1074060751134838</v>
      </c>
      <c r="Z565">
        <f t="shared" si="44"/>
        <v>0.1074060751134838</v>
      </c>
    </row>
    <row r="566" spans="21:26" x14ac:dyDescent="0.3">
      <c r="U566" t="e">
        <f t="shared" si="40"/>
        <v>#N/A</v>
      </c>
      <c r="V566">
        <v>1.63</v>
      </c>
      <c r="W566">
        <f t="shared" si="41"/>
        <v>0.10567483084876363</v>
      </c>
      <c r="X566" t="e">
        <f t="shared" si="42"/>
        <v>#N/A</v>
      </c>
      <c r="Y566">
        <f t="shared" si="43"/>
        <v>0.10567483084876363</v>
      </c>
      <c r="Z566">
        <f t="shared" si="44"/>
        <v>0.10567483084876363</v>
      </c>
    </row>
    <row r="567" spans="21:26" x14ac:dyDescent="0.3">
      <c r="U567" t="e">
        <f t="shared" si="40"/>
        <v>#N/A</v>
      </c>
      <c r="V567">
        <v>1.64</v>
      </c>
      <c r="W567">
        <f t="shared" si="41"/>
        <v>0.10396109532876423</v>
      </c>
      <c r="X567" t="e">
        <f t="shared" si="42"/>
        <v>#N/A</v>
      </c>
      <c r="Y567">
        <f t="shared" si="43"/>
        <v>0.10396109532876423</v>
      </c>
      <c r="Z567">
        <f t="shared" si="44"/>
        <v>0.10396109532876423</v>
      </c>
    </row>
    <row r="568" spans="21:26" x14ac:dyDescent="0.3">
      <c r="U568" t="e">
        <f t="shared" si="40"/>
        <v>#N/A</v>
      </c>
      <c r="V568">
        <v>1.65</v>
      </c>
      <c r="W568">
        <f t="shared" si="41"/>
        <v>0.10226492456397804</v>
      </c>
      <c r="X568" t="e">
        <f t="shared" si="42"/>
        <v>#N/A</v>
      </c>
      <c r="Y568">
        <f t="shared" si="43"/>
        <v>0.10226492456397804</v>
      </c>
      <c r="Z568">
        <f t="shared" si="44"/>
        <v>0.10226492456397804</v>
      </c>
    </row>
    <row r="569" spans="21:26" x14ac:dyDescent="0.3">
      <c r="U569" t="e">
        <f t="shared" si="40"/>
        <v>#N/A</v>
      </c>
      <c r="V569">
        <v>1.66</v>
      </c>
      <c r="W569">
        <f t="shared" si="41"/>
        <v>0.10058636842769057</v>
      </c>
      <c r="X569" t="e">
        <f t="shared" si="42"/>
        <v>#N/A</v>
      </c>
      <c r="Y569">
        <f t="shared" si="43"/>
        <v>0.10058636842769057</v>
      </c>
      <c r="Z569">
        <f t="shared" si="44"/>
        <v>0.10058636842769057</v>
      </c>
    </row>
    <row r="570" spans="21:26" x14ac:dyDescent="0.3">
      <c r="U570" t="e">
        <f t="shared" si="40"/>
        <v>#N/A</v>
      </c>
      <c r="V570">
        <v>1.67</v>
      </c>
      <c r="W570">
        <f t="shared" si="41"/>
        <v>9.8925470736323712E-2</v>
      </c>
      <c r="X570" t="e">
        <f t="shared" si="42"/>
        <v>#N/A</v>
      </c>
      <c r="Y570">
        <f t="shared" si="43"/>
        <v>9.8925470736323712E-2</v>
      </c>
      <c r="Z570">
        <f t="shared" si="44"/>
        <v>9.8925470736323712E-2</v>
      </c>
    </row>
    <row r="571" spans="21:26" x14ac:dyDescent="0.3">
      <c r="U571" t="e">
        <f t="shared" si="40"/>
        <v>#N/A</v>
      </c>
      <c r="V571">
        <v>1.68</v>
      </c>
      <c r="W571">
        <f t="shared" si="41"/>
        <v>9.7282269331467511E-2</v>
      </c>
      <c r="X571" t="e">
        <f t="shared" si="42"/>
        <v>#N/A</v>
      </c>
      <c r="Y571">
        <f t="shared" si="43"/>
        <v>9.7282269331467511E-2</v>
      </c>
      <c r="Z571">
        <f t="shared" si="44"/>
        <v>9.7282269331467511E-2</v>
      </c>
    </row>
    <row r="572" spans="21:26" x14ac:dyDescent="0.3">
      <c r="U572" t="e">
        <f t="shared" si="40"/>
        <v>#N/A</v>
      </c>
      <c r="V572">
        <v>1.69</v>
      </c>
      <c r="W572">
        <f t="shared" si="41"/>
        <v>9.5656796163524016E-2</v>
      </c>
      <c r="X572" t="e">
        <f t="shared" si="42"/>
        <v>#N/A</v>
      </c>
      <c r="Y572">
        <f t="shared" si="43"/>
        <v>9.5656796163524016E-2</v>
      </c>
      <c r="Z572">
        <f t="shared" si="44"/>
        <v>9.5656796163524016E-2</v>
      </c>
    </row>
    <row r="573" spans="21:26" x14ac:dyDescent="0.3">
      <c r="U573" t="e">
        <f t="shared" si="40"/>
        <v>#N/A</v>
      </c>
      <c r="V573">
        <v>1.7</v>
      </c>
      <c r="W573">
        <f t="shared" si="41"/>
        <v>9.4049077376886947E-2</v>
      </c>
      <c r="X573" t="e">
        <f t="shared" si="42"/>
        <v>#N/A</v>
      </c>
      <c r="Y573">
        <f t="shared" si="43"/>
        <v>9.4049077376886947E-2</v>
      </c>
      <c r="Z573">
        <f t="shared" si="44"/>
        <v>9.4049077376886947E-2</v>
      </c>
    </row>
    <row r="574" spans="21:26" x14ac:dyDescent="0.3">
      <c r="U574" t="e">
        <f t="shared" si="40"/>
        <v>#N/A</v>
      </c>
      <c r="V574">
        <v>1.71</v>
      </c>
      <c r="W574">
        <f t="shared" si="41"/>
        <v>9.2459133396580684E-2</v>
      </c>
      <c r="X574" t="e">
        <f t="shared" si="42"/>
        <v>#N/A</v>
      </c>
      <c r="Y574">
        <f t="shared" si="43"/>
        <v>9.2459133396580684E-2</v>
      </c>
      <c r="Z574">
        <f t="shared" si="44"/>
        <v>9.2459133396580684E-2</v>
      </c>
    </row>
    <row r="575" spans="21:26" x14ac:dyDescent="0.3">
      <c r="U575" t="e">
        <f t="shared" si="40"/>
        <v>#N/A</v>
      </c>
      <c r="V575">
        <v>1.72</v>
      </c>
      <c r="W575">
        <f t="shared" si="41"/>
        <v>9.0886979016282871E-2</v>
      </c>
      <c r="X575" t="e">
        <f t="shared" si="42"/>
        <v>#N/A</v>
      </c>
      <c r="Y575">
        <f t="shared" si="43"/>
        <v>9.0886979016282871E-2</v>
      </c>
      <c r="Z575">
        <f t="shared" si="44"/>
        <v>9.0886979016282871E-2</v>
      </c>
    </row>
    <row r="576" spans="21:26" x14ac:dyDescent="0.3">
      <c r="U576" t="e">
        <f t="shared" si="40"/>
        <v>#N/A</v>
      </c>
      <c r="V576">
        <v>1.73</v>
      </c>
      <c r="W576">
        <f t="shared" si="41"/>
        <v>8.9332623487655E-2</v>
      </c>
      <c r="X576" t="e">
        <f t="shared" si="42"/>
        <v>#N/A</v>
      </c>
      <c r="Y576">
        <f t="shared" si="43"/>
        <v>8.9332623487655E-2</v>
      </c>
      <c r="Z576">
        <f t="shared" si="44"/>
        <v>8.9332623487655E-2</v>
      </c>
    </row>
    <row r="577" spans="21:26" x14ac:dyDescent="0.3">
      <c r="U577" t="e">
        <f t="shared" si="40"/>
        <v>#N/A</v>
      </c>
      <c r="V577">
        <v>1.74</v>
      </c>
      <c r="W577">
        <f t="shared" si="41"/>
        <v>8.7796070610905622E-2</v>
      </c>
      <c r="X577" t="e">
        <f t="shared" si="42"/>
        <v>#N/A</v>
      </c>
      <c r="Y577">
        <f t="shared" si="43"/>
        <v>8.7796070610905622E-2</v>
      </c>
      <c r="Z577">
        <f t="shared" si="44"/>
        <v>8.7796070610905622E-2</v>
      </c>
    </row>
    <row r="578" spans="21:26" x14ac:dyDescent="0.3">
      <c r="U578" t="e">
        <f t="shared" si="40"/>
        <v>#N/A</v>
      </c>
      <c r="V578">
        <v>1.75</v>
      </c>
      <c r="W578">
        <f t="shared" si="41"/>
        <v>8.6277318826511532E-2</v>
      </c>
      <c r="X578" t="e">
        <f t="shared" si="42"/>
        <v>#N/A</v>
      </c>
      <c r="Y578">
        <f t="shared" si="43"/>
        <v>8.6277318826511532E-2</v>
      </c>
      <c r="Z578">
        <f t="shared" si="44"/>
        <v>8.6277318826511532E-2</v>
      </c>
    </row>
    <row r="579" spans="21:26" x14ac:dyDescent="0.3">
      <c r="U579" t="e">
        <f t="shared" si="40"/>
        <v>#N/A</v>
      </c>
      <c r="V579">
        <v>1.76</v>
      </c>
      <c r="W579">
        <f t="shared" si="41"/>
        <v>8.4776361308022227E-2</v>
      </c>
      <c r="X579" t="e">
        <f t="shared" si="42"/>
        <v>#N/A</v>
      </c>
      <c r="Y579">
        <f t="shared" si="43"/>
        <v>8.4776361308022227E-2</v>
      </c>
      <c r="Z579">
        <f t="shared" si="44"/>
        <v>8.4776361308022227E-2</v>
      </c>
    </row>
    <row r="580" spans="21:26" x14ac:dyDescent="0.3">
      <c r="U580" t="e">
        <f t="shared" ref="U580:U643" si="45">IF($A$2=ABS(V580),0,NA())</f>
        <v>#N/A</v>
      </c>
      <c r="V580">
        <v>1.77</v>
      </c>
      <c r="W580">
        <f t="shared" ref="W580:W643" si="46">_xlfn.NORM.S.DIST(V580,0)</f>
        <v>8.3293186055874463E-2</v>
      </c>
      <c r="X580" t="e">
        <f t="shared" ref="X580:X643" si="47">IF(ABS(V580)=$A$2,W580,NA())</f>
        <v>#N/A</v>
      </c>
      <c r="Y580">
        <f t="shared" ref="Y580:Y643" si="48">IF(V580&lt;=$A$2,W580,NA())</f>
        <v>8.3293186055874463E-2</v>
      </c>
      <c r="Z580">
        <f t="shared" ref="Z580:Z643" si="49">IF(ABS(V580)&lt;=$A$2,W580,NA())</f>
        <v>8.3293186055874463E-2</v>
      </c>
    </row>
    <row r="581" spans="21:26" x14ac:dyDescent="0.3">
      <c r="U581" t="e">
        <f t="shared" si="45"/>
        <v>#N/A</v>
      </c>
      <c r="V581">
        <v>1.78</v>
      </c>
      <c r="W581">
        <f t="shared" si="46"/>
        <v>8.1827775992142804E-2</v>
      </c>
      <c r="X581" t="e">
        <f t="shared" si="47"/>
        <v>#N/A</v>
      </c>
      <c r="Y581">
        <f t="shared" si="48"/>
        <v>8.1827775992142804E-2</v>
      </c>
      <c r="Z581">
        <f t="shared" si="49"/>
        <v>8.1827775992142804E-2</v>
      </c>
    </row>
    <row r="582" spans="21:26" x14ac:dyDescent="0.3">
      <c r="U582" t="e">
        <f t="shared" si="45"/>
        <v>#N/A</v>
      </c>
      <c r="V582">
        <v>1.79</v>
      </c>
      <c r="W582">
        <f t="shared" si="46"/>
        <v>8.038010905615417E-2</v>
      </c>
      <c r="X582" t="e">
        <f t="shared" si="47"/>
        <v>#N/A</v>
      </c>
      <c r="Y582">
        <f t="shared" si="48"/>
        <v>8.038010905615417E-2</v>
      </c>
      <c r="Z582">
        <f t="shared" si="49"/>
        <v>8.038010905615417E-2</v>
      </c>
    </row>
    <row r="583" spans="21:26" x14ac:dyDescent="0.3">
      <c r="U583" t="e">
        <f t="shared" si="45"/>
        <v>#N/A</v>
      </c>
      <c r="V583">
        <v>1.8</v>
      </c>
      <c r="W583">
        <f t="shared" si="46"/>
        <v>7.8950158300894149E-2</v>
      </c>
      <c r="X583" t="e">
        <f t="shared" si="47"/>
        <v>#N/A</v>
      </c>
      <c r="Y583">
        <f t="shared" si="48"/>
        <v>7.8950158300894149E-2</v>
      </c>
      <c r="Z583">
        <f t="shared" si="49"/>
        <v>7.8950158300894149E-2</v>
      </c>
    </row>
    <row r="584" spans="21:26" x14ac:dyDescent="0.3">
      <c r="U584" t="e">
        <f t="shared" si="45"/>
        <v>#N/A</v>
      </c>
      <c r="V584">
        <v>1.81</v>
      </c>
      <c r="W584">
        <f t="shared" si="46"/>
        <v>7.7537891990133986E-2</v>
      </c>
      <c r="X584" t="e">
        <f t="shared" si="47"/>
        <v>#N/A</v>
      </c>
      <c r="Y584">
        <f t="shared" si="48"/>
        <v>7.7537891990133986E-2</v>
      </c>
      <c r="Z584">
        <f t="shared" si="49"/>
        <v>7.7537891990133986E-2</v>
      </c>
    </row>
    <row r="585" spans="21:26" x14ac:dyDescent="0.3">
      <c r="U585" t="e">
        <f t="shared" si="45"/>
        <v>#N/A</v>
      </c>
      <c r="V585">
        <v>1.82</v>
      </c>
      <c r="W585">
        <f t="shared" si="46"/>
        <v>7.6143273696207311E-2</v>
      </c>
      <c r="X585" t="e">
        <f t="shared" si="47"/>
        <v>#N/A</v>
      </c>
      <c r="Y585">
        <f t="shared" si="48"/>
        <v>7.6143273696207311E-2</v>
      </c>
      <c r="Z585">
        <f t="shared" si="49"/>
        <v>7.6143273696207311E-2</v>
      </c>
    </row>
    <row r="586" spans="21:26" x14ac:dyDescent="0.3">
      <c r="U586" t="e">
        <f t="shared" si="45"/>
        <v>#N/A</v>
      </c>
      <c r="V586">
        <v>1.83</v>
      </c>
      <c r="W586">
        <f t="shared" si="46"/>
        <v>7.4766262398367603E-2</v>
      </c>
      <c r="X586" t="e">
        <f t="shared" si="47"/>
        <v>#N/A</v>
      </c>
      <c r="Y586">
        <f t="shared" si="48"/>
        <v>7.4766262398367603E-2</v>
      </c>
      <c r="Z586">
        <f t="shared" si="49"/>
        <v>7.4766262398367603E-2</v>
      </c>
    </row>
    <row r="587" spans="21:26" x14ac:dyDescent="0.3">
      <c r="U587" t="e">
        <f t="shared" si="45"/>
        <v>#N/A</v>
      </c>
      <c r="V587">
        <v>1.84</v>
      </c>
      <c r="W587">
        <f t="shared" si="46"/>
        <v>7.3406812581656891E-2</v>
      </c>
      <c r="X587" t="e">
        <f t="shared" si="47"/>
        <v>#N/A</v>
      </c>
      <c r="Y587">
        <f t="shared" si="48"/>
        <v>7.3406812581656891E-2</v>
      </c>
      <c r="Z587">
        <f t="shared" si="49"/>
        <v>7.3406812581656891E-2</v>
      </c>
    </row>
    <row r="588" spans="21:26" x14ac:dyDescent="0.3">
      <c r="U588" t="e">
        <f t="shared" si="45"/>
        <v>#N/A</v>
      </c>
      <c r="V588">
        <v>1.85</v>
      </c>
      <c r="W588">
        <f t="shared" si="46"/>
        <v>7.2064874336217985E-2</v>
      </c>
      <c r="X588" t="e">
        <f t="shared" si="47"/>
        <v>#N/A</v>
      </c>
      <c r="Y588">
        <f t="shared" si="48"/>
        <v>7.2064874336217985E-2</v>
      </c>
      <c r="Z588">
        <f t="shared" si="49"/>
        <v>7.2064874336217985E-2</v>
      </c>
    </row>
    <row r="589" spans="21:26" x14ac:dyDescent="0.3">
      <c r="U589" t="e">
        <f t="shared" si="45"/>
        <v>#N/A</v>
      </c>
      <c r="V589">
        <v>1.86</v>
      </c>
      <c r="W589">
        <f t="shared" si="46"/>
        <v>7.074039345698338E-2</v>
      </c>
      <c r="X589" t="e">
        <f t="shared" si="47"/>
        <v>#N/A</v>
      </c>
      <c r="Y589">
        <f t="shared" si="48"/>
        <v>7.074039345698338E-2</v>
      </c>
      <c r="Z589">
        <f t="shared" si="49"/>
        <v>7.074039345698338E-2</v>
      </c>
    </row>
    <row r="590" spans="21:26" x14ac:dyDescent="0.3">
      <c r="U590" t="e">
        <f t="shared" si="45"/>
        <v>#N/A</v>
      </c>
      <c r="V590">
        <v>1.87</v>
      </c>
      <c r="W590">
        <f t="shared" si="46"/>
        <v>6.9433311543674187E-2</v>
      </c>
      <c r="X590" t="e">
        <f t="shared" si="47"/>
        <v>#N/A</v>
      </c>
      <c r="Y590">
        <f t="shared" si="48"/>
        <v>6.9433311543674187E-2</v>
      </c>
      <c r="Z590">
        <f t="shared" si="49"/>
        <v>6.9433311543674187E-2</v>
      </c>
    </row>
    <row r="591" spans="21:26" x14ac:dyDescent="0.3">
      <c r="U591" t="e">
        <f t="shared" si="45"/>
        <v>#N/A</v>
      </c>
      <c r="V591">
        <v>1.88</v>
      </c>
      <c r="W591">
        <f t="shared" si="46"/>
        <v>6.8143566101044578E-2</v>
      </c>
      <c r="X591" t="e">
        <f t="shared" si="47"/>
        <v>#N/A</v>
      </c>
      <c r="Y591">
        <f t="shared" si="48"/>
        <v>6.8143566101044578E-2</v>
      </c>
      <c r="Z591">
        <f t="shared" si="49"/>
        <v>6.8143566101044578E-2</v>
      </c>
    </row>
    <row r="592" spans="21:26" x14ac:dyDescent="0.3">
      <c r="U592" t="e">
        <f t="shared" si="45"/>
        <v>#N/A</v>
      </c>
      <c r="V592">
        <v>1.89</v>
      </c>
      <c r="W592">
        <f t="shared" si="46"/>
        <v>6.6871090639307157E-2</v>
      </c>
      <c r="X592" t="e">
        <f t="shared" si="47"/>
        <v>#N/A</v>
      </c>
      <c r="Y592">
        <f t="shared" si="48"/>
        <v>6.6871090639307157E-2</v>
      </c>
      <c r="Z592">
        <f t="shared" si="49"/>
        <v>6.6871090639307157E-2</v>
      </c>
    </row>
    <row r="593" spans="21:26" x14ac:dyDescent="0.3">
      <c r="U593" t="e">
        <f t="shared" si="45"/>
        <v>#N/A</v>
      </c>
      <c r="V593">
        <v>1.9</v>
      </c>
      <c r="W593">
        <f t="shared" si="46"/>
        <v>6.5615814774676595E-2</v>
      </c>
      <c r="X593" t="e">
        <f t="shared" si="47"/>
        <v>#N/A</v>
      </c>
      <c r="Y593">
        <f t="shared" si="48"/>
        <v>6.5615814774676595E-2</v>
      </c>
      <c r="Z593">
        <f t="shared" si="49"/>
        <v>6.5615814774676595E-2</v>
      </c>
    </row>
    <row r="594" spans="21:26" x14ac:dyDescent="0.3">
      <c r="U594" t="e">
        <f t="shared" si="45"/>
        <v>#N/A</v>
      </c>
      <c r="V594">
        <v>1.91</v>
      </c>
      <c r="W594">
        <f t="shared" si="46"/>
        <v>6.4377664329969359E-2</v>
      </c>
      <c r="X594" t="e">
        <f t="shared" si="47"/>
        <v>#N/A</v>
      </c>
      <c r="Y594">
        <f t="shared" si="48"/>
        <v>6.4377664329969359E-2</v>
      </c>
      <c r="Z594">
        <f t="shared" si="49"/>
        <v>6.4377664329969359E-2</v>
      </c>
    </row>
    <row r="595" spans="21:26" x14ac:dyDescent="0.3">
      <c r="U595" t="e">
        <f t="shared" si="45"/>
        <v>#N/A</v>
      </c>
      <c r="V595">
        <v>1.92</v>
      </c>
      <c r="W595">
        <f t="shared" si="46"/>
        <v>6.3156561435198655E-2</v>
      </c>
      <c r="X595" t="e">
        <f t="shared" si="47"/>
        <v>#N/A</v>
      </c>
      <c r="Y595">
        <f t="shared" si="48"/>
        <v>6.3156561435198655E-2</v>
      </c>
      <c r="Z595">
        <f t="shared" si="49"/>
        <v>6.3156561435198655E-2</v>
      </c>
    </row>
    <row r="596" spans="21:26" x14ac:dyDescent="0.3">
      <c r="U596" t="e">
        <f t="shared" si="45"/>
        <v>#N/A</v>
      </c>
      <c r="V596">
        <v>1.93</v>
      </c>
      <c r="W596">
        <f t="shared" si="46"/>
        <v>6.1952424628105164E-2</v>
      </c>
      <c r="X596" t="e">
        <f t="shared" si="47"/>
        <v>#N/A</v>
      </c>
      <c r="Y596">
        <f t="shared" si="48"/>
        <v>6.1952424628105164E-2</v>
      </c>
      <c r="Z596">
        <f t="shared" si="49"/>
        <v>6.1952424628105164E-2</v>
      </c>
    </row>
    <row r="597" spans="21:26" x14ac:dyDescent="0.3">
      <c r="U597" t="e">
        <f t="shared" si="45"/>
        <v>#N/A</v>
      </c>
      <c r="V597">
        <v>1.94</v>
      </c>
      <c r="W597">
        <f t="shared" si="46"/>
        <v>6.0765168954564776E-2</v>
      </c>
      <c r="X597" t="e">
        <f t="shared" si="47"/>
        <v>#N/A</v>
      </c>
      <c r="Y597">
        <f t="shared" si="48"/>
        <v>6.0765168954564776E-2</v>
      </c>
      <c r="Z597">
        <f t="shared" si="49"/>
        <v>6.0765168954564776E-2</v>
      </c>
    </row>
    <row r="598" spans="21:26" x14ac:dyDescent="0.3">
      <c r="U598" t="e">
        <f t="shared" si="45"/>
        <v>#N/A</v>
      </c>
      <c r="V598">
        <v>1.95</v>
      </c>
      <c r="W598">
        <f t="shared" si="46"/>
        <v>5.9594706068816075E-2</v>
      </c>
      <c r="X598" t="e">
        <f t="shared" si="47"/>
        <v>#N/A</v>
      </c>
      <c r="Y598">
        <f t="shared" si="48"/>
        <v>5.9594706068816075E-2</v>
      </c>
      <c r="Z598">
        <f t="shared" si="49"/>
        <v>5.9594706068816075E-2</v>
      </c>
    </row>
    <row r="599" spans="21:26" x14ac:dyDescent="0.3">
      <c r="U599" t="e">
        <f t="shared" si="45"/>
        <v>#N/A</v>
      </c>
      <c r="V599">
        <v>1.96</v>
      </c>
      <c r="W599">
        <f t="shared" si="46"/>
        <v>5.8440944333451469E-2</v>
      </c>
      <c r="X599" t="e">
        <f t="shared" si="47"/>
        <v>#N/A</v>
      </c>
      <c r="Y599">
        <f t="shared" si="48"/>
        <v>5.8440944333451469E-2</v>
      </c>
      <c r="Z599">
        <f t="shared" si="49"/>
        <v>5.8440944333451469E-2</v>
      </c>
    </row>
    <row r="600" spans="21:26" x14ac:dyDescent="0.3">
      <c r="U600" t="e">
        <f t="shared" si="45"/>
        <v>#N/A</v>
      </c>
      <c r="V600">
        <v>1.97</v>
      </c>
      <c r="W600">
        <f t="shared" si="46"/>
        <v>5.7303788919117131E-2</v>
      </c>
      <c r="X600" t="e">
        <f t="shared" si="47"/>
        <v>#N/A</v>
      </c>
      <c r="Y600">
        <f t="shared" si="48"/>
        <v>5.7303788919117131E-2</v>
      </c>
      <c r="Z600">
        <f t="shared" si="49"/>
        <v>5.7303788919117131E-2</v>
      </c>
    </row>
    <row r="601" spans="21:26" x14ac:dyDescent="0.3">
      <c r="U601" t="e">
        <f t="shared" si="45"/>
        <v>#N/A</v>
      </c>
      <c r="V601">
        <v>1.98</v>
      </c>
      <c r="W601">
        <f t="shared" si="46"/>
        <v>5.6183141903868049E-2</v>
      </c>
      <c r="X601" t="e">
        <f t="shared" si="47"/>
        <v>#N/A</v>
      </c>
      <c r="Y601">
        <f t="shared" si="48"/>
        <v>5.6183141903868049E-2</v>
      </c>
      <c r="Z601">
        <f t="shared" si="49"/>
        <v>5.6183141903868049E-2</v>
      </c>
    </row>
    <row r="602" spans="21:26" x14ac:dyDescent="0.3">
      <c r="U602" t="e">
        <f t="shared" si="45"/>
        <v>#N/A</v>
      </c>
      <c r="V602">
        <v>1.99</v>
      </c>
      <c r="W602">
        <f t="shared" si="46"/>
        <v>5.5078902372125767E-2</v>
      </c>
      <c r="X602" t="e">
        <f t="shared" si="47"/>
        <v>#N/A</v>
      </c>
      <c r="Y602">
        <f t="shared" si="48"/>
        <v>5.5078902372125767E-2</v>
      </c>
      <c r="Z602">
        <f t="shared" si="49"/>
        <v>5.5078902372125767E-2</v>
      </c>
    </row>
    <row r="603" spans="21:26" x14ac:dyDescent="0.3">
      <c r="U603">
        <f t="shared" si="45"/>
        <v>0</v>
      </c>
      <c r="V603">
        <v>2</v>
      </c>
      <c r="W603">
        <f t="shared" si="46"/>
        <v>5.3990966513188063E-2</v>
      </c>
      <c r="X603">
        <f t="shared" si="47"/>
        <v>5.3990966513188063E-2</v>
      </c>
      <c r="Y603">
        <f t="shared" si="48"/>
        <v>5.3990966513188063E-2</v>
      </c>
      <c r="Z603">
        <f t="shared" si="49"/>
        <v>5.3990966513188063E-2</v>
      </c>
    </row>
    <row r="604" spans="21:26" x14ac:dyDescent="0.3">
      <c r="U604" t="e">
        <f t="shared" si="45"/>
        <v>#N/A</v>
      </c>
      <c r="V604">
        <v>2.0099999999999998</v>
      </c>
      <c r="W604">
        <f t="shared" si="46"/>
        <v>5.2919227719240312E-2</v>
      </c>
      <c r="X604" t="e">
        <f t="shared" si="47"/>
        <v>#N/A</v>
      </c>
      <c r="Y604" t="e">
        <f t="shared" si="48"/>
        <v>#N/A</v>
      </c>
      <c r="Z604" t="e">
        <f t="shared" si="49"/>
        <v>#N/A</v>
      </c>
    </row>
    <row r="605" spans="21:26" x14ac:dyDescent="0.3">
      <c r="U605" t="e">
        <f t="shared" si="45"/>
        <v>#N/A</v>
      </c>
      <c r="V605">
        <v>2.02</v>
      </c>
      <c r="W605">
        <f t="shared" si="46"/>
        <v>5.1863576682820565E-2</v>
      </c>
      <c r="X605" t="e">
        <f t="shared" si="47"/>
        <v>#N/A</v>
      </c>
      <c r="Y605" t="e">
        <f t="shared" si="48"/>
        <v>#N/A</v>
      </c>
      <c r="Z605" t="e">
        <f t="shared" si="49"/>
        <v>#N/A</v>
      </c>
    </row>
    <row r="606" spans="21:26" x14ac:dyDescent="0.3">
      <c r="U606" t="e">
        <f t="shared" si="45"/>
        <v>#N/A</v>
      </c>
      <c r="V606">
        <v>2.0299999999999998</v>
      </c>
      <c r="W606">
        <f t="shared" si="46"/>
        <v>5.0823901493691204E-2</v>
      </c>
      <c r="X606" t="e">
        <f t="shared" si="47"/>
        <v>#N/A</v>
      </c>
      <c r="Y606" t="e">
        <f t="shared" si="48"/>
        <v>#N/A</v>
      </c>
      <c r="Z606" t="e">
        <f t="shared" si="49"/>
        <v>#N/A</v>
      </c>
    </row>
    <row r="607" spans="21:26" x14ac:dyDescent="0.3">
      <c r="U607" t="e">
        <f t="shared" si="45"/>
        <v>#N/A</v>
      </c>
      <c r="V607">
        <v>2.04</v>
      </c>
      <c r="W607">
        <f t="shared" si="46"/>
        <v>4.9800087735070775E-2</v>
      </c>
      <c r="X607" t="e">
        <f t="shared" si="47"/>
        <v>#N/A</v>
      </c>
      <c r="Y607" t="e">
        <f t="shared" si="48"/>
        <v>#N/A</v>
      </c>
      <c r="Z607" t="e">
        <f t="shared" si="49"/>
        <v>#N/A</v>
      </c>
    </row>
    <row r="608" spans="21:26" x14ac:dyDescent="0.3">
      <c r="U608" t="e">
        <f t="shared" si="45"/>
        <v>#N/A</v>
      </c>
      <c r="V608">
        <v>2.0499999999999998</v>
      </c>
      <c r="W608">
        <f t="shared" si="46"/>
        <v>4.8792018579182764E-2</v>
      </c>
      <c r="X608" t="e">
        <f t="shared" si="47"/>
        <v>#N/A</v>
      </c>
      <c r="Y608" t="e">
        <f t="shared" si="48"/>
        <v>#N/A</v>
      </c>
      <c r="Z608" t="e">
        <f t="shared" si="49"/>
        <v>#N/A</v>
      </c>
    </row>
    <row r="609" spans="21:26" x14ac:dyDescent="0.3">
      <c r="U609" t="e">
        <f t="shared" si="45"/>
        <v>#N/A</v>
      </c>
      <c r="V609">
        <v>2.06</v>
      </c>
      <c r="W609">
        <f t="shared" si="46"/>
        <v>4.7799574882077034E-2</v>
      </c>
      <c r="X609" t="e">
        <f t="shared" si="47"/>
        <v>#N/A</v>
      </c>
      <c r="Y609" t="e">
        <f t="shared" si="48"/>
        <v>#N/A</v>
      </c>
      <c r="Z609" t="e">
        <f t="shared" si="49"/>
        <v>#N/A</v>
      </c>
    </row>
    <row r="610" spans="21:26" x14ac:dyDescent="0.3">
      <c r="U610" t="e">
        <f t="shared" si="45"/>
        <v>#N/A</v>
      </c>
      <c r="V610">
        <v>2.0699999999999998</v>
      </c>
      <c r="W610">
        <f t="shared" si="46"/>
        <v>4.6822635277683163E-2</v>
      </c>
      <c r="X610" t="e">
        <f t="shared" si="47"/>
        <v>#N/A</v>
      </c>
      <c r="Y610" t="e">
        <f t="shared" si="48"/>
        <v>#N/A</v>
      </c>
      <c r="Z610" t="e">
        <f t="shared" si="49"/>
        <v>#N/A</v>
      </c>
    </row>
    <row r="611" spans="21:26" x14ac:dyDescent="0.3">
      <c r="U611" t="e">
        <f t="shared" si="45"/>
        <v>#N/A</v>
      </c>
      <c r="V611">
        <v>2.08</v>
      </c>
      <c r="W611">
        <f t="shared" si="46"/>
        <v>4.5861076271054887E-2</v>
      </c>
      <c r="X611" t="e">
        <f t="shared" si="47"/>
        <v>#N/A</v>
      </c>
      <c r="Y611" t="e">
        <f t="shared" si="48"/>
        <v>#N/A</v>
      </c>
      <c r="Z611" t="e">
        <f t="shared" si="49"/>
        <v>#N/A</v>
      </c>
    </row>
    <row r="612" spans="21:26" x14ac:dyDescent="0.3">
      <c r="U612" t="e">
        <f t="shared" si="45"/>
        <v>#N/A</v>
      </c>
      <c r="V612">
        <v>2.09</v>
      </c>
      <c r="W612">
        <f t="shared" si="46"/>
        <v>4.49147723307671E-2</v>
      </c>
      <c r="X612" t="e">
        <f t="shared" si="47"/>
        <v>#N/A</v>
      </c>
      <c r="Y612" t="e">
        <f t="shared" si="48"/>
        <v>#N/A</v>
      </c>
      <c r="Z612" t="e">
        <f t="shared" si="49"/>
        <v>#N/A</v>
      </c>
    </row>
    <row r="613" spans="21:26" x14ac:dyDescent="0.3">
      <c r="U613" t="e">
        <f t="shared" si="45"/>
        <v>#N/A</v>
      </c>
      <c r="V613">
        <v>2.1</v>
      </c>
      <c r="W613">
        <f t="shared" si="46"/>
        <v>4.3983595980427191E-2</v>
      </c>
      <c r="X613" t="e">
        <f t="shared" si="47"/>
        <v>#N/A</v>
      </c>
      <c r="Y613" t="e">
        <f t="shared" si="48"/>
        <v>#N/A</v>
      </c>
      <c r="Z613" t="e">
        <f t="shared" si="49"/>
        <v>#N/A</v>
      </c>
    </row>
    <row r="614" spans="21:26" x14ac:dyDescent="0.3">
      <c r="U614" t="e">
        <f t="shared" si="45"/>
        <v>#N/A</v>
      </c>
      <c r="V614">
        <v>2.11</v>
      </c>
      <c r="W614">
        <f t="shared" si="46"/>
        <v>4.3067417889265734E-2</v>
      </c>
      <c r="X614" t="e">
        <f t="shared" si="47"/>
        <v>#N/A</v>
      </c>
      <c r="Y614" t="e">
        <f t="shared" si="48"/>
        <v>#N/A</v>
      </c>
      <c r="Z614" t="e">
        <f t="shared" si="49"/>
        <v>#N/A</v>
      </c>
    </row>
    <row r="615" spans="21:26" x14ac:dyDescent="0.3">
      <c r="U615" t="e">
        <f t="shared" si="45"/>
        <v>#N/A</v>
      </c>
      <c r="V615">
        <v>2.12</v>
      </c>
      <c r="W615">
        <f t="shared" si="46"/>
        <v>4.2166106961770311E-2</v>
      </c>
      <c r="X615" t="e">
        <f t="shared" si="47"/>
        <v>#N/A</v>
      </c>
      <c r="Y615" t="e">
        <f t="shared" si="48"/>
        <v>#N/A</v>
      </c>
      <c r="Z615" t="e">
        <f t="shared" si="49"/>
        <v>#N/A</v>
      </c>
    </row>
    <row r="616" spans="21:26" x14ac:dyDescent="0.3">
      <c r="U616" t="e">
        <f t="shared" si="45"/>
        <v>#N/A</v>
      </c>
      <c r="V616">
        <v>2.13</v>
      </c>
      <c r="W616">
        <f t="shared" si="46"/>
        <v>4.1279530426330417E-2</v>
      </c>
      <c r="X616" t="e">
        <f t="shared" si="47"/>
        <v>#N/A</v>
      </c>
      <c r="Y616" t="e">
        <f t="shared" si="48"/>
        <v>#N/A</v>
      </c>
      <c r="Z616" t="e">
        <f t="shared" si="49"/>
        <v>#N/A</v>
      </c>
    </row>
    <row r="617" spans="21:26" x14ac:dyDescent="0.3">
      <c r="U617" t="e">
        <f t="shared" si="45"/>
        <v>#N/A</v>
      </c>
      <c r="V617">
        <v>2.14</v>
      </c>
      <c r="W617">
        <f t="shared" si="46"/>
        <v>4.0407553922860308E-2</v>
      </c>
      <c r="X617" t="e">
        <f t="shared" si="47"/>
        <v>#N/A</v>
      </c>
      <c r="Y617" t="e">
        <f t="shared" si="48"/>
        <v>#N/A</v>
      </c>
      <c r="Z617" t="e">
        <f t="shared" si="49"/>
        <v>#N/A</v>
      </c>
    </row>
    <row r="618" spans="21:26" x14ac:dyDescent="0.3">
      <c r="U618" t="e">
        <f t="shared" si="45"/>
        <v>#N/A</v>
      </c>
      <c r="V618">
        <v>2.15</v>
      </c>
      <c r="W618">
        <f t="shared" si="46"/>
        <v>3.955004158937022E-2</v>
      </c>
      <c r="X618" t="e">
        <f t="shared" si="47"/>
        <v>#N/A</v>
      </c>
      <c r="Y618" t="e">
        <f t="shared" si="48"/>
        <v>#N/A</v>
      </c>
      <c r="Z618" t="e">
        <f t="shared" si="49"/>
        <v>#N/A</v>
      </c>
    </row>
    <row r="619" spans="21:26" x14ac:dyDescent="0.3">
      <c r="U619" t="e">
        <f t="shared" si="45"/>
        <v>#N/A</v>
      </c>
      <c r="V619">
        <v>2.16</v>
      </c>
      <c r="W619">
        <f t="shared" si="46"/>
        <v>3.8706856147455608E-2</v>
      </c>
      <c r="X619" t="e">
        <f t="shared" si="47"/>
        <v>#N/A</v>
      </c>
      <c r="Y619" t="e">
        <f t="shared" si="48"/>
        <v>#N/A</v>
      </c>
      <c r="Z619" t="e">
        <f t="shared" si="49"/>
        <v>#N/A</v>
      </c>
    </row>
    <row r="620" spans="21:26" x14ac:dyDescent="0.3">
      <c r="U620" t="e">
        <f t="shared" si="45"/>
        <v>#N/A</v>
      </c>
      <c r="V620">
        <v>2.17</v>
      </c>
      <c r="W620">
        <f t="shared" si="46"/>
        <v>3.7877858986677483E-2</v>
      </c>
      <c r="X620" t="e">
        <f t="shared" si="47"/>
        <v>#N/A</v>
      </c>
      <c r="Y620" t="e">
        <f t="shared" si="48"/>
        <v>#N/A</v>
      </c>
      <c r="Z620" t="e">
        <f t="shared" si="49"/>
        <v>#N/A</v>
      </c>
    </row>
    <row r="621" spans="21:26" x14ac:dyDescent="0.3">
      <c r="U621" t="e">
        <f t="shared" si="45"/>
        <v>#N/A</v>
      </c>
      <c r="V621">
        <v>2.1800000000000002</v>
      </c>
      <c r="W621">
        <f t="shared" si="46"/>
        <v>3.7062910247806474E-2</v>
      </c>
      <c r="X621" t="e">
        <f t="shared" si="47"/>
        <v>#N/A</v>
      </c>
      <c r="Y621" t="e">
        <f t="shared" si="48"/>
        <v>#N/A</v>
      </c>
      <c r="Z621" t="e">
        <f t="shared" si="49"/>
        <v>#N/A</v>
      </c>
    </row>
    <row r="622" spans="21:26" x14ac:dyDescent="0.3">
      <c r="U622" t="e">
        <f t="shared" si="45"/>
        <v>#N/A</v>
      </c>
      <c r="V622">
        <v>2.19</v>
      </c>
      <c r="W622">
        <f t="shared" si="46"/>
        <v>3.6261868904906222E-2</v>
      </c>
      <c r="X622" t="e">
        <f t="shared" si="47"/>
        <v>#N/A</v>
      </c>
      <c r="Y622" t="e">
        <f t="shared" si="48"/>
        <v>#N/A</v>
      </c>
      <c r="Z622" t="e">
        <f t="shared" si="49"/>
        <v>#N/A</v>
      </c>
    </row>
    <row r="623" spans="21:26" x14ac:dyDescent="0.3">
      <c r="U623" t="e">
        <f t="shared" si="45"/>
        <v>#N/A</v>
      </c>
      <c r="V623">
        <v>2.2000000000000002</v>
      </c>
      <c r="W623">
        <f t="shared" si="46"/>
        <v>3.5474592846231424E-2</v>
      </c>
      <c r="X623" t="e">
        <f t="shared" si="47"/>
        <v>#N/A</v>
      </c>
      <c r="Y623" t="e">
        <f t="shared" si="48"/>
        <v>#N/A</v>
      </c>
      <c r="Z623" t="e">
        <f t="shared" si="49"/>
        <v>#N/A</v>
      </c>
    </row>
    <row r="624" spans="21:26" x14ac:dyDescent="0.3">
      <c r="U624" t="e">
        <f t="shared" si="45"/>
        <v>#N/A</v>
      </c>
      <c r="V624">
        <v>2.21</v>
      </c>
      <c r="W624">
        <f t="shared" si="46"/>
        <v>3.470093895391882E-2</v>
      </c>
      <c r="X624" t="e">
        <f t="shared" si="47"/>
        <v>#N/A</v>
      </c>
      <c r="Y624" t="e">
        <f t="shared" si="48"/>
        <v>#N/A</v>
      </c>
      <c r="Z624" t="e">
        <f t="shared" si="49"/>
        <v>#N/A</v>
      </c>
    </row>
    <row r="625" spans="21:26" x14ac:dyDescent="0.3">
      <c r="U625" t="e">
        <f t="shared" si="45"/>
        <v>#N/A</v>
      </c>
      <c r="V625">
        <v>2.2200000000000002</v>
      </c>
      <c r="W625">
        <f t="shared" si="46"/>
        <v>3.3940763182449186E-2</v>
      </c>
      <c r="X625" t="e">
        <f t="shared" si="47"/>
        <v>#N/A</v>
      </c>
      <c r="Y625" t="e">
        <f t="shared" si="48"/>
        <v>#N/A</v>
      </c>
      <c r="Z625" t="e">
        <f t="shared" si="49"/>
        <v>#N/A</v>
      </c>
    </row>
    <row r="626" spans="21:26" x14ac:dyDescent="0.3">
      <c r="U626" t="e">
        <f t="shared" si="45"/>
        <v>#N/A</v>
      </c>
      <c r="V626">
        <v>2.23</v>
      </c>
      <c r="W626">
        <f t="shared" si="46"/>
        <v>3.3193920635861122E-2</v>
      </c>
      <c r="X626" t="e">
        <f t="shared" si="47"/>
        <v>#N/A</v>
      </c>
      <c r="Y626" t="e">
        <f t="shared" si="48"/>
        <v>#N/A</v>
      </c>
      <c r="Z626" t="e">
        <f t="shared" si="49"/>
        <v>#N/A</v>
      </c>
    </row>
    <row r="627" spans="21:26" x14ac:dyDescent="0.3">
      <c r="U627" t="e">
        <f t="shared" si="45"/>
        <v>#N/A</v>
      </c>
      <c r="V627">
        <v>2.2400000000000002</v>
      </c>
      <c r="W627">
        <f t="shared" si="46"/>
        <v>3.2460265643697445E-2</v>
      </c>
      <c r="X627" t="e">
        <f t="shared" si="47"/>
        <v>#N/A</v>
      </c>
      <c r="Y627" t="e">
        <f t="shared" si="48"/>
        <v>#N/A</v>
      </c>
      <c r="Z627" t="e">
        <f t="shared" si="49"/>
        <v>#N/A</v>
      </c>
    </row>
    <row r="628" spans="21:26" x14ac:dyDescent="0.3">
      <c r="U628" t="e">
        <f t="shared" si="45"/>
        <v>#N/A</v>
      </c>
      <c r="V628">
        <v>2.25</v>
      </c>
      <c r="W628">
        <f t="shared" si="46"/>
        <v>3.1739651835667418E-2</v>
      </c>
      <c r="X628" t="e">
        <f t="shared" si="47"/>
        <v>#N/A</v>
      </c>
      <c r="Y628" t="e">
        <f t="shared" si="48"/>
        <v>#N/A</v>
      </c>
      <c r="Z628" t="e">
        <f t="shared" si="49"/>
        <v>#N/A</v>
      </c>
    </row>
    <row r="629" spans="21:26" x14ac:dyDescent="0.3">
      <c r="U629" t="e">
        <f t="shared" si="45"/>
        <v>#N/A</v>
      </c>
      <c r="V629">
        <v>2.2599999999999998</v>
      </c>
      <c r="W629">
        <f t="shared" si="46"/>
        <v>3.103193221500827E-2</v>
      </c>
      <c r="X629" t="e">
        <f t="shared" si="47"/>
        <v>#N/A</v>
      </c>
      <c r="Y629" t="e">
        <f t="shared" si="48"/>
        <v>#N/A</v>
      </c>
      <c r="Z629" t="e">
        <f t="shared" si="49"/>
        <v>#N/A</v>
      </c>
    </row>
    <row r="630" spans="21:26" x14ac:dyDescent="0.3">
      <c r="U630" t="e">
        <f t="shared" si="45"/>
        <v>#N/A</v>
      </c>
      <c r="V630">
        <v>2.27</v>
      </c>
      <c r="W630">
        <f t="shared" si="46"/>
        <v>3.0336959230531636E-2</v>
      </c>
      <c r="X630" t="e">
        <f t="shared" si="47"/>
        <v>#N/A</v>
      </c>
      <c r="Y630" t="e">
        <f t="shared" si="48"/>
        <v>#N/A</v>
      </c>
      <c r="Z630" t="e">
        <f t="shared" si="49"/>
        <v>#N/A</v>
      </c>
    </row>
    <row r="631" spans="21:26" x14ac:dyDescent="0.3">
      <c r="U631" t="e">
        <f t="shared" si="45"/>
        <v>#N/A</v>
      </c>
      <c r="V631">
        <v>2.2799999999999998</v>
      </c>
      <c r="W631">
        <f t="shared" si="46"/>
        <v>2.9654584847341278E-2</v>
      </c>
      <c r="X631" t="e">
        <f t="shared" si="47"/>
        <v>#N/A</v>
      </c>
      <c r="Y631" t="e">
        <f t="shared" si="48"/>
        <v>#N/A</v>
      </c>
      <c r="Z631" t="e">
        <f t="shared" si="49"/>
        <v>#N/A</v>
      </c>
    </row>
    <row r="632" spans="21:26" x14ac:dyDescent="0.3">
      <c r="U632" t="e">
        <f t="shared" si="45"/>
        <v>#N/A</v>
      </c>
      <c r="V632">
        <v>2.29</v>
      </c>
      <c r="W632">
        <f t="shared" si="46"/>
        <v>2.8984660616209412E-2</v>
      </c>
      <c r="X632" t="e">
        <f t="shared" si="47"/>
        <v>#N/A</v>
      </c>
      <c r="Y632" t="e">
        <f t="shared" si="48"/>
        <v>#N/A</v>
      </c>
      <c r="Z632" t="e">
        <f t="shared" si="49"/>
        <v>#N/A</v>
      </c>
    </row>
    <row r="633" spans="21:26" x14ac:dyDescent="0.3">
      <c r="U633" t="e">
        <f t="shared" si="45"/>
        <v>#N/A</v>
      </c>
      <c r="V633">
        <v>2.2999999999999998</v>
      </c>
      <c r="W633">
        <f t="shared" si="46"/>
        <v>2.8327037741601186E-2</v>
      </c>
      <c r="X633" t="e">
        <f t="shared" si="47"/>
        <v>#N/A</v>
      </c>
      <c r="Y633" t="e">
        <f t="shared" si="48"/>
        <v>#N/A</v>
      </c>
      <c r="Z633" t="e">
        <f t="shared" si="49"/>
        <v>#N/A</v>
      </c>
    </row>
    <row r="634" spans="21:26" x14ac:dyDescent="0.3">
      <c r="U634" t="e">
        <f t="shared" si="45"/>
        <v>#N/A</v>
      </c>
      <c r="V634">
        <v>2.31</v>
      </c>
      <c r="W634">
        <f t="shared" si="46"/>
        <v>2.7681567148336573E-2</v>
      </c>
      <c r="X634" t="e">
        <f t="shared" si="47"/>
        <v>#N/A</v>
      </c>
      <c r="Y634" t="e">
        <f t="shared" si="48"/>
        <v>#N/A</v>
      </c>
      <c r="Z634" t="e">
        <f t="shared" si="49"/>
        <v>#N/A</v>
      </c>
    </row>
    <row r="635" spans="21:26" x14ac:dyDescent="0.3">
      <c r="U635" t="e">
        <f t="shared" si="45"/>
        <v>#N/A</v>
      </c>
      <c r="V635">
        <v>2.3199999999999998</v>
      </c>
      <c r="W635">
        <f t="shared" si="46"/>
        <v>2.7048099546881785E-2</v>
      </c>
      <c r="X635" t="e">
        <f t="shared" si="47"/>
        <v>#N/A</v>
      </c>
      <c r="Y635" t="e">
        <f t="shared" si="48"/>
        <v>#N/A</v>
      </c>
      <c r="Z635" t="e">
        <f t="shared" si="49"/>
        <v>#N/A</v>
      </c>
    </row>
    <row r="636" spans="21:26" x14ac:dyDescent="0.3">
      <c r="U636" t="e">
        <f t="shared" si="45"/>
        <v>#N/A</v>
      </c>
      <c r="V636">
        <v>2.33</v>
      </c>
      <c r="W636">
        <f t="shared" si="46"/>
        <v>2.6426485497261721E-2</v>
      </c>
      <c r="X636" t="e">
        <f t="shared" si="47"/>
        <v>#N/A</v>
      </c>
      <c r="Y636" t="e">
        <f t="shared" si="48"/>
        <v>#N/A</v>
      </c>
      <c r="Z636" t="e">
        <f t="shared" si="49"/>
        <v>#N/A</v>
      </c>
    </row>
    <row r="637" spans="21:26" x14ac:dyDescent="0.3">
      <c r="U637" t="e">
        <f t="shared" si="45"/>
        <v>#N/A</v>
      </c>
      <c r="V637">
        <v>2.34</v>
      </c>
      <c r="W637">
        <f t="shared" si="46"/>
        <v>2.581657547158769E-2</v>
      </c>
      <c r="X637" t="e">
        <f t="shared" si="47"/>
        <v>#N/A</v>
      </c>
      <c r="Y637" t="e">
        <f t="shared" si="48"/>
        <v>#N/A</v>
      </c>
      <c r="Z637" t="e">
        <f t="shared" si="49"/>
        <v>#N/A</v>
      </c>
    </row>
    <row r="638" spans="21:26" x14ac:dyDescent="0.3">
      <c r="U638" t="e">
        <f t="shared" si="45"/>
        <v>#N/A</v>
      </c>
      <c r="V638">
        <v>2.35</v>
      </c>
      <c r="W638">
        <f t="shared" si="46"/>
        <v>2.5218219915194382E-2</v>
      </c>
      <c r="X638" t="e">
        <f t="shared" si="47"/>
        <v>#N/A</v>
      </c>
      <c r="Y638" t="e">
        <f t="shared" si="48"/>
        <v>#N/A</v>
      </c>
      <c r="Z638" t="e">
        <f t="shared" si="49"/>
        <v>#N/A</v>
      </c>
    </row>
    <row r="639" spans="21:26" x14ac:dyDescent="0.3">
      <c r="U639" t="e">
        <f t="shared" si="45"/>
        <v>#N/A</v>
      </c>
      <c r="V639">
        <v>2.36</v>
      </c>
      <c r="W639">
        <f t="shared" si="46"/>
        <v>2.4631269306382507E-2</v>
      </c>
      <c r="X639" t="e">
        <f t="shared" si="47"/>
        <v>#N/A</v>
      </c>
      <c r="Y639" t="e">
        <f t="shared" si="48"/>
        <v>#N/A</v>
      </c>
      <c r="Z639" t="e">
        <f t="shared" si="49"/>
        <v>#N/A</v>
      </c>
    </row>
    <row r="640" spans="21:26" x14ac:dyDescent="0.3">
      <c r="U640" t="e">
        <f t="shared" si="45"/>
        <v>#N/A</v>
      </c>
      <c r="V640">
        <v>2.37</v>
      </c>
      <c r="W640">
        <f t="shared" si="46"/>
        <v>2.4055574214762971E-2</v>
      </c>
      <c r="X640" t="e">
        <f t="shared" si="47"/>
        <v>#N/A</v>
      </c>
      <c r="Y640" t="e">
        <f t="shared" si="48"/>
        <v>#N/A</v>
      </c>
      <c r="Z640" t="e">
        <f t="shared" si="49"/>
        <v>#N/A</v>
      </c>
    </row>
    <row r="641" spans="21:26" x14ac:dyDescent="0.3">
      <c r="U641" t="e">
        <f t="shared" si="45"/>
        <v>#N/A</v>
      </c>
      <c r="V641">
        <v>2.38</v>
      </c>
      <c r="W641">
        <f t="shared" si="46"/>
        <v>2.3490985358201363E-2</v>
      </c>
      <c r="X641" t="e">
        <f t="shared" si="47"/>
        <v>#N/A</v>
      </c>
      <c r="Y641" t="e">
        <f t="shared" si="48"/>
        <v>#N/A</v>
      </c>
      <c r="Z641" t="e">
        <f t="shared" si="49"/>
        <v>#N/A</v>
      </c>
    </row>
    <row r="642" spans="21:26" x14ac:dyDescent="0.3">
      <c r="U642" t="e">
        <f t="shared" si="45"/>
        <v>#N/A</v>
      </c>
      <c r="V642">
        <v>2.39</v>
      </c>
      <c r="W642">
        <f t="shared" si="46"/>
        <v>2.2937353658360693E-2</v>
      </c>
      <c r="X642" t="e">
        <f t="shared" si="47"/>
        <v>#N/A</v>
      </c>
      <c r="Y642" t="e">
        <f t="shared" si="48"/>
        <v>#N/A</v>
      </c>
      <c r="Z642" t="e">
        <f t="shared" si="49"/>
        <v>#N/A</v>
      </c>
    </row>
    <row r="643" spans="21:26" x14ac:dyDescent="0.3">
      <c r="U643" t="e">
        <f t="shared" si="45"/>
        <v>#N/A</v>
      </c>
      <c r="V643">
        <v>2.4</v>
      </c>
      <c r="W643">
        <f t="shared" si="46"/>
        <v>2.2394530294842899E-2</v>
      </c>
      <c r="X643" t="e">
        <f t="shared" si="47"/>
        <v>#N/A</v>
      </c>
      <c r="Y643" t="e">
        <f t="shared" si="48"/>
        <v>#N/A</v>
      </c>
      <c r="Z643" t="e">
        <f t="shared" si="49"/>
        <v>#N/A</v>
      </c>
    </row>
    <row r="644" spans="21:26" x14ac:dyDescent="0.3">
      <c r="U644" t="e">
        <f t="shared" ref="U644:U707" si="50">IF($A$2=ABS(V644),0,NA())</f>
        <v>#N/A</v>
      </c>
      <c r="V644">
        <v>2.41</v>
      </c>
      <c r="W644">
        <f t="shared" ref="W644:W707" si="51">_xlfn.NORM.S.DIST(V644,0)</f>
        <v>2.1862366757929387E-2</v>
      </c>
      <c r="X644" t="e">
        <f t="shared" ref="X644:X707" si="52">IF(ABS(V644)=$A$2,W644,NA())</f>
        <v>#N/A</v>
      </c>
      <c r="Y644" t="e">
        <f t="shared" ref="Y644:Y707" si="53">IF(V644&lt;=$A$2,W644,NA())</f>
        <v>#N/A</v>
      </c>
      <c r="Z644" t="e">
        <f t="shared" ref="Z644:Z707" si="54">IF(ABS(V644)&lt;=$A$2,W644,NA())</f>
        <v>#N/A</v>
      </c>
    </row>
    <row r="645" spans="21:26" x14ac:dyDescent="0.3">
      <c r="U645" t="e">
        <f t="shared" si="50"/>
        <v>#N/A</v>
      </c>
      <c r="V645">
        <v>2.42</v>
      </c>
      <c r="W645">
        <f t="shared" si="51"/>
        <v>2.1340714899922782E-2</v>
      </c>
      <c r="X645" t="e">
        <f t="shared" si="52"/>
        <v>#N/A</v>
      </c>
      <c r="Y645" t="e">
        <f t="shared" si="53"/>
        <v>#N/A</v>
      </c>
      <c r="Z645" t="e">
        <f t="shared" si="54"/>
        <v>#N/A</v>
      </c>
    </row>
    <row r="646" spans="21:26" x14ac:dyDescent="0.3">
      <c r="U646" t="e">
        <f t="shared" si="50"/>
        <v>#N/A</v>
      </c>
      <c r="V646">
        <v>2.4300000000000002</v>
      </c>
      <c r="W646">
        <f t="shared" si="51"/>
        <v>2.0829426985092186E-2</v>
      </c>
      <c r="X646" t="e">
        <f t="shared" si="52"/>
        <v>#N/A</v>
      </c>
      <c r="Y646" t="e">
        <f t="shared" si="53"/>
        <v>#N/A</v>
      </c>
      <c r="Z646" t="e">
        <f t="shared" si="54"/>
        <v>#N/A</v>
      </c>
    </row>
    <row r="647" spans="21:26" x14ac:dyDescent="0.3">
      <c r="U647" t="e">
        <f t="shared" si="50"/>
        <v>#N/A</v>
      </c>
      <c r="V647">
        <v>2.44</v>
      </c>
      <c r="W647">
        <f t="shared" si="51"/>
        <v>2.0328355738225837E-2</v>
      </c>
      <c r="X647" t="e">
        <f t="shared" si="52"/>
        <v>#N/A</v>
      </c>
      <c r="Y647" t="e">
        <f t="shared" si="53"/>
        <v>#N/A</v>
      </c>
      <c r="Z647" t="e">
        <f t="shared" si="54"/>
        <v>#N/A</v>
      </c>
    </row>
    <row r="648" spans="21:26" x14ac:dyDescent="0.3">
      <c r="U648" t="e">
        <f t="shared" si="50"/>
        <v>#N/A</v>
      </c>
      <c r="V648">
        <v>2.4500000000000002</v>
      </c>
      <c r="W648">
        <f t="shared" si="51"/>
        <v>1.9837354391795313E-2</v>
      </c>
      <c r="X648" t="e">
        <f t="shared" si="52"/>
        <v>#N/A</v>
      </c>
      <c r="Y648" t="e">
        <f t="shared" si="53"/>
        <v>#N/A</v>
      </c>
      <c r="Z648" t="e">
        <f t="shared" si="54"/>
        <v>#N/A</v>
      </c>
    </row>
    <row r="649" spans="21:26" x14ac:dyDescent="0.3">
      <c r="U649" t="e">
        <f t="shared" si="50"/>
        <v>#N/A</v>
      </c>
      <c r="V649">
        <v>2.46</v>
      </c>
      <c r="W649">
        <f t="shared" si="51"/>
        <v>1.9356276731736961E-2</v>
      </c>
      <c r="X649" t="e">
        <f t="shared" si="52"/>
        <v>#N/A</v>
      </c>
      <c r="Y649" t="e">
        <f t="shared" si="53"/>
        <v>#N/A</v>
      </c>
      <c r="Z649" t="e">
        <f t="shared" si="54"/>
        <v>#N/A</v>
      </c>
    </row>
    <row r="650" spans="21:26" x14ac:dyDescent="0.3">
      <c r="U650" t="e">
        <f t="shared" si="50"/>
        <v>#N/A</v>
      </c>
      <c r="V650">
        <v>2.4700000000000002</v>
      </c>
      <c r="W650">
        <f t="shared" si="51"/>
        <v>1.8884977141856163E-2</v>
      </c>
      <c r="X650" t="e">
        <f t="shared" si="52"/>
        <v>#N/A</v>
      </c>
      <c r="Y650" t="e">
        <f t="shared" si="53"/>
        <v>#N/A</v>
      </c>
      <c r="Z650" t="e">
        <f t="shared" si="54"/>
        <v>#N/A</v>
      </c>
    </row>
    <row r="651" spans="21:26" x14ac:dyDescent="0.3">
      <c r="U651" t="e">
        <f t="shared" si="50"/>
        <v>#N/A</v>
      </c>
      <c r="V651">
        <v>2.48</v>
      </c>
      <c r="W651">
        <f t="shared" si="51"/>
        <v>1.8423310646862048E-2</v>
      </c>
      <c r="X651" t="e">
        <f t="shared" si="52"/>
        <v>#N/A</v>
      </c>
      <c r="Y651" t="e">
        <f t="shared" si="53"/>
        <v>#N/A</v>
      </c>
      <c r="Z651" t="e">
        <f t="shared" si="54"/>
        <v>#N/A</v>
      </c>
    </row>
    <row r="652" spans="21:26" x14ac:dyDescent="0.3">
      <c r="U652" t="e">
        <f t="shared" si="50"/>
        <v>#N/A</v>
      </c>
      <c r="V652">
        <v>2.4900000000000002</v>
      </c>
      <c r="W652">
        <f t="shared" si="51"/>
        <v>1.7971132954039633E-2</v>
      </c>
      <c r="X652" t="e">
        <f t="shared" si="52"/>
        <v>#N/A</v>
      </c>
      <c r="Y652" t="e">
        <f t="shared" si="53"/>
        <v>#N/A</v>
      </c>
      <c r="Z652" t="e">
        <f t="shared" si="54"/>
        <v>#N/A</v>
      </c>
    </row>
    <row r="653" spans="21:26" x14ac:dyDescent="0.3">
      <c r="U653" t="e">
        <f t="shared" si="50"/>
        <v>#N/A</v>
      </c>
      <c r="V653">
        <v>2.5</v>
      </c>
      <c r="W653">
        <f t="shared" si="51"/>
        <v>1.752830049356854E-2</v>
      </c>
      <c r="X653" t="e">
        <f t="shared" si="52"/>
        <v>#N/A</v>
      </c>
      <c r="Y653" t="e">
        <f t="shared" si="53"/>
        <v>#N/A</v>
      </c>
      <c r="Z653" t="e">
        <f t="shared" si="54"/>
        <v>#N/A</v>
      </c>
    </row>
    <row r="654" spans="21:26" x14ac:dyDescent="0.3">
      <c r="U654" t="e">
        <f t="shared" si="50"/>
        <v>#N/A</v>
      </c>
      <c r="V654">
        <v>2.5099999999999998</v>
      </c>
      <c r="W654">
        <f t="shared" si="51"/>
        <v>1.7094670457496956E-2</v>
      </c>
      <c r="X654" t="e">
        <f t="shared" si="52"/>
        <v>#N/A</v>
      </c>
      <c r="Y654" t="e">
        <f t="shared" si="53"/>
        <v>#N/A</v>
      </c>
      <c r="Z654" t="e">
        <f t="shared" si="54"/>
        <v>#N/A</v>
      </c>
    </row>
    <row r="655" spans="21:26" x14ac:dyDescent="0.3">
      <c r="U655" t="e">
        <f t="shared" si="50"/>
        <v>#N/A</v>
      </c>
      <c r="V655">
        <v>2.52</v>
      </c>
      <c r="W655">
        <f t="shared" si="51"/>
        <v>1.6670100837381057E-2</v>
      </c>
      <c r="X655" t="e">
        <f t="shared" si="52"/>
        <v>#N/A</v>
      </c>
      <c r="Y655" t="e">
        <f t="shared" si="53"/>
        <v>#N/A</v>
      </c>
      <c r="Z655" t="e">
        <f t="shared" si="54"/>
        <v>#N/A</v>
      </c>
    </row>
    <row r="656" spans="21:26" x14ac:dyDescent="0.3">
      <c r="U656" t="e">
        <f t="shared" si="50"/>
        <v>#N/A</v>
      </c>
      <c r="V656">
        <v>2.5299999999999998</v>
      </c>
      <c r="W656">
        <f t="shared" si="51"/>
        <v>1.6254450460600506E-2</v>
      </c>
      <c r="X656" t="e">
        <f t="shared" si="52"/>
        <v>#N/A</v>
      </c>
      <c r="Y656" t="e">
        <f t="shared" si="53"/>
        <v>#N/A</v>
      </c>
      <c r="Z656" t="e">
        <f t="shared" si="54"/>
        <v>#N/A</v>
      </c>
    </row>
    <row r="657" spans="21:26" x14ac:dyDescent="0.3">
      <c r="U657" t="e">
        <f t="shared" si="50"/>
        <v>#N/A</v>
      </c>
      <c r="V657">
        <v>2.54</v>
      </c>
      <c r="W657">
        <f t="shared" si="51"/>
        <v>1.5847579025360818E-2</v>
      </c>
      <c r="X657" t="e">
        <f t="shared" si="52"/>
        <v>#N/A</v>
      </c>
      <c r="Y657" t="e">
        <f t="shared" si="53"/>
        <v>#N/A</v>
      </c>
      <c r="Z657" t="e">
        <f t="shared" si="54"/>
        <v>#N/A</v>
      </c>
    </row>
    <row r="658" spans="21:26" x14ac:dyDescent="0.3">
      <c r="U658" t="e">
        <f t="shared" si="50"/>
        <v>#N/A</v>
      </c>
      <c r="V658">
        <v>2.5499999999999998</v>
      </c>
      <c r="W658">
        <f t="shared" si="51"/>
        <v>1.5449347134395174E-2</v>
      </c>
      <c r="X658" t="e">
        <f t="shared" si="52"/>
        <v>#N/A</v>
      </c>
      <c r="Y658" t="e">
        <f t="shared" si="53"/>
        <v>#N/A</v>
      </c>
      <c r="Z658" t="e">
        <f t="shared" si="54"/>
        <v>#N/A</v>
      </c>
    </row>
    <row r="659" spans="21:26" x14ac:dyDescent="0.3">
      <c r="U659" t="e">
        <f t="shared" si="50"/>
        <v>#N/A</v>
      </c>
      <c r="V659">
        <v>2.56</v>
      </c>
      <c r="W659">
        <f t="shared" si="51"/>
        <v>1.5059616327377449E-2</v>
      </c>
      <c r="X659" t="e">
        <f t="shared" si="52"/>
        <v>#N/A</v>
      </c>
      <c r="Y659" t="e">
        <f t="shared" si="53"/>
        <v>#N/A</v>
      </c>
      <c r="Z659" t="e">
        <f t="shared" si="54"/>
        <v>#N/A</v>
      </c>
    </row>
    <row r="660" spans="21:26" x14ac:dyDescent="0.3">
      <c r="U660" t="e">
        <f t="shared" si="50"/>
        <v>#N/A</v>
      </c>
      <c r="V660">
        <v>2.57</v>
      </c>
      <c r="W660">
        <f t="shared" si="51"/>
        <v>1.4678249112060044E-2</v>
      </c>
      <c r="X660" t="e">
        <f t="shared" si="52"/>
        <v>#N/A</v>
      </c>
      <c r="Y660" t="e">
        <f t="shared" si="53"/>
        <v>#N/A</v>
      </c>
      <c r="Z660" t="e">
        <f t="shared" si="54"/>
        <v>#N/A</v>
      </c>
    </row>
    <row r="661" spans="21:26" x14ac:dyDescent="0.3">
      <c r="U661" t="e">
        <f t="shared" si="50"/>
        <v>#N/A</v>
      </c>
      <c r="V661">
        <v>2.58</v>
      </c>
      <c r="W661">
        <f t="shared" si="51"/>
        <v>1.430510899414969E-2</v>
      </c>
      <c r="X661" t="e">
        <f t="shared" si="52"/>
        <v>#N/A</v>
      </c>
      <c r="Y661" t="e">
        <f t="shared" si="53"/>
        <v>#N/A</v>
      </c>
      <c r="Z661" t="e">
        <f t="shared" si="54"/>
        <v>#N/A</v>
      </c>
    </row>
    <row r="662" spans="21:26" x14ac:dyDescent="0.3">
      <c r="U662" t="e">
        <f t="shared" si="50"/>
        <v>#N/A</v>
      </c>
      <c r="V662">
        <v>2.59</v>
      </c>
      <c r="W662">
        <f t="shared" si="51"/>
        <v>1.3940060505935825E-2</v>
      </c>
      <c r="X662" t="e">
        <f t="shared" si="52"/>
        <v>#N/A</v>
      </c>
      <c r="Y662" t="e">
        <f t="shared" si="53"/>
        <v>#N/A</v>
      </c>
      <c r="Z662" t="e">
        <f t="shared" si="54"/>
        <v>#N/A</v>
      </c>
    </row>
    <row r="663" spans="21:26" x14ac:dyDescent="0.3">
      <c r="U663" t="e">
        <f t="shared" si="50"/>
        <v>#N/A</v>
      </c>
      <c r="V663">
        <v>2.6</v>
      </c>
      <c r="W663">
        <f t="shared" si="51"/>
        <v>1.3582969233685613E-2</v>
      </c>
      <c r="X663" t="e">
        <f t="shared" si="52"/>
        <v>#N/A</v>
      </c>
      <c r="Y663" t="e">
        <f t="shared" si="53"/>
        <v>#N/A</v>
      </c>
      <c r="Z663" t="e">
        <f t="shared" si="54"/>
        <v>#N/A</v>
      </c>
    </row>
    <row r="664" spans="21:26" x14ac:dyDescent="0.3">
      <c r="U664" t="e">
        <f t="shared" si="50"/>
        <v>#N/A</v>
      </c>
      <c r="V664">
        <v>2.61</v>
      </c>
      <c r="W664">
        <f t="shared" si="51"/>
        <v>1.3233701843821374E-2</v>
      </c>
      <c r="X664" t="e">
        <f t="shared" si="52"/>
        <v>#N/A</v>
      </c>
      <c r="Y664" t="e">
        <f t="shared" si="53"/>
        <v>#N/A</v>
      </c>
      <c r="Z664" t="e">
        <f t="shared" si="54"/>
        <v>#N/A</v>
      </c>
    </row>
    <row r="665" spans="21:26" x14ac:dyDescent="0.3">
      <c r="U665" t="e">
        <f t="shared" si="50"/>
        <v>#N/A</v>
      </c>
      <c r="V665">
        <v>2.62</v>
      </c>
      <c r="W665">
        <f t="shared" si="51"/>
        <v>1.2892126107895304E-2</v>
      </c>
      <c r="X665" t="e">
        <f t="shared" si="52"/>
        <v>#N/A</v>
      </c>
      <c r="Y665" t="e">
        <f t="shared" si="53"/>
        <v>#N/A</v>
      </c>
      <c r="Z665" t="e">
        <f t="shared" si="54"/>
        <v>#N/A</v>
      </c>
    </row>
    <row r="666" spans="21:26" x14ac:dyDescent="0.3">
      <c r="U666" t="e">
        <f t="shared" si="50"/>
        <v>#N/A</v>
      </c>
      <c r="V666">
        <v>2.63</v>
      </c>
      <c r="W666">
        <f t="shared" si="51"/>
        <v>1.2558110926378211E-2</v>
      </c>
      <c r="X666" t="e">
        <f t="shared" si="52"/>
        <v>#N/A</v>
      </c>
      <c r="Y666" t="e">
        <f t="shared" si="53"/>
        <v>#N/A</v>
      </c>
      <c r="Z666" t="e">
        <f t="shared" si="54"/>
        <v>#N/A</v>
      </c>
    </row>
    <row r="667" spans="21:26" x14ac:dyDescent="0.3">
      <c r="U667" t="e">
        <f t="shared" si="50"/>
        <v>#N/A</v>
      </c>
      <c r="V667">
        <v>2.64</v>
      </c>
      <c r="W667">
        <f t="shared" si="51"/>
        <v>1.2231526351277971E-2</v>
      </c>
      <c r="X667" t="e">
        <f t="shared" si="52"/>
        <v>#N/A</v>
      </c>
      <c r="Y667" t="e">
        <f t="shared" si="53"/>
        <v>#N/A</v>
      </c>
      <c r="Z667" t="e">
        <f t="shared" si="54"/>
        <v>#N/A</v>
      </c>
    </row>
    <row r="668" spans="21:26" x14ac:dyDescent="0.3">
      <c r="U668" t="e">
        <f t="shared" si="50"/>
        <v>#N/A</v>
      </c>
      <c r="V668">
        <v>2.65</v>
      </c>
      <c r="W668">
        <f t="shared" si="51"/>
        <v>1.1912243607605179E-2</v>
      </c>
      <c r="X668" t="e">
        <f t="shared" si="52"/>
        <v>#N/A</v>
      </c>
      <c r="Y668" t="e">
        <f t="shared" si="53"/>
        <v>#N/A</v>
      </c>
      <c r="Z668" t="e">
        <f t="shared" si="54"/>
        <v>#N/A</v>
      </c>
    </row>
    <row r="669" spans="21:26" x14ac:dyDescent="0.3">
      <c r="U669" t="e">
        <f t="shared" si="50"/>
        <v>#N/A</v>
      </c>
      <c r="V669">
        <v>2.66</v>
      </c>
      <c r="W669">
        <f t="shared" si="51"/>
        <v>1.1600135113702561E-2</v>
      </c>
      <c r="X669" t="e">
        <f t="shared" si="52"/>
        <v>#N/A</v>
      </c>
      <c r="Y669" t="e">
        <f t="shared" si="53"/>
        <v>#N/A</v>
      </c>
      <c r="Z669" t="e">
        <f t="shared" si="54"/>
        <v>#N/A</v>
      </c>
    </row>
    <row r="670" spans="21:26" x14ac:dyDescent="0.3">
      <c r="U670" t="e">
        <f t="shared" si="50"/>
        <v>#N/A</v>
      </c>
      <c r="V670">
        <v>2.67</v>
      </c>
      <c r="W670">
        <f t="shared" si="51"/>
        <v>1.1295074500456135E-2</v>
      </c>
      <c r="X670" t="e">
        <f t="shared" si="52"/>
        <v>#N/A</v>
      </c>
      <c r="Y670" t="e">
        <f t="shared" si="53"/>
        <v>#N/A</v>
      </c>
      <c r="Z670" t="e">
        <f t="shared" si="54"/>
        <v>#N/A</v>
      </c>
    </row>
    <row r="671" spans="21:26" x14ac:dyDescent="0.3">
      <c r="U671" t="e">
        <f t="shared" si="50"/>
        <v>#N/A</v>
      </c>
      <c r="V671">
        <v>2.68</v>
      </c>
      <c r="W671">
        <f t="shared" si="51"/>
        <v>1.0996936629405572E-2</v>
      </c>
      <c r="X671" t="e">
        <f t="shared" si="52"/>
        <v>#N/A</v>
      </c>
      <c r="Y671" t="e">
        <f t="shared" si="53"/>
        <v>#N/A</v>
      </c>
      <c r="Z671" t="e">
        <f t="shared" si="54"/>
        <v>#N/A</v>
      </c>
    </row>
    <row r="672" spans="21:26" x14ac:dyDescent="0.3">
      <c r="U672" t="e">
        <f t="shared" si="50"/>
        <v>#N/A</v>
      </c>
      <c r="V672">
        <v>2.69</v>
      </c>
      <c r="W672">
        <f t="shared" si="51"/>
        <v>1.0705597609772187E-2</v>
      </c>
      <c r="X672" t="e">
        <f t="shared" si="52"/>
        <v>#N/A</v>
      </c>
      <c r="Y672" t="e">
        <f t="shared" si="53"/>
        <v>#N/A</v>
      </c>
      <c r="Z672" t="e">
        <f t="shared" si="54"/>
        <v>#N/A</v>
      </c>
    </row>
    <row r="673" spans="21:26" x14ac:dyDescent="0.3">
      <c r="U673" t="e">
        <f t="shared" si="50"/>
        <v>#N/A</v>
      </c>
      <c r="V673">
        <v>2.7</v>
      </c>
      <c r="W673">
        <f t="shared" si="51"/>
        <v>1.0420934814422592E-2</v>
      </c>
      <c r="X673" t="e">
        <f t="shared" si="52"/>
        <v>#N/A</v>
      </c>
      <c r="Y673" t="e">
        <f t="shared" si="53"/>
        <v>#N/A</v>
      </c>
      <c r="Z673" t="e">
        <f t="shared" si="54"/>
        <v>#N/A</v>
      </c>
    </row>
    <row r="674" spans="21:26" x14ac:dyDescent="0.3">
      <c r="U674" t="e">
        <f t="shared" si="50"/>
        <v>#N/A</v>
      </c>
      <c r="V674">
        <v>2.71</v>
      </c>
      <c r="W674">
        <f t="shared" si="51"/>
        <v>1.0142826894787077E-2</v>
      </c>
      <c r="X674" t="e">
        <f t="shared" si="52"/>
        <v>#N/A</v>
      </c>
      <c r="Y674" t="e">
        <f t="shared" si="53"/>
        <v>#N/A</v>
      </c>
      <c r="Z674" t="e">
        <f t="shared" si="54"/>
        <v>#N/A</v>
      </c>
    </row>
    <row r="675" spans="21:26" x14ac:dyDescent="0.3">
      <c r="U675" t="e">
        <f t="shared" si="50"/>
        <v>#N/A</v>
      </c>
      <c r="V675">
        <v>2.72</v>
      </c>
      <c r="W675">
        <f t="shared" si="51"/>
        <v>9.8711537947511301E-3</v>
      </c>
      <c r="X675" t="e">
        <f t="shared" si="52"/>
        <v>#N/A</v>
      </c>
      <c r="Y675" t="e">
        <f t="shared" si="53"/>
        <v>#N/A</v>
      </c>
      <c r="Z675" t="e">
        <f t="shared" si="54"/>
        <v>#N/A</v>
      </c>
    </row>
    <row r="676" spans="21:26" x14ac:dyDescent="0.3">
      <c r="U676" t="e">
        <f t="shared" si="50"/>
        <v>#N/A</v>
      </c>
      <c r="V676">
        <v>2.73</v>
      </c>
      <c r="W676">
        <f t="shared" si="51"/>
        <v>9.6057967635395872E-3</v>
      </c>
      <c r="X676" t="e">
        <f t="shared" si="52"/>
        <v>#N/A</v>
      </c>
      <c r="Y676" t="e">
        <f t="shared" si="53"/>
        <v>#N/A</v>
      </c>
      <c r="Z676" t="e">
        <f t="shared" si="54"/>
        <v>#N/A</v>
      </c>
    </row>
    <row r="677" spans="21:26" x14ac:dyDescent="0.3">
      <c r="U677" t="e">
        <f t="shared" si="50"/>
        <v>#N/A</v>
      </c>
      <c r="V677">
        <v>2.74</v>
      </c>
      <c r="W677">
        <f t="shared" si="51"/>
        <v>9.3466383676122835E-3</v>
      </c>
      <c r="X677" t="e">
        <f t="shared" si="52"/>
        <v>#N/A</v>
      </c>
      <c r="Y677" t="e">
        <f t="shared" si="53"/>
        <v>#N/A</v>
      </c>
      <c r="Z677" t="e">
        <f t="shared" si="54"/>
        <v>#N/A</v>
      </c>
    </row>
    <row r="678" spans="21:26" x14ac:dyDescent="0.3">
      <c r="U678" t="e">
        <f t="shared" si="50"/>
        <v>#N/A</v>
      </c>
      <c r="V678">
        <v>2.75</v>
      </c>
      <c r="W678">
        <f t="shared" si="51"/>
        <v>9.0935625015910529E-3</v>
      </c>
      <c r="X678" t="e">
        <f t="shared" si="52"/>
        <v>#N/A</v>
      </c>
      <c r="Y678" t="e">
        <f t="shared" si="53"/>
        <v>#N/A</v>
      </c>
      <c r="Z678" t="e">
        <f t="shared" si="54"/>
        <v>#N/A</v>
      </c>
    </row>
    <row r="679" spans="21:26" x14ac:dyDescent="0.3">
      <c r="U679" t="e">
        <f t="shared" si="50"/>
        <v>#N/A</v>
      </c>
      <c r="V679">
        <v>2.76</v>
      </c>
      <c r="W679">
        <f t="shared" si="51"/>
        <v>8.8464543982372315E-3</v>
      </c>
      <c r="X679" t="e">
        <f t="shared" si="52"/>
        <v>#N/A</v>
      </c>
      <c r="Y679" t="e">
        <f t="shared" si="53"/>
        <v>#N/A</v>
      </c>
      <c r="Z679" t="e">
        <f t="shared" si="54"/>
        <v>#N/A</v>
      </c>
    </row>
    <row r="680" spans="21:26" x14ac:dyDescent="0.3">
      <c r="U680" t="e">
        <f t="shared" si="50"/>
        <v>#N/A</v>
      </c>
      <c r="V680">
        <v>2.77</v>
      </c>
      <c r="W680">
        <f t="shared" si="51"/>
        <v>8.6052006374996715E-3</v>
      </c>
      <c r="X680" t="e">
        <f t="shared" si="52"/>
        <v>#N/A</v>
      </c>
      <c r="Y680" t="e">
        <f t="shared" si="53"/>
        <v>#N/A</v>
      </c>
      <c r="Z680" t="e">
        <f t="shared" si="54"/>
        <v>#N/A</v>
      </c>
    </row>
    <row r="681" spans="21:26" x14ac:dyDescent="0.3">
      <c r="U681" t="e">
        <f t="shared" si="50"/>
        <v>#N/A</v>
      </c>
      <c r="V681">
        <v>2.78</v>
      </c>
      <c r="W681">
        <f t="shared" si="51"/>
        <v>8.369689154653033E-3</v>
      </c>
      <c r="X681" t="e">
        <f t="shared" si="52"/>
        <v>#N/A</v>
      </c>
      <c r="Y681" t="e">
        <f t="shared" si="53"/>
        <v>#N/A</v>
      </c>
      <c r="Z681" t="e">
        <f t="shared" si="54"/>
        <v>#N/A</v>
      </c>
    </row>
    <row r="682" spans="21:26" x14ac:dyDescent="0.3">
      <c r="U682" t="e">
        <f t="shared" si="50"/>
        <v>#N/A</v>
      </c>
      <c r="V682">
        <v>2.79</v>
      </c>
      <c r="W682">
        <f t="shared" si="51"/>
        <v>8.1398092475460215E-3</v>
      </c>
      <c r="X682" t="e">
        <f t="shared" si="52"/>
        <v>#N/A</v>
      </c>
      <c r="Y682" t="e">
        <f t="shared" si="53"/>
        <v>#N/A</v>
      </c>
      <c r="Z682" t="e">
        <f t="shared" si="54"/>
        <v>#N/A</v>
      </c>
    </row>
    <row r="683" spans="21:26" x14ac:dyDescent="0.3">
      <c r="U683" t="e">
        <f t="shared" si="50"/>
        <v>#N/A</v>
      </c>
      <c r="V683">
        <v>2.8</v>
      </c>
      <c r="W683">
        <f t="shared" si="51"/>
        <v>7.9154515829799686E-3</v>
      </c>
      <c r="X683" t="e">
        <f t="shared" si="52"/>
        <v>#N/A</v>
      </c>
      <c r="Y683" t="e">
        <f t="shared" si="53"/>
        <v>#N/A</v>
      </c>
      <c r="Z683" t="e">
        <f t="shared" si="54"/>
        <v>#N/A</v>
      </c>
    </row>
    <row r="684" spans="21:26" x14ac:dyDescent="0.3">
      <c r="U684" t="e">
        <f t="shared" si="50"/>
        <v>#N/A</v>
      </c>
      <c r="V684">
        <v>2.81</v>
      </c>
      <c r="W684">
        <f t="shared" si="51"/>
        <v>7.6965082022373218E-3</v>
      </c>
      <c r="X684" t="e">
        <f t="shared" si="52"/>
        <v>#N/A</v>
      </c>
      <c r="Y684" t="e">
        <f t="shared" si="53"/>
        <v>#N/A</v>
      </c>
      <c r="Z684" t="e">
        <f t="shared" si="54"/>
        <v>#N/A</v>
      </c>
    </row>
    <row r="685" spans="21:26" x14ac:dyDescent="0.3">
      <c r="U685" t="e">
        <f t="shared" si="50"/>
        <v>#N/A</v>
      </c>
      <c r="V685">
        <v>2.82</v>
      </c>
      <c r="W685">
        <f t="shared" si="51"/>
        <v>7.4828725257805638E-3</v>
      </c>
      <c r="X685" t="e">
        <f t="shared" si="52"/>
        <v>#N/A</v>
      </c>
      <c r="Y685" t="e">
        <f t="shared" si="53"/>
        <v>#N/A</v>
      </c>
      <c r="Z685" t="e">
        <f t="shared" si="54"/>
        <v>#N/A</v>
      </c>
    </row>
    <row r="686" spans="21:26" x14ac:dyDescent="0.3">
      <c r="U686" t="e">
        <f t="shared" si="50"/>
        <v>#N/A</v>
      </c>
      <c r="V686">
        <v>2.83</v>
      </c>
      <c r="W686">
        <f t="shared" si="51"/>
        <v>7.2744393571412182E-3</v>
      </c>
      <c r="X686" t="e">
        <f t="shared" si="52"/>
        <v>#N/A</v>
      </c>
      <c r="Y686" t="e">
        <f t="shared" si="53"/>
        <v>#N/A</v>
      </c>
      <c r="Z686" t="e">
        <f t="shared" si="54"/>
        <v>#N/A</v>
      </c>
    </row>
    <row r="687" spans="21:26" x14ac:dyDescent="0.3">
      <c r="U687" t="e">
        <f t="shared" si="50"/>
        <v>#N/A</v>
      </c>
      <c r="V687">
        <v>2.84</v>
      </c>
      <c r="W687">
        <f t="shared" si="51"/>
        <v>7.0711048860194487E-3</v>
      </c>
      <c r="X687" t="e">
        <f t="shared" si="52"/>
        <v>#N/A</v>
      </c>
      <c r="Y687" t="e">
        <f t="shared" si="53"/>
        <v>#N/A</v>
      </c>
      <c r="Z687" t="e">
        <f t="shared" si="54"/>
        <v>#N/A</v>
      </c>
    </row>
    <row r="688" spans="21:26" x14ac:dyDescent="0.3">
      <c r="U688" t="e">
        <f t="shared" si="50"/>
        <v>#N/A</v>
      </c>
      <c r="V688">
        <v>2.85</v>
      </c>
      <c r="W688">
        <f t="shared" si="51"/>
        <v>6.8727666906139712E-3</v>
      </c>
      <c r="X688" t="e">
        <f t="shared" si="52"/>
        <v>#N/A</v>
      </c>
      <c r="Y688" t="e">
        <f t="shared" si="53"/>
        <v>#N/A</v>
      </c>
      <c r="Z688" t="e">
        <f t="shared" si="54"/>
        <v>#N/A</v>
      </c>
    </row>
    <row r="689" spans="21:26" x14ac:dyDescent="0.3">
      <c r="U689" t="e">
        <f t="shared" si="50"/>
        <v>#N/A</v>
      </c>
      <c r="V689">
        <v>2.86</v>
      </c>
      <c r="W689">
        <f t="shared" si="51"/>
        <v>6.6793237392026202E-3</v>
      </c>
      <c r="X689" t="e">
        <f t="shared" si="52"/>
        <v>#N/A</v>
      </c>
      <c r="Y689" t="e">
        <f t="shared" si="53"/>
        <v>#N/A</v>
      </c>
      <c r="Z689" t="e">
        <f t="shared" si="54"/>
        <v>#N/A</v>
      </c>
    </row>
    <row r="690" spans="21:26" x14ac:dyDescent="0.3">
      <c r="U690" t="e">
        <f t="shared" si="50"/>
        <v>#N/A</v>
      </c>
      <c r="V690">
        <v>2.87</v>
      </c>
      <c r="W690">
        <f t="shared" si="51"/>
        <v>6.4906763909933643E-3</v>
      </c>
      <c r="X690" t="e">
        <f t="shared" si="52"/>
        <v>#N/A</v>
      </c>
      <c r="Y690" t="e">
        <f t="shared" si="53"/>
        <v>#N/A</v>
      </c>
      <c r="Z690" t="e">
        <f t="shared" si="54"/>
        <v>#N/A</v>
      </c>
    </row>
    <row r="691" spans="21:26" x14ac:dyDescent="0.3">
      <c r="U691" t="e">
        <f t="shared" si="50"/>
        <v>#N/A</v>
      </c>
      <c r="V691">
        <v>2.88</v>
      </c>
      <c r="W691">
        <f t="shared" si="51"/>
        <v>6.3067263962659275E-3</v>
      </c>
      <c r="X691" t="e">
        <f t="shared" si="52"/>
        <v>#N/A</v>
      </c>
      <c r="Y691" t="e">
        <f t="shared" si="53"/>
        <v>#N/A</v>
      </c>
      <c r="Z691" t="e">
        <f t="shared" si="54"/>
        <v>#N/A</v>
      </c>
    </row>
    <row r="692" spans="21:26" x14ac:dyDescent="0.3">
      <c r="U692" t="e">
        <f t="shared" si="50"/>
        <v>#N/A</v>
      </c>
      <c r="V692">
        <v>2.89</v>
      </c>
      <c r="W692">
        <f t="shared" si="51"/>
        <v>6.1273768958236873E-3</v>
      </c>
      <c r="X692" t="e">
        <f t="shared" si="52"/>
        <v>#N/A</v>
      </c>
      <c r="Y692" t="e">
        <f t="shared" si="53"/>
        <v>#N/A</v>
      </c>
      <c r="Z692" t="e">
        <f t="shared" si="54"/>
        <v>#N/A</v>
      </c>
    </row>
    <row r="693" spans="21:26" x14ac:dyDescent="0.3">
      <c r="U693" t="e">
        <f t="shared" si="50"/>
        <v>#N/A</v>
      </c>
      <c r="V693">
        <v>2.9</v>
      </c>
      <c r="W693">
        <f t="shared" si="51"/>
        <v>5.9525324197758538E-3</v>
      </c>
      <c r="X693" t="e">
        <f t="shared" si="52"/>
        <v>#N/A</v>
      </c>
      <c r="Y693" t="e">
        <f t="shared" si="53"/>
        <v>#N/A</v>
      </c>
      <c r="Z693" t="e">
        <f t="shared" si="54"/>
        <v>#N/A</v>
      </c>
    </row>
    <row r="694" spans="21:26" x14ac:dyDescent="0.3">
      <c r="U694" t="e">
        <f t="shared" si="50"/>
        <v>#N/A</v>
      </c>
      <c r="V694">
        <v>2.91</v>
      </c>
      <c r="W694">
        <f t="shared" si="51"/>
        <v>5.7820988856694729E-3</v>
      </c>
      <c r="X694" t="e">
        <f t="shared" si="52"/>
        <v>#N/A</v>
      </c>
      <c r="Y694" t="e">
        <f t="shared" si="53"/>
        <v>#N/A</v>
      </c>
      <c r="Z694" t="e">
        <f t="shared" si="54"/>
        <v>#N/A</v>
      </c>
    </row>
    <row r="695" spans="21:26" x14ac:dyDescent="0.3">
      <c r="U695" t="e">
        <f t="shared" si="50"/>
        <v>#N/A</v>
      </c>
      <c r="V695">
        <v>2.92</v>
      </c>
      <c r="W695">
        <f t="shared" si="51"/>
        <v>5.615983595990969E-3</v>
      </c>
      <c r="X695" t="e">
        <f t="shared" si="52"/>
        <v>#N/A</v>
      </c>
      <c r="Y695" t="e">
        <f t="shared" si="53"/>
        <v>#N/A</v>
      </c>
      <c r="Z695" t="e">
        <f t="shared" si="54"/>
        <v>#N/A</v>
      </c>
    </row>
    <row r="696" spans="21:26" x14ac:dyDescent="0.3">
      <c r="U696" t="e">
        <f t="shared" si="50"/>
        <v>#N/A</v>
      </c>
      <c r="V696">
        <v>2.93</v>
      </c>
      <c r="W696">
        <f t="shared" si="51"/>
        <v>5.4540952350565454E-3</v>
      </c>
      <c r="X696" t="e">
        <f t="shared" si="52"/>
        <v>#N/A</v>
      </c>
      <c r="Y696" t="e">
        <f t="shared" si="53"/>
        <v>#N/A</v>
      </c>
      <c r="Z696" t="e">
        <f t="shared" si="54"/>
        <v>#N/A</v>
      </c>
    </row>
    <row r="697" spans="21:26" x14ac:dyDescent="0.3">
      <c r="U697" t="e">
        <f t="shared" si="50"/>
        <v>#N/A</v>
      </c>
      <c r="V697">
        <v>2.94</v>
      </c>
      <c r="W697">
        <f t="shared" si="51"/>
        <v>5.2963438653110201E-3</v>
      </c>
      <c r="X697" t="e">
        <f t="shared" si="52"/>
        <v>#N/A</v>
      </c>
      <c r="Y697" t="e">
        <f t="shared" si="53"/>
        <v>#N/A</v>
      </c>
      <c r="Z697" t="e">
        <f t="shared" si="54"/>
        <v>#N/A</v>
      </c>
    </row>
    <row r="698" spans="21:26" x14ac:dyDescent="0.3">
      <c r="U698" t="e">
        <f t="shared" si="50"/>
        <v>#N/A</v>
      </c>
      <c r="V698">
        <v>2.95</v>
      </c>
      <c r="W698">
        <f t="shared" si="51"/>
        <v>5.1426409230539392E-3</v>
      </c>
      <c r="X698" t="e">
        <f t="shared" si="52"/>
        <v>#N/A</v>
      </c>
      <c r="Y698" t="e">
        <f t="shared" si="53"/>
        <v>#N/A</v>
      </c>
      <c r="Z698" t="e">
        <f t="shared" si="54"/>
        <v>#N/A</v>
      </c>
    </row>
    <row r="699" spans="21:26" x14ac:dyDescent="0.3">
      <c r="U699" t="e">
        <f t="shared" si="50"/>
        <v>#N/A</v>
      </c>
      <c r="V699">
        <v>2.96</v>
      </c>
      <c r="W699">
        <f t="shared" si="51"/>
        <v>4.9928992136123763E-3</v>
      </c>
      <c r="X699" t="e">
        <f t="shared" si="52"/>
        <v>#N/A</v>
      </c>
      <c r="Y699" t="e">
        <f t="shared" si="53"/>
        <v>#N/A</v>
      </c>
      <c r="Z699" t="e">
        <f t="shared" si="54"/>
        <v>#N/A</v>
      </c>
    </row>
    <row r="700" spans="21:26" x14ac:dyDescent="0.3">
      <c r="U700" t="e">
        <f t="shared" si="50"/>
        <v>#N/A</v>
      </c>
      <c r="V700">
        <v>2.97</v>
      </c>
      <c r="W700">
        <f t="shared" si="51"/>
        <v>4.847032905978944E-3</v>
      </c>
      <c r="X700" t="e">
        <f t="shared" si="52"/>
        <v>#N/A</v>
      </c>
      <c r="Y700" t="e">
        <f t="shared" si="53"/>
        <v>#N/A</v>
      </c>
      <c r="Z700" t="e">
        <f t="shared" si="54"/>
        <v>#N/A</v>
      </c>
    </row>
    <row r="701" spans="21:26" x14ac:dyDescent="0.3">
      <c r="U701" t="e">
        <f t="shared" si="50"/>
        <v>#N/A</v>
      </c>
      <c r="V701">
        <v>2.98</v>
      </c>
      <c r="W701">
        <f t="shared" si="51"/>
        <v>4.7049575269339792E-3</v>
      </c>
      <c r="X701" t="e">
        <f t="shared" si="52"/>
        <v>#N/A</v>
      </c>
      <c r="Y701" t="e">
        <f t="shared" si="53"/>
        <v>#N/A</v>
      </c>
      <c r="Z701" t="e">
        <f t="shared" si="54"/>
        <v>#N/A</v>
      </c>
    </row>
    <row r="702" spans="21:26" x14ac:dyDescent="0.3">
      <c r="U702" t="e">
        <f t="shared" si="50"/>
        <v>#N/A</v>
      </c>
      <c r="V702">
        <v>2.99</v>
      </c>
      <c r="W702">
        <f t="shared" si="51"/>
        <v>4.5665899546701444E-3</v>
      </c>
      <c r="X702" t="e">
        <f t="shared" si="52"/>
        <v>#N/A</v>
      </c>
      <c r="Y702" t="e">
        <f t="shared" si="53"/>
        <v>#N/A</v>
      </c>
      <c r="Z702" t="e">
        <f t="shared" si="54"/>
        <v>#N/A</v>
      </c>
    </row>
    <row r="703" spans="21:26" x14ac:dyDescent="0.3">
      <c r="U703" t="e">
        <f t="shared" si="50"/>
        <v>#N/A</v>
      </c>
      <c r="V703">
        <v>3</v>
      </c>
      <c r="W703">
        <f t="shared" si="51"/>
        <v>4.4318484119380075E-3</v>
      </c>
      <c r="X703" t="e">
        <f t="shared" si="52"/>
        <v>#N/A</v>
      </c>
      <c r="Y703" t="e">
        <f t="shared" si="53"/>
        <v>#N/A</v>
      </c>
      <c r="Z703" t="e">
        <f t="shared" si="54"/>
        <v>#N/A</v>
      </c>
    </row>
    <row r="704" spans="21:26" x14ac:dyDescent="0.3">
      <c r="U704" t="e">
        <f t="shared" si="50"/>
        <v>#N/A</v>
      </c>
      <c r="V704">
        <v>3.01</v>
      </c>
      <c r="W704">
        <f t="shared" si="51"/>
        <v>4.3006524587304498E-3</v>
      </c>
      <c r="X704" t="e">
        <f t="shared" si="52"/>
        <v>#N/A</v>
      </c>
      <c r="Y704" t="e">
        <f t="shared" si="53"/>
        <v>#N/A</v>
      </c>
      <c r="Z704" t="e">
        <f t="shared" si="54"/>
        <v>#N/A</v>
      </c>
    </row>
    <row r="705" spans="21:26" x14ac:dyDescent="0.3">
      <c r="U705" t="e">
        <f t="shared" si="50"/>
        <v>#N/A</v>
      </c>
      <c r="V705">
        <v>3.02</v>
      </c>
      <c r="W705">
        <f t="shared" si="51"/>
        <v>4.1729229845239623E-3</v>
      </c>
      <c r="X705" t="e">
        <f t="shared" si="52"/>
        <v>#N/A</v>
      </c>
      <c r="Y705" t="e">
        <f t="shared" si="53"/>
        <v>#N/A</v>
      </c>
      <c r="Z705" t="e">
        <f t="shared" si="54"/>
        <v>#N/A</v>
      </c>
    </row>
    <row r="706" spans="21:26" x14ac:dyDescent="0.3">
      <c r="U706" t="e">
        <f t="shared" si="50"/>
        <v>#N/A</v>
      </c>
      <c r="V706">
        <v>3.03</v>
      </c>
      <c r="W706">
        <f t="shared" si="51"/>
        <v>4.04858220009443E-3</v>
      </c>
      <c r="X706" t="e">
        <f t="shared" si="52"/>
        <v>#N/A</v>
      </c>
      <c r="Y706" t="e">
        <f t="shared" si="53"/>
        <v>#N/A</v>
      </c>
      <c r="Z706" t="e">
        <f t="shared" si="54"/>
        <v>#N/A</v>
      </c>
    </row>
    <row r="707" spans="21:26" x14ac:dyDescent="0.3">
      <c r="U707" t="e">
        <f t="shared" si="50"/>
        <v>#N/A</v>
      </c>
      <c r="V707">
        <v>3.04</v>
      </c>
      <c r="W707">
        <f t="shared" si="51"/>
        <v>3.9275536289247789E-3</v>
      </c>
      <c r="X707" t="e">
        <f t="shared" si="52"/>
        <v>#N/A</v>
      </c>
      <c r="Y707" t="e">
        <f t="shared" si="53"/>
        <v>#N/A</v>
      </c>
      <c r="Z707" t="e">
        <f t="shared" si="54"/>
        <v>#N/A</v>
      </c>
    </row>
    <row r="708" spans="21:26" x14ac:dyDescent="0.3">
      <c r="U708" t="e">
        <f t="shared" ref="U708:U771" si="55">IF($A$2=ABS(V708),0,NA())</f>
        <v>#N/A</v>
      </c>
      <c r="V708">
        <v>3.05</v>
      </c>
      <c r="W708">
        <f t="shared" ref="W708:W771" si="56">_xlfn.NORM.S.DIST(V708,0)</f>
        <v>3.8097620982218104E-3</v>
      </c>
      <c r="X708" t="e">
        <f t="shared" ref="X708:X771" si="57">IF(ABS(V708)=$A$2,W708,NA())</f>
        <v>#N/A</v>
      </c>
      <c r="Y708" t="e">
        <f t="shared" ref="Y708:Y771" si="58">IF(V708&lt;=$A$2,W708,NA())</f>
        <v>#N/A</v>
      </c>
      <c r="Z708" t="e">
        <f t="shared" ref="Z708:Z771" si="59">IF(ABS(V708)&lt;=$A$2,W708,NA())</f>
        <v>#N/A</v>
      </c>
    </row>
    <row r="709" spans="21:26" x14ac:dyDescent="0.3">
      <c r="U709" t="e">
        <f t="shared" si="55"/>
        <v>#N/A</v>
      </c>
      <c r="V709">
        <v>3.06</v>
      </c>
      <c r="W709">
        <f t="shared" si="56"/>
        <v>3.6951337295590349E-3</v>
      </c>
      <c r="X709" t="e">
        <f t="shared" si="57"/>
        <v>#N/A</v>
      </c>
      <c r="Y709" t="e">
        <f t="shared" si="58"/>
        <v>#N/A</v>
      </c>
      <c r="Z709" t="e">
        <f t="shared" si="59"/>
        <v>#N/A</v>
      </c>
    </row>
    <row r="710" spans="21:26" x14ac:dyDescent="0.3">
      <c r="U710" t="e">
        <f t="shared" si="55"/>
        <v>#N/A</v>
      </c>
      <c r="V710">
        <v>3.07</v>
      </c>
      <c r="W710">
        <f t="shared" si="56"/>
        <v>3.5835959291623614E-3</v>
      </c>
      <c r="X710" t="e">
        <f t="shared" si="57"/>
        <v>#N/A</v>
      </c>
      <c r="Y710" t="e">
        <f t="shared" si="58"/>
        <v>#N/A</v>
      </c>
      <c r="Z710" t="e">
        <f t="shared" si="59"/>
        <v>#N/A</v>
      </c>
    </row>
    <row r="711" spans="21:26" x14ac:dyDescent="0.3">
      <c r="U711" t="e">
        <f t="shared" si="55"/>
        <v>#N/A</v>
      </c>
      <c r="V711">
        <v>3.08</v>
      </c>
      <c r="W711">
        <f t="shared" si="56"/>
        <v>3.4750773778549375E-3</v>
      </c>
      <c r="X711" t="e">
        <f t="shared" si="57"/>
        <v>#N/A</v>
      </c>
      <c r="Y711" t="e">
        <f t="shared" si="58"/>
        <v>#N/A</v>
      </c>
      <c r="Z711" t="e">
        <f t="shared" si="59"/>
        <v>#N/A</v>
      </c>
    </row>
    <row r="712" spans="21:26" x14ac:dyDescent="0.3">
      <c r="U712" t="e">
        <f t="shared" si="55"/>
        <v>#N/A</v>
      </c>
      <c r="V712">
        <v>3.09</v>
      </c>
      <c r="W712">
        <f t="shared" si="56"/>
        <v>3.3695080206774812E-3</v>
      </c>
      <c r="X712" t="e">
        <f t="shared" si="57"/>
        <v>#N/A</v>
      </c>
      <c r="Y712" t="e">
        <f t="shared" si="58"/>
        <v>#N/A</v>
      </c>
      <c r="Z712" t="e">
        <f t="shared" si="59"/>
        <v>#N/A</v>
      </c>
    </row>
    <row r="713" spans="21:26" x14ac:dyDescent="0.3">
      <c r="U713" t="e">
        <f t="shared" si="55"/>
        <v>#N/A</v>
      </c>
      <c r="V713">
        <v>3.1</v>
      </c>
      <c r="W713">
        <f t="shared" si="56"/>
        <v>3.2668190561999182E-3</v>
      </c>
      <c r="X713" t="e">
        <f t="shared" si="57"/>
        <v>#N/A</v>
      </c>
      <c r="Y713" t="e">
        <f t="shared" si="58"/>
        <v>#N/A</v>
      </c>
      <c r="Z713" t="e">
        <f t="shared" si="59"/>
        <v>#N/A</v>
      </c>
    </row>
    <row r="714" spans="21:26" x14ac:dyDescent="0.3">
      <c r="U714" t="e">
        <f t="shared" si="55"/>
        <v>#N/A</v>
      </c>
      <c r="V714">
        <v>3.11</v>
      </c>
      <c r="W714">
        <f t="shared" si="56"/>
        <v>3.1669429255400811E-3</v>
      </c>
      <c r="X714" t="e">
        <f t="shared" si="57"/>
        <v>#N/A</v>
      </c>
      <c r="Y714" t="e">
        <f t="shared" si="58"/>
        <v>#N/A</v>
      </c>
      <c r="Z714" t="e">
        <f t="shared" si="59"/>
        <v>#N/A</v>
      </c>
    </row>
    <row r="715" spans="21:26" x14ac:dyDescent="0.3">
      <c r="U715" t="e">
        <f t="shared" si="55"/>
        <v>#N/A</v>
      </c>
      <c r="V715">
        <v>3.12</v>
      </c>
      <c r="W715">
        <f t="shared" si="56"/>
        <v>3.0698133011047403E-3</v>
      </c>
      <c r="X715" t="e">
        <f t="shared" si="57"/>
        <v>#N/A</v>
      </c>
      <c r="Y715" t="e">
        <f t="shared" si="58"/>
        <v>#N/A</v>
      </c>
      <c r="Z715" t="e">
        <f t="shared" si="59"/>
        <v>#N/A</v>
      </c>
    </row>
    <row r="716" spans="21:26" x14ac:dyDescent="0.3">
      <c r="U716" t="e">
        <f t="shared" si="55"/>
        <v>#N/A</v>
      </c>
      <c r="V716">
        <v>3.13</v>
      </c>
      <c r="W716">
        <f t="shared" si="56"/>
        <v>2.9753650750682535E-3</v>
      </c>
      <c r="X716" t="e">
        <f t="shared" si="57"/>
        <v>#N/A</v>
      </c>
      <c r="Y716" t="e">
        <f t="shared" si="58"/>
        <v>#N/A</v>
      </c>
      <c r="Z716" t="e">
        <f t="shared" si="59"/>
        <v>#N/A</v>
      </c>
    </row>
    <row r="717" spans="21:26" x14ac:dyDescent="0.3">
      <c r="U717" t="e">
        <f t="shared" si="55"/>
        <v>#N/A</v>
      </c>
      <c r="V717">
        <v>3.14</v>
      </c>
      <c r="W717">
        <f t="shared" si="56"/>
        <v>2.8835343476034392E-3</v>
      </c>
      <c r="X717" t="e">
        <f t="shared" si="57"/>
        <v>#N/A</v>
      </c>
      <c r="Y717" t="e">
        <f t="shared" si="58"/>
        <v>#N/A</v>
      </c>
      <c r="Z717" t="e">
        <f t="shared" si="59"/>
        <v>#N/A</v>
      </c>
    </row>
    <row r="718" spans="21:26" x14ac:dyDescent="0.3">
      <c r="U718" t="e">
        <f t="shared" si="55"/>
        <v>#N/A</v>
      </c>
      <c r="V718">
        <v>3.15</v>
      </c>
      <c r="W718">
        <f t="shared" si="56"/>
        <v>2.7942584148794472E-3</v>
      </c>
      <c r="X718" t="e">
        <f t="shared" si="57"/>
        <v>#N/A</v>
      </c>
      <c r="Y718" t="e">
        <f t="shared" si="58"/>
        <v>#N/A</v>
      </c>
      <c r="Z718" t="e">
        <f t="shared" si="59"/>
        <v>#N/A</v>
      </c>
    </row>
    <row r="719" spans="21:26" x14ac:dyDescent="0.3">
      <c r="U719" t="e">
        <f t="shared" si="55"/>
        <v>#N/A</v>
      </c>
      <c r="V719">
        <v>3.16</v>
      </c>
      <c r="W719">
        <f t="shared" si="56"/>
        <v>2.7074757568406999E-3</v>
      </c>
      <c r="X719" t="e">
        <f t="shared" si="57"/>
        <v>#N/A</v>
      </c>
      <c r="Y719" t="e">
        <f t="shared" si="58"/>
        <v>#N/A</v>
      </c>
      <c r="Z719" t="e">
        <f t="shared" si="59"/>
        <v>#N/A</v>
      </c>
    </row>
    <row r="720" spans="21:26" x14ac:dyDescent="0.3">
      <c r="U720" t="e">
        <f t="shared" si="55"/>
        <v>#N/A</v>
      </c>
      <c r="V720">
        <v>3.17</v>
      </c>
      <c r="W720">
        <f t="shared" si="56"/>
        <v>2.6231260247810244E-3</v>
      </c>
      <c r="X720" t="e">
        <f t="shared" si="57"/>
        <v>#N/A</v>
      </c>
      <c r="Y720" t="e">
        <f t="shared" si="58"/>
        <v>#N/A</v>
      </c>
      <c r="Z720" t="e">
        <f t="shared" si="59"/>
        <v>#N/A</v>
      </c>
    </row>
    <row r="721" spans="21:26" x14ac:dyDescent="0.3">
      <c r="U721" t="e">
        <f t="shared" si="55"/>
        <v>#N/A</v>
      </c>
      <c r="V721">
        <v>3.18</v>
      </c>
      <c r="W721">
        <f t="shared" si="56"/>
        <v>2.5411500287265214E-3</v>
      </c>
      <c r="X721" t="e">
        <f t="shared" si="57"/>
        <v>#N/A</v>
      </c>
      <c r="Y721" t="e">
        <f t="shared" si="58"/>
        <v>#N/A</v>
      </c>
      <c r="Z721" t="e">
        <f t="shared" si="59"/>
        <v>#N/A</v>
      </c>
    </row>
    <row r="722" spans="21:26" x14ac:dyDescent="0.3">
      <c r="U722" t="e">
        <f t="shared" si="55"/>
        <v>#N/A</v>
      </c>
      <c r="V722">
        <v>3.19</v>
      </c>
      <c r="W722">
        <f t="shared" si="56"/>
        <v>2.4614897246407006E-3</v>
      </c>
      <c r="X722" t="e">
        <f t="shared" si="57"/>
        <v>#N/A</v>
      </c>
      <c r="Y722" t="e">
        <f t="shared" si="58"/>
        <v>#N/A</v>
      </c>
      <c r="Z722" t="e">
        <f t="shared" si="59"/>
        <v>#N/A</v>
      </c>
    </row>
    <row r="723" spans="21:26" x14ac:dyDescent="0.3">
      <c r="U723" t="e">
        <f t="shared" si="55"/>
        <v>#N/A</v>
      </c>
      <c r="V723">
        <v>3.2</v>
      </c>
      <c r="W723">
        <f t="shared" si="56"/>
        <v>2.3840882014648404E-3</v>
      </c>
      <c r="X723" t="e">
        <f t="shared" si="57"/>
        <v>#N/A</v>
      </c>
      <c r="Y723" t="e">
        <f t="shared" si="58"/>
        <v>#N/A</v>
      </c>
      <c r="Z723" t="e">
        <f t="shared" si="59"/>
        <v>#N/A</v>
      </c>
    </row>
    <row r="724" spans="21:26" x14ac:dyDescent="0.3">
      <c r="U724" t="e">
        <f t="shared" si="55"/>
        <v>#N/A</v>
      </c>
      <c r="V724">
        <v>3.21</v>
      </c>
      <c r="W724">
        <f t="shared" si="56"/>
        <v>2.3088896680064958E-3</v>
      </c>
      <c r="X724" t="e">
        <f t="shared" si="57"/>
        <v>#N/A</v>
      </c>
      <c r="Y724" t="e">
        <f t="shared" si="58"/>
        <v>#N/A</v>
      </c>
      <c r="Z724" t="e">
        <f t="shared" si="59"/>
        <v>#N/A</v>
      </c>
    </row>
    <row r="725" spans="21:26" x14ac:dyDescent="0.3">
      <c r="U725" t="e">
        <f t="shared" si="55"/>
        <v>#N/A</v>
      </c>
      <c r="V725">
        <v>3.22</v>
      </c>
      <c r="W725">
        <f t="shared" si="56"/>
        <v>2.2358394396885385E-3</v>
      </c>
      <c r="X725" t="e">
        <f t="shared" si="57"/>
        <v>#N/A</v>
      </c>
      <c r="Y725" t="e">
        <f t="shared" si="58"/>
        <v>#N/A</v>
      </c>
      <c r="Z725" t="e">
        <f t="shared" si="59"/>
        <v>#N/A</v>
      </c>
    </row>
    <row r="726" spans="21:26" x14ac:dyDescent="0.3">
      <c r="U726" t="e">
        <f t="shared" si="55"/>
        <v>#N/A</v>
      </c>
      <c r="V726">
        <v>3.23</v>
      </c>
      <c r="W726">
        <f t="shared" si="56"/>
        <v>2.164883925171062E-3</v>
      </c>
      <c r="X726" t="e">
        <f t="shared" si="57"/>
        <v>#N/A</v>
      </c>
      <c r="Y726" t="e">
        <f t="shared" si="58"/>
        <v>#N/A</v>
      </c>
      <c r="Z726" t="e">
        <f t="shared" si="59"/>
        <v>#N/A</v>
      </c>
    </row>
    <row r="727" spans="21:26" x14ac:dyDescent="0.3">
      <c r="U727" t="e">
        <f t="shared" si="55"/>
        <v>#N/A</v>
      </c>
      <c r="V727">
        <v>3.24</v>
      </c>
      <c r="W727">
        <f t="shared" si="56"/>
        <v>2.0959706128579419E-3</v>
      </c>
      <c r="X727" t="e">
        <f t="shared" si="57"/>
        <v>#N/A</v>
      </c>
      <c r="Y727" t="e">
        <f t="shared" si="58"/>
        <v>#N/A</v>
      </c>
      <c r="Z727" t="e">
        <f t="shared" si="59"/>
        <v>#N/A</v>
      </c>
    </row>
    <row r="728" spans="21:26" x14ac:dyDescent="0.3">
      <c r="U728" t="e">
        <f t="shared" si="55"/>
        <v>#N/A</v>
      </c>
      <c r="V728">
        <v>3.25</v>
      </c>
      <c r="W728">
        <f t="shared" si="56"/>
        <v>2.0290480572997681E-3</v>
      </c>
      <c r="X728" t="e">
        <f t="shared" si="57"/>
        <v>#N/A</v>
      </c>
      <c r="Y728" t="e">
        <f t="shared" si="58"/>
        <v>#N/A</v>
      </c>
      <c r="Z728" t="e">
        <f t="shared" si="59"/>
        <v>#N/A</v>
      </c>
    </row>
    <row r="729" spans="21:26" x14ac:dyDescent="0.3">
      <c r="U729" t="e">
        <f t="shared" si="55"/>
        <v>#N/A</v>
      </c>
      <c r="V729">
        <v>3.26</v>
      </c>
      <c r="W729">
        <f t="shared" si="56"/>
        <v>1.9640658655043761E-3</v>
      </c>
      <c r="X729" t="e">
        <f t="shared" si="57"/>
        <v>#N/A</v>
      </c>
      <c r="Y729" t="e">
        <f t="shared" si="58"/>
        <v>#N/A</v>
      </c>
      <c r="Z729" t="e">
        <f t="shared" si="59"/>
        <v>#N/A</v>
      </c>
    </row>
    <row r="730" spans="21:26" x14ac:dyDescent="0.3">
      <c r="U730" t="e">
        <f t="shared" si="55"/>
        <v>#N/A</v>
      </c>
      <c r="V730">
        <v>3.27</v>
      </c>
      <c r="W730">
        <f t="shared" si="56"/>
        <v>1.9009746831660803E-3</v>
      </c>
      <c r="X730" t="e">
        <f t="shared" si="57"/>
        <v>#N/A</v>
      </c>
      <c r="Y730" t="e">
        <f t="shared" si="58"/>
        <v>#N/A</v>
      </c>
      <c r="Z730" t="e">
        <f t="shared" si="59"/>
        <v>#N/A</v>
      </c>
    </row>
    <row r="731" spans="21:26" x14ac:dyDescent="0.3">
      <c r="U731" t="e">
        <f t="shared" si="55"/>
        <v>#N/A</v>
      </c>
      <c r="V731">
        <v>3.28</v>
      </c>
      <c r="W731">
        <f t="shared" si="56"/>
        <v>1.839726180824281E-3</v>
      </c>
      <c r="X731" t="e">
        <f t="shared" si="57"/>
        <v>#N/A</v>
      </c>
      <c r="Y731" t="e">
        <f t="shared" si="58"/>
        <v>#N/A</v>
      </c>
      <c r="Z731" t="e">
        <f t="shared" si="59"/>
        <v>#N/A</v>
      </c>
    </row>
    <row r="732" spans="21:26" x14ac:dyDescent="0.3">
      <c r="U732" t="e">
        <f t="shared" si="55"/>
        <v>#N/A</v>
      </c>
      <c r="V732">
        <v>3.29</v>
      </c>
      <c r="W732">
        <f t="shared" si="56"/>
        <v>1.7802730399618786E-3</v>
      </c>
      <c r="X732" t="e">
        <f t="shared" si="57"/>
        <v>#N/A</v>
      </c>
      <c r="Y732" t="e">
        <f t="shared" si="58"/>
        <v>#N/A</v>
      </c>
      <c r="Z732" t="e">
        <f t="shared" si="59"/>
        <v>#N/A</v>
      </c>
    </row>
    <row r="733" spans="21:26" x14ac:dyDescent="0.3">
      <c r="U733" t="e">
        <f t="shared" si="55"/>
        <v>#N/A</v>
      </c>
      <c r="V733">
        <v>3.3</v>
      </c>
      <c r="W733">
        <f t="shared" si="56"/>
        <v>1.7225689390536812E-3</v>
      </c>
      <c r="X733" t="e">
        <f t="shared" si="57"/>
        <v>#N/A</v>
      </c>
      <c r="Y733" t="e">
        <f t="shared" si="58"/>
        <v>#N/A</v>
      </c>
      <c r="Z733" t="e">
        <f t="shared" si="59"/>
        <v>#N/A</v>
      </c>
    </row>
    <row r="734" spans="21:26" x14ac:dyDescent="0.3">
      <c r="U734" t="e">
        <f t="shared" si="55"/>
        <v>#N/A</v>
      </c>
      <c r="V734">
        <v>3.31</v>
      </c>
      <c r="W734">
        <f t="shared" si="56"/>
        <v>1.6665685395745797E-3</v>
      </c>
      <c r="X734" t="e">
        <f t="shared" si="57"/>
        <v>#N/A</v>
      </c>
      <c r="Y734" t="e">
        <f t="shared" si="58"/>
        <v>#N/A</v>
      </c>
      <c r="Z734" t="e">
        <f t="shared" si="59"/>
        <v>#N/A</v>
      </c>
    </row>
    <row r="735" spans="21:26" x14ac:dyDescent="0.3">
      <c r="U735" t="e">
        <f t="shared" si="55"/>
        <v>#N/A</v>
      </c>
      <c r="V735">
        <v>3.32</v>
      </c>
      <c r="W735">
        <f t="shared" si="56"/>
        <v>1.6122274719771244E-3</v>
      </c>
      <c r="X735" t="e">
        <f t="shared" si="57"/>
        <v>#N/A</v>
      </c>
      <c r="Y735" t="e">
        <f t="shared" si="58"/>
        <v>#N/A</v>
      </c>
      <c r="Z735" t="e">
        <f t="shared" si="59"/>
        <v>#N/A</v>
      </c>
    </row>
    <row r="736" spans="21:26" x14ac:dyDescent="0.3">
      <c r="U736" t="e">
        <f t="shared" si="55"/>
        <v>#N/A</v>
      </c>
      <c r="V736">
        <v>3.33</v>
      </c>
      <c r="W736">
        <f t="shared" si="56"/>
        <v>1.5595023216476915E-3</v>
      </c>
      <c r="X736" t="e">
        <f t="shared" si="57"/>
        <v>#N/A</v>
      </c>
      <c r="Y736" t="e">
        <f t="shared" si="58"/>
        <v>#N/A</v>
      </c>
      <c r="Z736" t="e">
        <f t="shared" si="59"/>
        <v>#N/A</v>
      </c>
    </row>
    <row r="737" spans="21:26" x14ac:dyDescent="0.3">
      <c r="U737" t="e">
        <f t="shared" si="55"/>
        <v>#N/A</v>
      </c>
      <c r="V737">
        <v>3.34</v>
      </c>
      <c r="W737">
        <f t="shared" si="56"/>
        <v>1.5083506148503073E-3</v>
      </c>
      <c r="X737" t="e">
        <f t="shared" si="57"/>
        <v>#N/A</v>
      </c>
      <c r="Y737" t="e">
        <f t="shared" si="58"/>
        <v>#N/A</v>
      </c>
      <c r="Z737" t="e">
        <f t="shared" si="59"/>
        <v>#N/A</v>
      </c>
    </row>
    <row r="738" spans="21:26" x14ac:dyDescent="0.3">
      <c r="U738" t="e">
        <f t="shared" si="55"/>
        <v>#N/A</v>
      </c>
      <c r="V738">
        <v>3.35</v>
      </c>
      <c r="W738">
        <f t="shared" si="56"/>
        <v>1.4587308046667459E-3</v>
      </c>
      <c r="X738" t="e">
        <f t="shared" si="57"/>
        <v>#N/A</v>
      </c>
      <c r="Y738" t="e">
        <f t="shared" si="58"/>
        <v>#N/A</v>
      </c>
      <c r="Z738" t="e">
        <f t="shared" si="59"/>
        <v>#N/A</v>
      </c>
    </row>
    <row r="739" spans="21:26" x14ac:dyDescent="0.3">
      <c r="U739" t="e">
        <f t="shared" si="55"/>
        <v>#N/A</v>
      </c>
      <c r="V739">
        <v>3.36</v>
      </c>
      <c r="W739">
        <f t="shared" si="56"/>
        <v>1.4106022569413848E-3</v>
      </c>
      <c r="X739" t="e">
        <f t="shared" si="57"/>
        <v>#N/A</v>
      </c>
      <c r="Y739" t="e">
        <f t="shared" si="58"/>
        <v>#N/A</v>
      </c>
      <c r="Z739" t="e">
        <f t="shared" si="59"/>
        <v>#N/A</v>
      </c>
    </row>
    <row r="740" spans="21:26" x14ac:dyDescent="0.3">
      <c r="U740" t="e">
        <f t="shared" si="55"/>
        <v>#N/A</v>
      </c>
      <c r="V740">
        <v>3.37</v>
      </c>
      <c r="W740">
        <f t="shared" si="56"/>
        <v>1.3639252362389036E-3</v>
      </c>
      <c r="X740" t="e">
        <f t="shared" si="57"/>
        <v>#N/A</v>
      </c>
      <c r="Y740" t="e">
        <f t="shared" si="58"/>
        <v>#N/A</v>
      </c>
      <c r="Z740" t="e">
        <f t="shared" si="59"/>
        <v>#N/A</v>
      </c>
    </row>
    <row r="741" spans="21:26" x14ac:dyDescent="0.3">
      <c r="U741" t="e">
        <f t="shared" si="55"/>
        <v>#N/A</v>
      </c>
      <c r="V741">
        <v>3.38</v>
      </c>
      <c r="W741">
        <f t="shared" si="56"/>
        <v>1.3186608918227423E-3</v>
      </c>
      <c r="X741" t="e">
        <f t="shared" si="57"/>
        <v>#N/A</v>
      </c>
      <c r="Y741" t="e">
        <f t="shared" si="58"/>
        <v>#N/A</v>
      </c>
      <c r="Z741" t="e">
        <f t="shared" si="59"/>
        <v>#N/A</v>
      </c>
    </row>
    <row r="742" spans="21:26" x14ac:dyDescent="0.3">
      <c r="U742" t="e">
        <f t="shared" si="55"/>
        <v>#N/A</v>
      </c>
      <c r="V742">
        <v>3.39</v>
      </c>
      <c r="W742">
        <f t="shared" si="56"/>
        <v>1.2747712436618327E-3</v>
      </c>
      <c r="X742" t="e">
        <f t="shared" si="57"/>
        <v>#N/A</v>
      </c>
      <c r="Y742" t="e">
        <f t="shared" si="58"/>
        <v>#N/A</v>
      </c>
      <c r="Z742" t="e">
        <f t="shared" si="59"/>
        <v>#N/A</v>
      </c>
    </row>
    <row r="743" spans="21:26" x14ac:dyDescent="0.3">
      <c r="U743" t="e">
        <f t="shared" si="55"/>
        <v>#N/A</v>
      </c>
      <c r="V743">
        <v>3.4</v>
      </c>
      <c r="W743">
        <f t="shared" si="56"/>
        <v>1.2322191684730199E-3</v>
      </c>
      <c r="X743" t="e">
        <f t="shared" si="57"/>
        <v>#N/A</v>
      </c>
      <c r="Y743" t="e">
        <f t="shared" si="58"/>
        <v>#N/A</v>
      </c>
      <c r="Z743" t="e">
        <f t="shared" si="59"/>
        <v>#N/A</v>
      </c>
    </row>
    <row r="744" spans="21:26" x14ac:dyDescent="0.3">
      <c r="U744" t="e">
        <f t="shared" si="55"/>
        <v>#N/A</v>
      </c>
      <c r="V744">
        <v>3.41</v>
      </c>
      <c r="W744">
        <f t="shared" si="56"/>
        <v>1.1909683858061166E-3</v>
      </c>
      <c r="X744" t="e">
        <f t="shared" si="57"/>
        <v>#N/A</v>
      </c>
      <c r="Y744" t="e">
        <f t="shared" si="58"/>
        <v>#N/A</v>
      </c>
      <c r="Z744" t="e">
        <f t="shared" si="59"/>
        <v>#N/A</v>
      </c>
    </row>
    <row r="745" spans="21:26" x14ac:dyDescent="0.3">
      <c r="U745" t="e">
        <f t="shared" si="55"/>
        <v>#N/A</v>
      </c>
      <c r="V745">
        <v>3.42</v>
      </c>
      <c r="W745">
        <f t="shared" si="56"/>
        <v>1.1509834441784845E-3</v>
      </c>
      <c r="X745" t="e">
        <f t="shared" si="57"/>
        <v>#N/A</v>
      </c>
      <c r="Y745" t="e">
        <f t="shared" si="58"/>
        <v>#N/A</v>
      </c>
      <c r="Z745" t="e">
        <f t="shared" si="59"/>
        <v>#N/A</v>
      </c>
    </row>
    <row r="746" spans="21:26" x14ac:dyDescent="0.3">
      <c r="U746" t="e">
        <f t="shared" si="55"/>
        <v>#N/A</v>
      </c>
      <c r="V746">
        <v>3.43</v>
      </c>
      <c r="W746">
        <f t="shared" si="56"/>
        <v>1.1122297072655649E-3</v>
      </c>
      <c r="X746" t="e">
        <f t="shared" si="57"/>
        <v>#N/A</v>
      </c>
      <c r="Y746" t="e">
        <f t="shared" si="58"/>
        <v>#N/A</v>
      </c>
      <c r="Z746" t="e">
        <f t="shared" si="59"/>
        <v>#N/A</v>
      </c>
    </row>
    <row r="747" spans="21:26" x14ac:dyDescent="0.3">
      <c r="U747" t="e">
        <f t="shared" si="55"/>
        <v>#N/A</v>
      </c>
      <c r="V747">
        <v>3.44</v>
      </c>
      <c r="W747">
        <f t="shared" si="56"/>
        <v>1.0746733401537356E-3</v>
      </c>
      <c r="X747" t="e">
        <f t="shared" si="57"/>
        <v>#N/A</v>
      </c>
      <c r="Y747" t="e">
        <f t="shared" si="58"/>
        <v>#N/A</v>
      </c>
      <c r="Z747" t="e">
        <f t="shared" si="59"/>
        <v>#N/A</v>
      </c>
    </row>
    <row r="748" spans="21:26" x14ac:dyDescent="0.3">
      <c r="U748" t="e">
        <f t="shared" si="55"/>
        <v>#N/A</v>
      </c>
      <c r="V748">
        <v>3.45</v>
      </c>
      <c r="W748">
        <f t="shared" si="56"/>
        <v>1.0382812956614103E-3</v>
      </c>
      <c r="X748" t="e">
        <f t="shared" si="57"/>
        <v>#N/A</v>
      </c>
      <c r="Y748" t="e">
        <f t="shared" si="58"/>
        <v>#N/A</v>
      </c>
      <c r="Z748" t="e">
        <f t="shared" si="59"/>
        <v>#N/A</v>
      </c>
    </row>
    <row r="749" spans="21:26" x14ac:dyDescent="0.3">
      <c r="U749" t="e">
        <f t="shared" si="55"/>
        <v>#N/A</v>
      </c>
      <c r="V749">
        <v>3.46</v>
      </c>
      <c r="W749">
        <f t="shared" si="56"/>
        <v>1.0030213007342376E-3</v>
      </c>
      <c r="X749" t="e">
        <f t="shared" si="57"/>
        <v>#N/A</v>
      </c>
      <c r="Y749" t="e">
        <f t="shared" si="58"/>
        <v>#N/A</v>
      </c>
      <c r="Z749" t="e">
        <f t="shared" si="59"/>
        <v>#N/A</v>
      </c>
    </row>
    <row r="750" spans="21:26" x14ac:dyDescent="0.3">
      <c r="U750" t="e">
        <f t="shared" si="55"/>
        <v>#N/A</v>
      </c>
      <c r="V750">
        <v>3.47</v>
      </c>
      <c r="W750">
        <f t="shared" si="56"/>
        <v>9.6886184291984591E-4</v>
      </c>
      <c r="X750" t="e">
        <f t="shared" si="57"/>
        <v>#N/A</v>
      </c>
      <c r="Y750" t="e">
        <f t="shared" si="58"/>
        <v>#N/A</v>
      </c>
      <c r="Z750" t="e">
        <f t="shared" si="59"/>
        <v>#N/A</v>
      </c>
    </row>
    <row r="751" spans="21:26" x14ac:dyDescent="0.3">
      <c r="U751" t="e">
        <f t="shared" si="55"/>
        <v>#N/A</v>
      </c>
      <c r="V751">
        <v>3.48</v>
      </c>
      <c r="W751">
        <f t="shared" si="56"/>
        <v>9.3577215692747977E-4</v>
      </c>
      <c r="X751" t="e">
        <f t="shared" si="57"/>
        <v>#N/A</v>
      </c>
      <c r="Y751" t="e">
        <f t="shared" si="58"/>
        <v>#N/A</v>
      </c>
      <c r="Z751" t="e">
        <f t="shared" si="59"/>
        <v>#N/A</v>
      </c>
    </row>
    <row r="752" spans="21:26" x14ac:dyDescent="0.3">
      <c r="U752" t="e">
        <f t="shared" si="55"/>
        <v>#N/A</v>
      </c>
      <c r="V752">
        <v>3.49</v>
      </c>
      <c r="W752">
        <f t="shared" si="56"/>
        <v>9.0372221127752448E-4</v>
      </c>
      <c r="X752" t="e">
        <f t="shared" si="57"/>
        <v>#N/A</v>
      </c>
      <c r="Y752" t="e">
        <f t="shared" si="58"/>
        <v>#N/A</v>
      </c>
      <c r="Z752" t="e">
        <f t="shared" si="59"/>
        <v>#N/A</v>
      </c>
    </row>
    <row r="753" spans="21:26" x14ac:dyDescent="0.3">
      <c r="U753" t="e">
        <f t="shared" si="55"/>
        <v>#N/A</v>
      </c>
      <c r="V753">
        <v>3.5</v>
      </c>
      <c r="W753">
        <f t="shared" si="56"/>
        <v>8.7268269504576015E-4</v>
      </c>
      <c r="X753" t="e">
        <f t="shared" si="57"/>
        <v>#N/A</v>
      </c>
      <c r="Y753" t="e">
        <f t="shared" si="58"/>
        <v>#N/A</v>
      </c>
      <c r="Z753" t="e">
        <f t="shared" si="59"/>
        <v>#N/A</v>
      </c>
    </row>
    <row r="754" spans="21:26" x14ac:dyDescent="0.3">
      <c r="U754" t="e">
        <f t="shared" si="55"/>
        <v>#N/A</v>
      </c>
      <c r="V754">
        <v>3.51</v>
      </c>
      <c r="W754">
        <f t="shared" si="56"/>
        <v>8.4262500470690268E-4</v>
      </c>
      <c r="X754" t="e">
        <f t="shared" si="57"/>
        <v>#N/A</v>
      </c>
      <c r="Y754" t="e">
        <f t="shared" si="58"/>
        <v>#N/A</v>
      </c>
      <c r="Z754" t="e">
        <f t="shared" si="59"/>
        <v>#N/A</v>
      </c>
    </row>
    <row r="755" spans="21:26" x14ac:dyDescent="0.3">
      <c r="U755" t="e">
        <f t="shared" si="55"/>
        <v>#N/A</v>
      </c>
      <c r="V755">
        <v>3.52</v>
      </c>
      <c r="W755">
        <f t="shared" si="56"/>
        <v>8.1352123108180841E-4</v>
      </c>
      <c r="X755" t="e">
        <f t="shared" si="57"/>
        <v>#N/A</v>
      </c>
      <c r="Y755" t="e">
        <f t="shared" si="58"/>
        <v>#N/A</v>
      </c>
      <c r="Z755" t="e">
        <f t="shared" si="59"/>
        <v>#N/A</v>
      </c>
    </row>
    <row r="756" spans="21:26" x14ac:dyDescent="0.3">
      <c r="U756" t="e">
        <f t="shared" si="55"/>
        <v>#N/A</v>
      </c>
      <c r="V756">
        <v>3.53</v>
      </c>
      <c r="W756">
        <f t="shared" si="56"/>
        <v>7.8534414639246997E-4</v>
      </c>
      <c r="X756" t="e">
        <f t="shared" si="57"/>
        <v>#N/A</v>
      </c>
      <c r="Y756" t="e">
        <f t="shared" si="58"/>
        <v>#N/A</v>
      </c>
      <c r="Z756" t="e">
        <f t="shared" si="59"/>
        <v>#N/A</v>
      </c>
    </row>
    <row r="757" spans="21:26" x14ac:dyDescent="0.3">
      <c r="U757" t="e">
        <f t="shared" si="55"/>
        <v>#N/A</v>
      </c>
      <c r="V757">
        <v>3.54</v>
      </c>
      <c r="W757">
        <f t="shared" si="56"/>
        <v>7.580671914287103E-4</v>
      </c>
      <c r="X757" t="e">
        <f t="shared" si="57"/>
        <v>#N/A</v>
      </c>
      <c r="Y757" t="e">
        <f t="shared" si="58"/>
        <v>#N/A</v>
      </c>
      <c r="Z757" t="e">
        <f t="shared" si="59"/>
        <v>#N/A</v>
      </c>
    </row>
    <row r="758" spans="21:26" x14ac:dyDescent="0.3">
      <c r="U758" t="e">
        <f t="shared" si="55"/>
        <v>#N/A</v>
      </c>
      <c r="V758">
        <v>3.55</v>
      </c>
      <c r="W758">
        <f t="shared" si="56"/>
        <v>7.3166446283031089E-4</v>
      </c>
      <c r="X758" t="e">
        <f t="shared" si="57"/>
        <v>#N/A</v>
      </c>
      <c r="Y758" t="e">
        <f t="shared" si="58"/>
        <v>#N/A</v>
      </c>
      <c r="Z758" t="e">
        <f t="shared" si="59"/>
        <v>#N/A</v>
      </c>
    </row>
    <row r="759" spans="21:26" x14ac:dyDescent="0.3">
      <c r="U759" t="e">
        <f t="shared" si="55"/>
        <v>#N/A</v>
      </c>
      <c r="V759">
        <v>3.56</v>
      </c>
      <c r="W759">
        <f t="shared" si="56"/>
        <v>7.061107004880362E-4</v>
      </c>
      <c r="X759" t="e">
        <f t="shared" si="57"/>
        <v>#N/A</v>
      </c>
      <c r="Y759" t="e">
        <f t="shared" si="58"/>
        <v>#N/A</v>
      </c>
      <c r="Z759" t="e">
        <f t="shared" si="59"/>
        <v>#N/A</v>
      </c>
    </row>
    <row r="760" spans="21:26" x14ac:dyDescent="0.3">
      <c r="U760" t="e">
        <f t="shared" si="55"/>
        <v>#N/A</v>
      </c>
      <c r="V760">
        <v>3.57</v>
      </c>
      <c r="W760">
        <f t="shared" si="56"/>
        <v>6.8138127506689212E-4</v>
      </c>
      <c r="X760" t="e">
        <f t="shared" si="57"/>
        <v>#N/A</v>
      </c>
      <c r="Y760" t="e">
        <f t="shared" si="58"/>
        <v>#N/A</v>
      </c>
      <c r="Z760" t="e">
        <f t="shared" si="59"/>
        <v>#N/A</v>
      </c>
    </row>
    <row r="761" spans="21:26" x14ac:dyDescent="0.3">
      <c r="U761" t="e">
        <f t="shared" si="55"/>
        <v>#N/A</v>
      </c>
      <c r="V761">
        <v>3.58</v>
      </c>
      <c r="W761">
        <f t="shared" si="56"/>
        <v>6.5745217565467645E-4</v>
      </c>
      <c r="X761" t="e">
        <f t="shared" si="57"/>
        <v>#N/A</v>
      </c>
      <c r="Y761" t="e">
        <f t="shared" si="58"/>
        <v>#N/A</v>
      </c>
      <c r="Z761" t="e">
        <f t="shared" si="59"/>
        <v>#N/A</v>
      </c>
    </row>
    <row r="762" spans="21:26" x14ac:dyDescent="0.3">
      <c r="U762" t="e">
        <f t="shared" si="55"/>
        <v>#N/A</v>
      </c>
      <c r="V762">
        <v>3.59</v>
      </c>
      <c r="W762">
        <f t="shared" si="56"/>
        <v>6.342999975387576E-4</v>
      </c>
      <c r="X762" t="e">
        <f t="shared" si="57"/>
        <v>#N/A</v>
      </c>
      <c r="Y762" t="e">
        <f t="shared" si="58"/>
        <v>#N/A</v>
      </c>
      <c r="Z762" t="e">
        <f t="shared" si="59"/>
        <v>#N/A</v>
      </c>
    </row>
    <row r="763" spans="21:26" x14ac:dyDescent="0.3">
      <c r="U763" t="e">
        <f t="shared" si="55"/>
        <v>#N/A</v>
      </c>
      <c r="V763">
        <v>3.6</v>
      </c>
      <c r="W763">
        <f t="shared" si="56"/>
        <v>6.119019301137719E-4</v>
      </c>
      <c r="X763" t="e">
        <f t="shared" si="57"/>
        <v>#N/A</v>
      </c>
      <c r="Y763" t="e">
        <f t="shared" si="58"/>
        <v>#N/A</v>
      </c>
      <c r="Z763" t="e">
        <f t="shared" si="59"/>
        <v>#N/A</v>
      </c>
    </row>
    <row r="764" spans="21:26" x14ac:dyDescent="0.3">
      <c r="U764" t="e">
        <f t="shared" si="55"/>
        <v>#N/A</v>
      </c>
      <c r="V764">
        <v>3.61</v>
      </c>
      <c r="W764">
        <f t="shared" si="56"/>
        <v>5.9023574492278561E-4</v>
      </c>
      <c r="X764" t="e">
        <f t="shared" si="57"/>
        <v>#N/A</v>
      </c>
      <c r="Y764" t="e">
        <f t="shared" si="58"/>
        <v>#N/A</v>
      </c>
      <c r="Z764" t="e">
        <f t="shared" si="59"/>
        <v>#N/A</v>
      </c>
    </row>
    <row r="765" spans="21:26" x14ac:dyDescent="0.3">
      <c r="U765" t="e">
        <f t="shared" si="55"/>
        <v>#N/A</v>
      </c>
      <c r="V765">
        <v>3.62</v>
      </c>
      <c r="W765">
        <f t="shared" si="56"/>
        <v>5.6927978383425261E-4</v>
      </c>
      <c r="X765" t="e">
        <f t="shared" si="57"/>
        <v>#N/A</v>
      </c>
      <c r="Y765" t="e">
        <f t="shared" si="58"/>
        <v>#N/A</v>
      </c>
      <c r="Z765" t="e">
        <f t="shared" si="59"/>
        <v>#N/A</v>
      </c>
    </row>
    <row r="766" spans="21:26" x14ac:dyDescent="0.3">
      <c r="U766" t="e">
        <f t="shared" si="55"/>
        <v>#N/A</v>
      </c>
      <c r="V766">
        <v>3.63</v>
      </c>
      <c r="W766">
        <f t="shared" si="56"/>
        <v>5.490129473569587E-4</v>
      </c>
      <c r="X766" t="e">
        <f t="shared" si="57"/>
        <v>#N/A</v>
      </c>
      <c r="Y766" t="e">
        <f t="shared" si="58"/>
        <v>#N/A</v>
      </c>
      <c r="Z766" t="e">
        <f t="shared" si="59"/>
        <v>#N/A</v>
      </c>
    </row>
    <row r="767" spans="21:26" x14ac:dyDescent="0.3">
      <c r="U767" t="e">
        <f t="shared" si="55"/>
        <v>#N/A</v>
      </c>
      <c r="V767">
        <v>3.64</v>
      </c>
      <c r="W767">
        <f t="shared" si="56"/>
        <v>5.2941468309493475E-4</v>
      </c>
      <c r="X767" t="e">
        <f t="shared" si="57"/>
        <v>#N/A</v>
      </c>
      <c r="Y767" t="e">
        <f t="shared" si="58"/>
        <v>#N/A</v>
      </c>
      <c r="Z767" t="e">
        <f t="shared" si="59"/>
        <v>#N/A</v>
      </c>
    </row>
    <row r="768" spans="21:26" x14ac:dyDescent="0.3">
      <c r="U768" t="e">
        <f t="shared" si="55"/>
        <v>#N/A</v>
      </c>
      <c r="V768">
        <v>3.65</v>
      </c>
      <c r="W768">
        <f t="shared" si="56"/>
        <v>5.104649743441856E-4</v>
      </c>
      <c r="X768" t="e">
        <f t="shared" si="57"/>
        <v>#N/A</v>
      </c>
      <c r="Y768" t="e">
        <f t="shared" si="58"/>
        <v>#N/A</v>
      </c>
      <c r="Z768" t="e">
        <f t="shared" si="59"/>
        <v>#N/A</v>
      </c>
    </row>
    <row r="769" spans="21:26" x14ac:dyDescent="0.3">
      <c r="U769" t="e">
        <f t="shared" si="55"/>
        <v>#N/A</v>
      </c>
      <c r="V769">
        <v>3.66</v>
      </c>
      <c r="W769">
        <f t="shared" si="56"/>
        <v>4.9214432883289312E-4</v>
      </c>
      <c r="X769" t="e">
        <f t="shared" si="57"/>
        <v>#N/A</v>
      </c>
      <c r="Y769" t="e">
        <f t="shared" si="58"/>
        <v>#N/A</v>
      </c>
      <c r="Z769" t="e">
        <f t="shared" si="59"/>
        <v>#N/A</v>
      </c>
    </row>
    <row r="770" spans="21:26" x14ac:dyDescent="0.3">
      <c r="U770" t="e">
        <f t="shared" si="55"/>
        <v>#N/A</v>
      </c>
      <c r="V770">
        <v>3.67</v>
      </c>
      <c r="W770">
        <f t="shared" si="56"/>
        <v>4.7443376760662064E-4</v>
      </c>
      <c r="X770" t="e">
        <f t="shared" si="57"/>
        <v>#N/A</v>
      </c>
      <c r="Y770" t="e">
        <f t="shared" si="58"/>
        <v>#N/A</v>
      </c>
      <c r="Z770" t="e">
        <f t="shared" si="59"/>
        <v>#N/A</v>
      </c>
    </row>
    <row r="771" spans="21:26" x14ac:dyDescent="0.3">
      <c r="U771" t="e">
        <f t="shared" si="55"/>
        <v>#N/A</v>
      </c>
      <c r="V771">
        <v>3.68</v>
      </c>
      <c r="W771">
        <f t="shared" si="56"/>
        <v>4.5731481405985675E-4</v>
      </c>
      <c r="X771" t="e">
        <f t="shared" si="57"/>
        <v>#N/A</v>
      </c>
      <c r="Y771" t="e">
        <f t="shared" si="58"/>
        <v>#N/A</v>
      </c>
      <c r="Z771" t="e">
        <f t="shared" si="59"/>
        <v>#N/A</v>
      </c>
    </row>
    <row r="772" spans="21:26" x14ac:dyDescent="0.3">
      <c r="U772" t="e">
        <f t="shared" ref="U772:U803" si="60">IF($A$2=ABS(V772),0,NA())</f>
        <v>#N/A</v>
      </c>
      <c r="V772">
        <v>3.69</v>
      </c>
      <c r="W772">
        <f t="shared" ref="W772:W803" si="61">_xlfn.NORM.S.DIST(V772,0)</f>
        <v>4.4076948311513252E-4</v>
      </c>
      <c r="X772" t="e">
        <f t="shared" ref="X772:X803" si="62">IF(ABS(V772)=$A$2,W772,NA())</f>
        <v>#N/A</v>
      </c>
      <c r="Y772" t="e">
        <f t="shared" ref="Y772:Y803" si="63">IF(V772&lt;=$A$2,W772,NA())</f>
        <v>#N/A</v>
      </c>
      <c r="Z772" t="e">
        <f t="shared" ref="Z772:Z803" si="64">IF(ABS(V772)&lt;=$A$2,W772,NA())</f>
        <v>#N/A</v>
      </c>
    </row>
    <row r="773" spans="21:26" x14ac:dyDescent="0.3">
      <c r="U773" t="e">
        <f t="shared" si="60"/>
        <v>#N/A</v>
      </c>
      <c r="V773">
        <v>3.7</v>
      </c>
      <c r="W773">
        <f t="shared" si="61"/>
        <v>4.2478027055075143E-4</v>
      </c>
      <c r="X773" t="e">
        <f t="shared" si="62"/>
        <v>#N/A</v>
      </c>
      <c r="Y773" t="e">
        <f t="shared" si="63"/>
        <v>#N/A</v>
      </c>
      <c r="Z773" t="e">
        <f t="shared" si="64"/>
        <v>#N/A</v>
      </c>
    </row>
    <row r="774" spans="21:26" x14ac:dyDescent="0.3">
      <c r="U774" t="e">
        <f t="shared" si="60"/>
        <v>#N/A</v>
      </c>
      <c r="V774">
        <v>3.71</v>
      </c>
      <c r="W774">
        <f t="shared" si="61"/>
        <v>4.0933014247807883E-4</v>
      </c>
      <c r="X774" t="e">
        <f t="shared" si="62"/>
        <v>#N/A</v>
      </c>
      <c r="Y774" t="e">
        <f t="shared" si="63"/>
        <v>#N/A</v>
      </c>
      <c r="Z774" t="e">
        <f t="shared" si="64"/>
        <v>#N/A</v>
      </c>
    </row>
    <row r="775" spans="21:26" x14ac:dyDescent="0.3">
      <c r="U775" t="e">
        <f t="shared" si="60"/>
        <v>#N/A</v>
      </c>
      <c r="V775">
        <v>3.72</v>
      </c>
      <c r="W775">
        <f t="shared" si="61"/>
        <v>3.9440252496915622E-4</v>
      </c>
      <c r="X775" t="e">
        <f t="shared" si="62"/>
        <v>#N/A</v>
      </c>
      <c r="Y775" t="e">
        <f t="shared" si="63"/>
        <v>#N/A</v>
      </c>
      <c r="Z775" t="e">
        <f t="shared" si="64"/>
        <v>#N/A</v>
      </c>
    </row>
    <row r="776" spans="21:26" x14ac:dyDescent="0.3">
      <c r="U776" t="e">
        <f t="shared" si="60"/>
        <v>#N/A</v>
      </c>
      <c r="V776">
        <v>3.73</v>
      </c>
      <c r="W776">
        <f t="shared" si="61"/>
        <v>3.7998129383532141E-4</v>
      </c>
      <c r="X776" t="e">
        <f t="shared" si="62"/>
        <v>#N/A</v>
      </c>
      <c r="Y776" t="e">
        <f t="shared" si="63"/>
        <v>#N/A</v>
      </c>
      <c r="Z776" t="e">
        <f t="shared" si="64"/>
        <v>#N/A</v>
      </c>
    </row>
    <row r="777" spans="21:26" x14ac:dyDescent="0.3">
      <c r="U777" t="e">
        <f t="shared" si="60"/>
        <v>#N/A</v>
      </c>
      <c r="V777">
        <v>3.74</v>
      </c>
      <c r="W777">
        <f t="shared" si="61"/>
        <v>3.6605076455733496E-4</v>
      </c>
      <c r="X777" t="e">
        <f t="shared" si="62"/>
        <v>#N/A</v>
      </c>
      <c r="Y777" t="e">
        <f t="shared" si="63"/>
        <v>#N/A</v>
      </c>
      <c r="Z777" t="e">
        <f t="shared" si="64"/>
        <v>#N/A</v>
      </c>
    </row>
    <row r="778" spans="21:26" x14ac:dyDescent="0.3">
      <c r="U778" t="e">
        <f t="shared" si="60"/>
        <v>#N/A</v>
      </c>
      <c r="V778">
        <v>3.75</v>
      </c>
      <c r="W778">
        <f t="shared" si="61"/>
        <v>3.5259568236744541E-4</v>
      </c>
      <c r="X778" t="e">
        <f t="shared" si="62"/>
        <v>#N/A</v>
      </c>
      <c r="Y778" t="e">
        <f t="shared" si="63"/>
        <v>#N/A</v>
      </c>
      <c r="Z778" t="e">
        <f t="shared" si="64"/>
        <v>#N/A</v>
      </c>
    </row>
    <row r="779" spans="21:26" x14ac:dyDescent="0.3">
      <c r="U779" t="e">
        <f t="shared" si="60"/>
        <v>#N/A</v>
      </c>
      <c r="V779">
        <v>3.76</v>
      </c>
      <c r="W779">
        <f t="shared" si="61"/>
        <v>3.3960121248365478E-4</v>
      </c>
      <c r="X779" t="e">
        <f t="shared" si="62"/>
        <v>#N/A</v>
      </c>
      <c r="Y779" t="e">
        <f t="shared" si="63"/>
        <v>#N/A</v>
      </c>
      <c r="Z779" t="e">
        <f t="shared" si="64"/>
        <v>#N/A</v>
      </c>
    </row>
    <row r="780" spans="21:26" x14ac:dyDescent="0.3">
      <c r="U780" t="e">
        <f t="shared" si="60"/>
        <v>#N/A</v>
      </c>
      <c r="V780">
        <v>3.77</v>
      </c>
      <c r="W780">
        <f t="shared" si="61"/>
        <v>3.2705293049637498E-4</v>
      </c>
      <c r="X780" t="e">
        <f t="shared" si="62"/>
        <v>#N/A</v>
      </c>
      <c r="Y780" t="e">
        <f t="shared" si="63"/>
        <v>#N/A</v>
      </c>
      <c r="Z780" t="e">
        <f t="shared" si="64"/>
        <v>#N/A</v>
      </c>
    </row>
    <row r="781" spans="21:26" x14ac:dyDescent="0.3">
      <c r="U781" t="e">
        <f t="shared" si="60"/>
        <v>#N/A</v>
      </c>
      <c r="V781">
        <v>3.78</v>
      </c>
      <c r="W781">
        <f t="shared" si="61"/>
        <v>3.1493681290752188E-4</v>
      </c>
      <c r="X781" t="e">
        <f t="shared" si="62"/>
        <v>#N/A</v>
      </c>
      <c r="Y781" t="e">
        <f t="shared" si="63"/>
        <v>#N/A</v>
      </c>
      <c r="Z781" t="e">
        <f t="shared" si="64"/>
        <v>#N/A</v>
      </c>
    </row>
    <row r="782" spans="21:26" x14ac:dyDescent="0.3">
      <c r="U782" t="e">
        <f t="shared" si="60"/>
        <v>#N/A</v>
      </c>
      <c r="V782">
        <v>3.79</v>
      </c>
      <c r="W782">
        <f t="shared" si="61"/>
        <v>3.0323922782200417E-4</v>
      </c>
      <c r="X782" t="e">
        <f t="shared" si="62"/>
        <v>#N/A</v>
      </c>
      <c r="Y782" t="e">
        <f t="shared" si="63"/>
        <v>#N/A</v>
      </c>
      <c r="Z782" t="e">
        <f t="shared" si="64"/>
        <v>#N/A</v>
      </c>
    </row>
    <row r="783" spans="21:26" x14ac:dyDescent="0.3">
      <c r="U783" t="e">
        <f t="shared" si="60"/>
        <v>#N/A</v>
      </c>
      <c r="V783">
        <v>3.8</v>
      </c>
      <c r="W783">
        <f t="shared" si="61"/>
        <v>2.9194692579146027E-4</v>
      </c>
      <c r="X783" t="e">
        <f t="shared" si="62"/>
        <v>#N/A</v>
      </c>
      <c r="Y783" t="e">
        <f t="shared" si="63"/>
        <v>#N/A</v>
      </c>
      <c r="Z783" t="e">
        <f t="shared" si="64"/>
        <v>#N/A</v>
      </c>
    </row>
    <row r="784" spans="21:26" x14ac:dyDescent="0.3">
      <c r="U784" t="e">
        <f t="shared" si="60"/>
        <v>#N/A</v>
      </c>
      <c r="V784">
        <v>3.81</v>
      </c>
      <c r="W784">
        <f t="shared" si="61"/>
        <v>2.8104703080998632E-4</v>
      </c>
      <c r="X784" t="e">
        <f t="shared" si="62"/>
        <v>#N/A</v>
      </c>
      <c r="Y784" t="e">
        <f t="shared" si="63"/>
        <v>#N/A</v>
      </c>
      <c r="Z784" t="e">
        <f t="shared" si="64"/>
        <v>#N/A</v>
      </c>
    </row>
    <row r="785" spans="21:26" x14ac:dyDescent="0.3">
      <c r="U785" t="e">
        <f t="shared" si="60"/>
        <v>#N/A</v>
      </c>
      <c r="V785">
        <v>3.82</v>
      </c>
      <c r="W785">
        <f t="shared" si="61"/>
        <v>2.70527031461521E-4</v>
      </c>
      <c r="X785" t="e">
        <f t="shared" si="62"/>
        <v>#N/A</v>
      </c>
      <c r="Y785" t="e">
        <f t="shared" si="63"/>
        <v>#N/A</v>
      </c>
      <c r="Z785" t="e">
        <f t="shared" si="64"/>
        <v>#N/A</v>
      </c>
    </row>
    <row r="786" spans="21:26" x14ac:dyDescent="0.3">
      <c r="U786" t="e">
        <f t="shared" si="60"/>
        <v>#N/A</v>
      </c>
      <c r="V786">
        <v>3.83</v>
      </c>
      <c r="W786">
        <f t="shared" si="61"/>
        <v>2.6037477221844247E-4</v>
      </c>
      <c r="X786" t="e">
        <f t="shared" si="62"/>
        <v>#N/A</v>
      </c>
      <c r="Y786" t="e">
        <f t="shared" si="63"/>
        <v>#N/A</v>
      </c>
      <c r="Z786" t="e">
        <f t="shared" si="64"/>
        <v>#N/A</v>
      </c>
    </row>
    <row r="787" spans="21:26" x14ac:dyDescent="0.3">
      <c r="U787" t="e">
        <f t="shared" si="60"/>
        <v>#N/A</v>
      </c>
      <c r="V787">
        <v>3.84</v>
      </c>
      <c r="W787">
        <f t="shared" si="61"/>
        <v>2.5057844489086075E-4</v>
      </c>
      <c r="X787" t="e">
        <f t="shared" si="62"/>
        <v>#N/A</v>
      </c>
      <c r="Y787" t="e">
        <f t="shared" si="63"/>
        <v>#N/A</v>
      </c>
      <c r="Z787" t="e">
        <f t="shared" si="64"/>
        <v>#N/A</v>
      </c>
    </row>
    <row r="788" spans="21:26" x14ac:dyDescent="0.3">
      <c r="U788" t="e">
        <f t="shared" si="60"/>
        <v>#N/A</v>
      </c>
      <c r="V788">
        <v>3.85</v>
      </c>
      <c r="W788">
        <f t="shared" si="61"/>
        <v>2.4112658022599324E-4</v>
      </c>
      <c r="X788" t="e">
        <f t="shared" si="62"/>
        <v>#N/A</v>
      </c>
      <c r="Y788" t="e">
        <f t="shared" si="63"/>
        <v>#N/A</v>
      </c>
      <c r="Z788" t="e">
        <f t="shared" si="64"/>
        <v>#N/A</v>
      </c>
    </row>
    <row r="789" spans="21:26" x14ac:dyDescent="0.3">
      <c r="U789" t="e">
        <f t="shared" si="60"/>
        <v>#N/A</v>
      </c>
      <c r="V789">
        <v>3.86</v>
      </c>
      <c r="W789">
        <f t="shared" si="61"/>
        <v>2.3200803965694238E-4</v>
      </c>
      <c r="X789" t="e">
        <f t="shared" si="62"/>
        <v>#N/A</v>
      </c>
      <c r="Y789" t="e">
        <f t="shared" si="63"/>
        <v>#N/A</v>
      </c>
      <c r="Z789" t="e">
        <f t="shared" si="64"/>
        <v>#N/A</v>
      </c>
    </row>
    <row r="790" spans="21:26" x14ac:dyDescent="0.3">
      <c r="U790" t="e">
        <f t="shared" si="60"/>
        <v>#N/A</v>
      </c>
      <c r="V790">
        <v>3.87</v>
      </c>
      <c r="W790">
        <f t="shared" si="61"/>
        <v>2.2321200720010206E-4</v>
      </c>
      <c r="X790" t="e">
        <f t="shared" si="62"/>
        <v>#N/A</v>
      </c>
      <c r="Y790" t="e">
        <f t="shared" si="63"/>
        <v>#N/A</v>
      </c>
      <c r="Z790" t="e">
        <f t="shared" si="64"/>
        <v>#N/A</v>
      </c>
    </row>
    <row r="791" spans="21:26" x14ac:dyDescent="0.3">
      <c r="U791" t="e">
        <f t="shared" si="60"/>
        <v>#N/A</v>
      </c>
      <c r="V791">
        <v>3.88</v>
      </c>
      <c r="W791">
        <f t="shared" si="61"/>
        <v>2.1472798150036704E-4</v>
      </c>
      <c r="X791" t="e">
        <f t="shared" si="62"/>
        <v>#N/A</v>
      </c>
      <c r="Y791" t="e">
        <f t="shared" si="63"/>
        <v>#N/A</v>
      </c>
      <c r="Z791" t="e">
        <f t="shared" si="64"/>
        <v>#N/A</v>
      </c>
    </row>
    <row r="792" spans="21:26" x14ac:dyDescent="0.3">
      <c r="U792" t="e">
        <f t="shared" si="60"/>
        <v>#N/A</v>
      </c>
      <c r="V792">
        <v>3.89</v>
      </c>
      <c r="W792">
        <f t="shared" si="61"/>
        <v>2.0654576802322548E-4</v>
      </c>
      <c r="X792" t="e">
        <f t="shared" si="62"/>
        <v>#N/A</v>
      </c>
      <c r="Y792" t="e">
        <f t="shared" si="63"/>
        <v>#N/A</v>
      </c>
      <c r="Z792" t="e">
        <f t="shared" si="64"/>
        <v>#N/A</v>
      </c>
    </row>
    <row r="793" spans="21:26" x14ac:dyDescent="0.3">
      <c r="U793" t="e">
        <f t="shared" si="60"/>
        <v>#N/A</v>
      </c>
      <c r="V793">
        <v>3.9</v>
      </c>
      <c r="W793">
        <f t="shared" si="61"/>
        <v>1.9865547139277272E-4</v>
      </c>
      <c r="X793" t="e">
        <f t="shared" si="62"/>
        <v>#N/A</v>
      </c>
      <c r="Y793" t="e">
        <f t="shared" si="63"/>
        <v>#N/A</v>
      </c>
      <c r="Z793" t="e">
        <f t="shared" si="64"/>
        <v>#N/A</v>
      </c>
    </row>
    <row r="794" spans="21:26" x14ac:dyDescent="0.3">
      <c r="U794" t="e">
        <f t="shared" si="60"/>
        <v>#N/A</v>
      </c>
      <c r="V794">
        <v>3.91</v>
      </c>
      <c r="W794">
        <f t="shared" si="61"/>
        <v>1.9104748787459762E-4</v>
      </c>
      <c r="X794" t="e">
        <f t="shared" si="62"/>
        <v>#N/A</v>
      </c>
      <c r="Y794" t="e">
        <f t="shared" si="63"/>
        <v>#N/A</v>
      </c>
      <c r="Z794" t="e">
        <f t="shared" si="64"/>
        <v>#N/A</v>
      </c>
    </row>
    <row r="795" spans="21:26" x14ac:dyDescent="0.3">
      <c r="U795" t="e">
        <f t="shared" si="60"/>
        <v>#N/A</v>
      </c>
      <c r="V795">
        <v>3.92</v>
      </c>
      <c r="W795">
        <f t="shared" si="61"/>
        <v>1.8371249800245711E-4</v>
      </c>
      <c r="X795" t="e">
        <f t="shared" si="62"/>
        <v>#N/A</v>
      </c>
      <c r="Y795" t="e">
        <f t="shared" si="63"/>
        <v>#N/A</v>
      </c>
      <c r="Z795" t="e">
        <f t="shared" si="64"/>
        <v>#N/A</v>
      </c>
    </row>
    <row r="796" spans="21:26" x14ac:dyDescent="0.3">
      <c r="U796" t="e">
        <f t="shared" si="60"/>
        <v>#N/A</v>
      </c>
      <c r="V796">
        <v>3.93</v>
      </c>
      <c r="W796">
        <f t="shared" si="61"/>
        <v>1.7664145934757092E-4</v>
      </c>
      <c r="X796" t="e">
        <f t="shared" si="62"/>
        <v>#N/A</v>
      </c>
      <c r="Y796" t="e">
        <f t="shared" si="63"/>
        <v>#N/A</v>
      </c>
      <c r="Z796" t="e">
        <f t="shared" si="64"/>
        <v>#N/A</v>
      </c>
    </row>
    <row r="797" spans="21:26" x14ac:dyDescent="0.3">
      <c r="U797" t="e">
        <f t="shared" si="60"/>
        <v>#N/A</v>
      </c>
      <c r="V797">
        <v>3.94</v>
      </c>
      <c r="W797">
        <f t="shared" si="61"/>
        <v>1.6982559942934359E-4</v>
      </c>
      <c r="X797" t="e">
        <f t="shared" si="62"/>
        <v>#N/A</v>
      </c>
      <c r="Y797" t="e">
        <f t="shared" si="63"/>
        <v>#N/A</v>
      </c>
      <c r="Z797" t="e">
        <f t="shared" si="64"/>
        <v>#N/A</v>
      </c>
    </row>
    <row r="798" spans="21:26" x14ac:dyDescent="0.3">
      <c r="U798" t="e">
        <f t="shared" si="60"/>
        <v>#N/A</v>
      </c>
      <c r="V798">
        <v>3.95</v>
      </c>
      <c r="W798">
        <f t="shared" si="61"/>
        <v>1.6325640876624199E-4</v>
      </c>
      <c r="X798" t="e">
        <f t="shared" si="62"/>
        <v>#N/A</v>
      </c>
      <c r="Y798" t="e">
        <f t="shared" si="63"/>
        <v>#N/A</v>
      </c>
      <c r="Z798" t="e">
        <f t="shared" si="64"/>
        <v>#N/A</v>
      </c>
    </row>
    <row r="799" spans="21:26" x14ac:dyDescent="0.3">
      <c r="U799" t="e">
        <f t="shared" si="60"/>
        <v>#N/A</v>
      </c>
      <c r="V799">
        <v>3.96</v>
      </c>
      <c r="W799">
        <f t="shared" si="61"/>
        <v>1.5692563406553226E-4</v>
      </c>
      <c r="X799" t="e">
        <f t="shared" si="62"/>
        <v>#N/A</v>
      </c>
      <c r="Y799" t="e">
        <f t="shared" si="63"/>
        <v>#N/A</v>
      </c>
      <c r="Z799" t="e">
        <f t="shared" si="64"/>
        <v>#N/A</v>
      </c>
    </row>
    <row r="800" spans="21:26" x14ac:dyDescent="0.3">
      <c r="U800" t="e">
        <f t="shared" si="60"/>
        <v>#N/A</v>
      </c>
      <c r="V800">
        <v>3.97</v>
      </c>
      <c r="W800">
        <f t="shared" si="61"/>
        <v>1.508252715505178E-4</v>
      </c>
      <c r="X800" t="e">
        <f t="shared" si="62"/>
        <v>#N/A</v>
      </c>
      <c r="Y800" t="e">
        <f t="shared" si="63"/>
        <v>#N/A</v>
      </c>
      <c r="Z800" t="e">
        <f t="shared" si="64"/>
        <v>#N/A</v>
      </c>
    </row>
    <row r="801" spans="21:26" x14ac:dyDescent="0.3">
      <c r="U801" t="e">
        <f t="shared" si="60"/>
        <v>#N/A</v>
      </c>
      <c r="V801">
        <v>3.98</v>
      </c>
      <c r="W801">
        <f t="shared" si="61"/>
        <v>1.4494756042389106E-4</v>
      </c>
      <c r="X801" t="e">
        <f t="shared" si="62"/>
        <v>#N/A</v>
      </c>
      <c r="Y801" t="e">
        <f t="shared" si="63"/>
        <v>#N/A</v>
      </c>
      <c r="Z801" t="e">
        <f t="shared" si="64"/>
        <v>#N/A</v>
      </c>
    </row>
    <row r="802" spans="21:26" x14ac:dyDescent="0.3">
      <c r="U802" t="e">
        <f t="shared" si="60"/>
        <v>#N/A</v>
      </c>
      <c r="V802">
        <v>3.99</v>
      </c>
      <c r="W802">
        <f t="shared" si="61"/>
        <v>1.3928497646575994E-4</v>
      </c>
      <c r="X802" t="e">
        <f t="shared" si="62"/>
        <v>#N/A</v>
      </c>
      <c r="Y802" t="e">
        <f t="shared" si="63"/>
        <v>#N/A</v>
      </c>
      <c r="Z802" t="e">
        <f t="shared" si="64"/>
        <v>#N/A</v>
      </c>
    </row>
    <row r="803" spans="21:26" x14ac:dyDescent="0.3">
      <c r="U803" t="e">
        <f t="shared" si="60"/>
        <v>#N/A</v>
      </c>
      <c r="V803">
        <v>4</v>
      </c>
      <c r="W803">
        <f t="shared" si="61"/>
        <v>1.3383022576488537E-4</v>
      </c>
      <c r="X803" t="e">
        <f t="shared" si="62"/>
        <v>#N/A</v>
      </c>
      <c r="Y803" t="e">
        <f t="shared" si="63"/>
        <v>#N/A</v>
      </c>
      <c r="Z803" t="e">
        <f t="shared" si="64"/>
        <v>#N/A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P2:W803"/>
  <sheetViews>
    <sheetView tabSelected="1" zoomScaleNormal="100" workbookViewId="0">
      <selection activeCell="L6" sqref="L6"/>
    </sheetView>
  </sheetViews>
  <sheetFormatPr defaultRowHeight="14.4" x14ac:dyDescent="0.3"/>
  <cols>
    <col min="18" max="18" width="12" bestFit="1" customWidth="1"/>
    <col min="19" max="19" width="13.44140625" customWidth="1"/>
  </cols>
  <sheetData>
    <row r="2" spans="16:23" x14ac:dyDescent="0.3">
      <c r="Q2" t="s">
        <v>0</v>
      </c>
      <c r="R2" t="s">
        <v>14</v>
      </c>
      <c r="S2" t="s">
        <v>13</v>
      </c>
      <c r="T2" t="s">
        <v>3</v>
      </c>
    </row>
    <row r="3" spans="16:23" x14ac:dyDescent="0.3">
      <c r="P3">
        <f>4+(Q3)</f>
        <v>0</v>
      </c>
      <c r="Q3">
        <v>-4</v>
      </c>
      <c r="R3">
        <f>ROUND(_xlfn.NORM.S.DIST(Q3,0),5)</f>
        <v>1.2999999999999999E-4</v>
      </c>
      <c r="S3" t="e">
        <f t="shared" ref="S3:S66" si="0">VLOOKUP(R3,$W$3:$W$42,1,0)</f>
        <v>#N/A</v>
      </c>
      <c r="T3">
        <f>ROUND(_xlfn.NORM.S.DIST(Q3,0),5)</f>
        <v>1.2999999999999999E-4</v>
      </c>
      <c r="V3">
        <v>2.5000000000000001E-2</v>
      </c>
      <c r="W3">
        <f>VLOOKUP(V3,$R$3:$R$803,1,1)</f>
        <v>2.5000000000000001E-2</v>
      </c>
    </row>
    <row r="4" spans="16:23" x14ac:dyDescent="0.3">
      <c r="P4">
        <f t="shared" ref="P4:P67" si="1">4+(Q4)</f>
        <v>9.9999999999997868E-3</v>
      </c>
      <c r="Q4">
        <v>-3.99</v>
      </c>
      <c r="R4">
        <f t="shared" ref="R4:R67" si="2">ROUND(_xlfn.NORM.S.DIST(Q4,1),5)</f>
        <v>3.0000000000000001E-5</v>
      </c>
      <c r="S4" t="e">
        <f t="shared" si="0"/>
        <v>#N/A</v>
      </c>
      <c r="T4">
        <f t="shared" ref="T4:T67" si="3">ROUND(_xlfn.NORM.S.DIST(Q4,0),5)</f>
        <v>1.3999999999999999E-4</v>
      </c>
      <c r="V4">
        <f>V3+0.025</f>
        <v>0.05</v>
      </c>
      <c r="W4">
        <f t="shared" ref="W4:W42" si="4">VLOOKUP(V4,$R$3:$R$803,1,1)</f>
        <v>4.947E-2</v>
      </c>
    </row>
    <row r="5" spans="16:23" x14ac:dyDescent="0.3">
      <c r="P5">
        <f t="shared" si="1"/>
        <v>2.0000000000000018E-2</v>
      </c>
      <c r="Q5">
        <v>-3.98</v>
      </c>
      <c r="R5">
        <f t="shared" si="2"/>
        <v>3.0000000000000001E-5</v>
      </c>
      <c r="S5" t="e">
        <f t="shared" si="0"/>
        <v>#N/A</v>
      </c>
      <c r="T5">
        <f t="shared" si="3"/>
        <v>1.3999999999999999E-4</v>
      </c>
      <c r="V5">
        <f t="shared" ref="V5:V42" si="5">V4+0.025</f>
        <v>7.5000000000000011E-2</v>
      </c>
      <c r="W5">
        <f t="shared" si="4"/>
        <v>7.4929999999999997E-2</v>
      </c>
    </row>
    <row r="6" spans="16:23" x14ac:dyDescent="0.3">
      <c r="P6">
        <f t="shared" si="1"/>
        <v>2.9999999999999805E-2</v>
      </c>
      <c r="Q6">
        <v>-3.97</v>
      </c>
      <c r="R6">
        <f t="shared" si="2"/>
        <v>4.0000000000000003E-5</v>
      </c>
      <c r="S6" t="e">
        <f t="shared" si="0"/>
        <v>#N/A</v>
      </c>
      <c r="T6">
        <f t="shared" si="3"/>
        <v>1.4999999999999999E-4</v>
      </c>
      <c r="V6">
        <f t="shared" si="5"/>
        <v>0.1</v>
      </c>
      <c r="W6">
        <f t="shared" si="4"/>
        <v>9.8530000000000006E-2</v>
      </c>
    </row>
    <row r="7" spans="16:23" x14ac:dyDescent="0.3">
      <c r="P7">
        <f t="shared" si="1"/>
        <v>4.0000000000000036E-2</v>
      </c>
      <c r="Q7">
        <v>-3.96</v>
      </c>
      <c r="R7">
        <f t="shared" si="2"/>
        <v>4.0000000000000003E-5</v>
      </c>
      <c r="S7" t="e">
        <f t="shared" si="0"/>
        <v>#N/A</v>
      </c>
      <c r="T7">
        <f t="shared" si="3"/>
        <v>1.6000000000000001E-4</v>
      </c>
      <c r="V7">
        <f t="shared" si="5"/>
        <v>0.125</v>
      </c>
      <c r="W7">
        <f t="shared" si="4"/>
        <v>0.12302</v>
      </c>
    </row>
    <row r="8" spans="16:23" x14ac:dyDescent="0.3">
      <c r="P8">
        <f t="shared" si="1"/>
        <v>4.9999999999999822E-2</v>
      </c>
      <c r="Q8">
        <v>-3.95</v>
      </c>
      <c r="R8">
        <f t="shared" si="2"/>
        <v>4.0000000000000003E-5</v>
      </c>
      <c r="S8" t="e">
        <f t="shared" si="0"/>
        <v>#N/A</v>
      </c>
      <c r="T8">
        <f t="shared" si="3"/>
        <v>1.6000000000000001E-4</v>
      </c>
      <c r="V8">
        <f t="shared" si="5"/>
        <v>0.15</v>
      </c>
      <c r="W8">
        <f t="shared" si="4"/>
        <v>0.14917</v>
      </c>
    </row>
    <row r="9" spans="16:23" x14ac:dyDescent="0.3">
      <c r="P9">
        <f t="shared" si="1"/>
        <v>6.0000000000000053E-2</v>
      </c>
      <c r="Q9">
        <v>-3.94</v>
      </c>
      <c r="R9">
        <f t="shared" si="2"/>
        <v>4.0000000000000003E-5</v>
      </c>
      <c r="S9" t="e">
        <f t="shared" si="0"/>
        <v>#N/A</v>
      </c>
      <c r="T9">
        <f t="shared" si="3"/>
        <v>1.7000000000000001E-4</v>
      </c>
      <c r="V9">
        <f t="shared" si="5"/>
        <v>0.17499999999999999</v>
      </c>
      <c r="W9">
        <f t="shared" si="4"/>
        <v>0.17360999999999999</v>
      </c>
    </row>
    <row r="10" spans="16:23" x14ac:dyDescent="0.3">
      <c r="P10">
        <f t="shared" si="1"/>
        <v>6.999999999999984E-2</v>
      </c>
      <c r="Q10">
        <v>-3.93</v>
      </c>
      <c r="R10">
        <f t="shared" si="2"/>
        <v>4.0000000000000003E-5</v>
      </c>
      <c r="S10" t="e">
        <f t="shared" si="0"/>
        <v>#N/A</v>
      </c>
      <c r="T10">
        <f t="shared" si="3"/>
        <v>1.8000000000000001E-4</v>
      </c>
      <c r="V10">
        <f t="shared" si="5"/>
        <v>0.19999999999999998</v>
      </c>
      <c r="W10">
        <f t="shared" si="4"/>
        <v>0.19766</v>
      </c>
    </row>
    <row r="11" spans="16:23" x14ac:dyDescent="0.3">
      <c r="P11">
        <f t="shared" si="1"/>
        <v>8.0000000000000071E-2</v>
      </c>
      <c r="Q11">
        <v>-3.92</v>
      </c>
      <c r="R11">
        <f t="shared" si="2"/>
        <v>4.0000000000000003E-5</v>
      </c>
      <c r="S11" t="e">
        <f t="shared" si="0"/>
        <v>#N/A</v>
      </c>
      <c r="T11">
        <f t="shared" si="3"/>
        <v>1.8000000000000001E-4</v>
      </c>
      <c r="V11">
        <f t="shared" si="5"/>
        <v>0.22499999999999998</v>
      </c>
      <c r="W11">
        <f t="shared" si="4"/>
        <v>0.22363</v>
      </c>
    </row>
    <row r="12" spans="16:23" x14ac:dyDescent="0.3">
      <c r="P12">
        <f t="shared" si="1"/>
        <v>8.9999999999999858E-2</v>
      </c>
      <c r="Q12">
        <v>-3.91</v>
      </c>
      <c r="R12">
        <f t="shared" si="2"/>
        <v>5.0000000000000002E-5</v>
      </c>
      <c r="S12" t="e">
        <f t="shared" si="0"/>
        <v>#N/A</v>
      </c>
      <c r="T12">
        <f t="shared" si="3"/>
        <v>1.9000000000000001E-4</v>
      </c>
      <c r="V12">
        <f t="shared" si="5"/>
        <v>0.24999999999999997</v>
      </c>
      <c r="W12">
        <f t="shared" si="4"/>
        <v>0.24825</v>
      </c>
    </row>
    <row r="13" spans="16:23" x14ac:dyDescent="0.3">
      <c r="P13">
        <f t="shared" si="1"/>
        <v>0.10000000000000009</v>
      </c>
      <c r="Q13">
        <v>-3.9</v>
      </c>
      <c r="R13">
        <f t="shared" si="2"/>
        <v>5.0000000000000002E-5</v>
      </c>
      <c r="S13" t="e">
        <f t="shared" si="0"/>
        <v>#N/A</v>
      </c>
      <c r="T13">
        <f t="shared" si="3"/>
        <v>2.0000000000000001E-4</v>
      </c>
      <c r="V13">
        <f t="shared" si="5"/>
        <v>0.27499999999999997</v>
      </c>
      <c r="W13">
        <f t="shared" si="4"/>
        <v>0.27424999999999999</v>
      </c>
    </row>
    <row r="14" spans="16:23" x14ac:dyDescent="0.3">
      <c r="P14">
        <f t="shared" si="1"/>
        <v>0.10999999999999988</v>
      </c>
      <c r="Q14">
        <v>-3.89</v>
      </c>
      <c r="R14">
        <f t="shared" si="2"/>
        <v>5.0000000000000002E-5</v>
      </c>
      <c r="S14" t="e">
        <f t="shared" si="0"/>
        <v>#N/A</v>
      </c>
      <c r="T14">
        <f t="shared" si="3"/>
        <v>2.1000000000000001E-4</v>
      </c>
      <c r="V14">
        <f t="shared" si="5"/>
        <v>0.3</v>
      </c>
      <c r="W14">
        <f t="shared" si="4"/>
        <v>0.29805999999999999</v>
      </c>
    </row>
    <row r="15" spans="16:23" x14ac:dyDescent="0.3">
      <c r="P15">
        <f t="shared" si="1"/>
        <v>0.12000000000000011</v>
      </c>
      <c r="Q15">
        <v>-3.88</v>
      </c>
      <c r="R15">
        <f t="shared" si="2"/>
        <v>5.0000000000000002E-5</v>
      </c>
      <c r="S15" t="e">
        <f t="shared" si="0"/>
        <v>#N/A</v>
      </c>
      <c r="T15">
        <f t="shared" si="3"/>
        <v>2.1000000000000001E-4</v>
      </c>
      <c r="V15">
        <f t="shared" si="5"/>
        <v>0.32500000000000001</v>
      </c>
      <c r="W15">
        <f t="shared" si="4"/>
        <v>0.32275999999999999</v>
      </c>
    </row>
    <row r="16" spans="16:23" x14ac:dyDescent="0.3">
      <c r="P16">
        <f t="shared" si="1"/>
        <v>0.12999999999999989</v>
      </c>
      <c r="Q16">
        <v>-3.87</v>
      </c>
      <c r="R16">
        <f t="shared" si="2"/>
        <v>5.0000000000000002E-5</v>
      </c>
      <c r="S16" t="e">
        <f t="shared" si="0"/>
        <v>#N/A</v>
      </c>
      <c r="T16">
        <f t="shared" si="3"/>
        <v>2.2000000000000001E-4</v>
      </c>
      <c r="V16">
        <f t="shared" si="5"/>
        <v>0.35000000000000003</v>
      </c>
      <c r="W16">
        <f t="shared" si="4"/>
        <v>0.34827000000000002</v>
      </c>
    </row>
    <row r="17" spans="16:23" x14ac:dyDescent="0.3">
      <c r="P17">
        <f t="shared" si="1"/>
        <v>0.14000000000000012</v>
      </c>
      <c r="Q17">
        <v>-3.86</v>
      </c>
      <c r="R17">
        <f t="shared" si="2"/>
        <v>6.0000000000000002E-5</v>
      </c>
      <c r="S17" t="e">
        <f t="shared" si="0"/>
        <v>#N/A</v>
      </c>
      <c r="T17">
        <f t="shared" si="3"/>
        <v>2.3000000000000001E-4</v>
      </c>
      <c r="V17">
        <f t="shared" si="5"/>
        <v>0.37500000000000006</v>
      </c>
      <c r="W17">
        <f t="shared" si="4"/>
        <v>0.37447999999999998</v>
      </c>
    </row>
    <row r="18" spans="16:23" x14ac:dyDescent="0.3">
      <c r="P18">
        <f t="shared" si="1"/>
        <v>0.14999999999999991</v>
      </c>
      <c r="Q18">
        <v>-3.85</v>
      </c>
      <c r="R18">
        <f t="shared" si="2"/>
        <v>6.0000000000000002E-5</v>
      </c>
      <c r="S18" t="e">
        <f t="shared" si="0"/>
        <v>#N/A</v>
      </c>
      <c r="T18">
        <f t="shared" si="3"/>
        <v>2.4000000000000001E-4</v>
      </c>
      <c r="V18">
        <f t="shared" si="5"/>
        <v>0.40000000000000008</v>
      </c>
      <c r="W18">
        <f t="shared" si="4"/>
        <v>0.39743000000000001</v>
      </c>
    </row>
    <row r="19" spans="16:23" x14ac:dyDescent="0.3">
      <c r="P19">
        <f t="shared" si="1"/>
        <v>0.16000000000000014</v>
      </c>
      <c r="Q19">
        <v>-3.84</v>
      </c>
      <c r="R19">
        <f t="shared" si="2"/>
        <v>6.0000000000000002E-5</v>
      </c>
      <c r="S19" t="e">
        <f t="shared" si="0"/>
        <v>#N/A</v>
      </c>
      <c r="T19">
        <f t="shared" si="3"/>
        <v>2.5000000000000001E-4</v>
      </c>
      <c r="V19">
        <f t="shared" si="5"/>
        <v>0.4250000000000001</v>
      </c>
      <c r="W19">
        <f t="shared" si="4"/>
        <v>0.42465000000000003</v>
      </c>
    </row>
    <row r="20" spans="16:23" x14ac:dyDescent="0.3">
      <c r="P20">
        <f t="shared" si="1"/>
        <v>0.16999999999999993</v>
      </c>
      <c r="Q20">
        <v>-3.83</v>
      </c>
      <c r="R20">
        <f t="shared" si="2"/>
        <v>6.0000000000000002E-5</v>
      </c>
      <c r="S20" t="e">
        <f t="shared" si="0"/>
        <v>#N/A</v>
      </c>
      <c r="T20">
        <f t="shared" si="3"/>
        <v>2.5999999999999998E-4</v>
      </c>
      <c r="V20">
        <f t="shared" si="5"/>
        <v>0.45000000000000012</v>
      </c>
      <c r="W20">
        <f t="shared" si="4"/>
        <v>0.44828000000000001</v>
      </c>
    </row>
    <row r="21" spans="16:23" x14ac:dyDescent="0.3">
      <c r="P21">
        <f t="shared" si="1"/>
        <v>0.18000000000000016</v>
      </c>
      <c r="Q21">
        <v>-3.82</v>
      </c>
      <c r="R21">
        <f t="shared" si="2"/>
        <v>6.9999999999999994E-5</v>
      </c>
      <c r="S21" t="e">
        <f t="shared" si="0"/>
        <v>#N/A</v>
      </c>
      <c r="T21">
        <f t="shared" si="3"/>
        <v>2.7E-4</v>
      </c>
      <c r="V21">
        <f t="shared" si="5"/>
        <v>0.47500000000000014</v>
      </c>
      <c r="W21">
        <f t="shared" si="4"/>
        <v>0.47210000000000002</v>
      </c>
    </row>
    <row r="22" spans="16:23" x14ac:dyDescent="0.3">
      <c r="P22">
        <f t="shared" si="1"/>
        <v>0.18999999999999995</v>
      </c>
      <c r="Q22">
        <v>-3.81</v>
      </c>
      <c r="R22">
        <f t="shared" si="2"/>
        <v>6.9999999999999994E-5</v>
      </c>
      <c r="S22" t="e">
        <f t="shared" si="0"/>
        <v>#N/A</v>
      </c>
      <c r="T22">
        <f t="shared" si="3"/>
        <v>2.7999999999999998E-4</v>
      </c>
      <c r="V22">
        <f t="shared" si="5"/>
        <v>0.50000000000000011</v>
      </c>
      <c r="W22">
        <f t="shared" si="4"/>
        <v>0.5</v>
      </c>
    </row>
    <row r="23" spans="16:23" x14ac:dyDescent="0.3">
      <c r="P23">
        <f t="shared" si="1"/>
        <v>0.20000000000000018</v>
      </c>
      <c r="Q23">
        <v>-3.8</v>
      </c>
      <c r="R23">
        <f t="shared" si="2"/>
        <v>6.9999999999999994E-5</v>
      </c>
      <c r="S23" t="e">
        <f t="shared" si="0"/>
        <v>#N/A</v>
      </c>
      <c r="T23">
        <f t="shared" si="3"/>
        <v>2.9E-4</v>
      </c>
      <c r="V23">
        <f t="shared" si="5"/>
        <v>0.52500000000000013</v>
      </c>
      <c r="W23">
        <f t="shared" si="4"/>
        <v>0.52392000000000005</v>
      </c>
    </row>
    <row r="24" spans="16:23" x14ac:dyDescent="0.3">
      <c r="P24">
        <f t="shared" si="1"/>
        <v>0.20999999999999996</v>
      </c>
      <c r="Q24">
        <v>-3.79</v>
      </c>
      <c r="R24">
        <f t="shared" si="2"/>
        <v>8.0000000000000007E-5</v>
      </c>
      <c r="S24" t="e">
        <f t="shared" si="0"/>
        <v>#N/A</v>
      </c>
      <c r="T24">
        <f t="shared" si="3"/>
        <v>2.9999999999999997E-4</v>
      </c>
      <c r="V24">
        <f t="shared" si="5"/>
        <v>0.55000000000000016</v>
      </c>
      <c r="W24">
        <f t="shared" si="4"/>
        <v>0.54776000000000002</v>
      </c>
    </row>
    <row r="25" spans="16:23" x14ac:dyDescent="0.3">
      <c r="P25">
        <f t="shared" si="1"/>
        <v>0.2200000000000002</v>
      </c>
      <c r="Q25">
        <v>-3.78</v>
      </c>
      <c r="R25">
        <f t="shared" si="2"/>
        <v>8.0000000000000007E-5</v>
      </c>
      <c r="S25" t="e">
        <f t="shared" si="0"/>
        <v>#N/A</v>
      </c>
      <c r="T25">
        <f t="shared" si="3"/>
        <v>3.1E-4</v>
      </c>
      <c r="V25">
        <f t="shared" si="5"/>
        <v>0.57500000000000018</v>
      </c>
      <c r="W25">
        <f t="shared" si="4"/>
        <v>0.57142000000000004</v>
      </c>
    </row>
    <row r="26" spans="16:23" x14ac:dyDescent="0.3">
      <c r="P26">
        <f t="shared" si="1"/>
        <v>0.22999999999999998</v>
      </c>
      <c r="Q26">
        <v>-3.77</v>
      </c>
      <c r="R26">
        <f t="shared" si="2"/>
        <v>8.0000000000000007E-5</v>
      </c>
      <c r="S26" t="e">
        <f t="shared" si="0"/>
        <v>#N/A</v>
      </c>
      <c r="T26">
        <f t="shared" si="3"/>
        <v>3.3E-4</v>
      </c>
      <c r="V26">
        <f t="shared" si="5"/>
        <v>0.6000000000000002</v>
      </c>
      <c r="W26">
        <f t="shared" si="4"/>
        <v>0.59870999999999996</v>
      </c>
    </row>
    <row r="27" spans="16:23" x14ac:dyDescent="0.3">
      <c r="P27">
        <f t="shared" si="1"/>
        <v>0.24000000000000021</v>
      </c>
      <c r="Q27">
        <v>-3.76</v>
      </c>
      <c r="R27">
        <f t="shared" si="2"/>
        <v>8.0000000000000007E-5</v>
      </c>
      <c r="S27" t="e">
        <f t="shared" si="0"/>
        <v>#N/A</v>
      </c>
      <c r="T27">
        <f t="shared" si="3"/>
        <v>3.4000000000000002E-4</v>
      </c>
      <c r="V27">
        <f t="shared" si="5"/>
        <v>0.62500000000000022</v>
      </c>
      <c r="W27">
        <f t="shared" si="4"/>
        <v>0.62172000000000005</v>
      </c>
    </row>
    <row r="28" spans="16:23" x14ac:dyDescent="0.3">
      <c r="P28">
        <f t="shared" si="1"/>
        <v>0.25</v>
      </c>
      <c r="Q28">
        <v>-3.75</v>
      </c>
      <c r="R28">
        <f t="shared" si="2"/>
        <v>9.0000000000000006E-5</v>
      </c>
      <c r="S28" t="e">
        <f t="shared" si="0"/>
        <v>#N/A</v>
      </c>
      <c r="T28">
        <f t="shared" si="3"/>
        <v>3.5E-4</v>
      </c>
      <c r="V28">
        <f t="shared" si="5"/>
        <v>0.65000000000000024</v>
      </c>
      <c r="W28">
        <f t="shared" si="4"/>
        <v>0.64802999999999999</v>
      </c>
    </row>
    <row r="29" spans="16:23" x14ac:dyDescent="0.3">
      <c r="P29">
        <f t="shared" si="1"/>
        <v>0.25999999999999979</v>
      </c>
      <c r="Q29">
        <v>-3.74</v>
      </c>
      <c r="R29">
        <f t="shared" si="2"/>
        <v>9.0000000000000006E-5</v>
      </c>
      <c r="S29" t="e">
        <f t="shared" si="0"/>
        <v>#N/A</v>
      </c>
      <c r="T29">
        <f t="shared" si="3"/>
        <v>3.6999999999999999E-4</v>
      </c>
      <c r="V29">
        <f t="shared" si="5"/>
        <v>0.67500000000000027</v>
      </c>
      <c r="W29">
        <f t="shared" si="4"/>
        <v>0.67364000000000002</v>
      </c>
    </row>
    <row r="30" spans="16:23" x14ac:dyDescent="0.3">
      <c r="P30">
        <f t="shared" si="1"/>
        <v>0.27</v>
      </c>
      <c r="Q30">
        <v>-3.73</v>
      </c>
      <c r="R30">
        <f t="shared" si="2"/>
        <v>1E-4</v>
      </c>
      <c r="S30" t="e">
        <f t="shared" si="0"/>
        <v>#N/A</v>
      </c>
      <c r="T30">
        <f t="shared" si="3"/>
        <v>3.8000000000000002E-4</v>
      </c>
      <c r="V30">
        <f t="shared" si="5"/>
        <v>0.70000000000000029</v>
      </c>
      <c r="W30">
        <f t="shared" si="4"/>
        <v>0.69847000000000004</v>
      </c>
    </row>
    <row r="31" spans="16:23" x14ac:dyDescent="0.3">
      <c r="P31">
        <f t="shared" si="1"/>
        <v>0.2799999999999998</v>
      </c>
      <c r="Q31">
        <v>-3.72</v>
      </c>
      <c r="R31">
        <f t="shared" si="2"/>
        <v>1E-4</v>
      </c>
      <c r="S31" t="e">
        <f t="shared" si="0"/>
        <v>#N/A</v>
      </c>
      <c r="T31">
        <f t="shared" si="3"/>
        <v>3.8999999999999999E-4</v>
      </c>
      <c r="V31">
        <f t="shared" si="5"/>
        <v>0.72500000000000031</v>
      </c>
      <c r="W31">
        <f t="shared" si="4"/>
        <v>0.72240000000000004</v>
      </c>
    </row>
    <row r="32" spans="16:23" x14ac:dyDescent="0.3">
      <c r="P32">
        <f t="shared" si="1"/>
        <v>0.29000000000000004</v>
      </c>
      <c r="Q32">
        <v>-3.71</v>
      </c>
      <c r="R32">
        <f t="shared" si="2"/>
        <v>1E-4</v>
      </c>
      <c r="S32" t="e">
        <f t="shared" si="0"/>
        <v>#N/A</v>
      </c>
      <c r="T32">
        <f t="shared" si="3"/>
        <v>4.0999999999999999E-4</v>
      </c>
      <c r="V32">
        <f t="shared" si="5"/>
        <v>0.75000000000000033</v>
      </c>
      <c r="W32">
        <f t="shared" si="4"/>
        <v>0.74856999999999996</v>
      </c>
    </row>
    <row r="33" spans="16:23" x14ac:dyDescent="0.3">
      <c r="P33">
        <f t="shared" si="1"/>
        <v>0.29999999999999982</v>
      </c>
      <c r="Q33">
        <v>-3.7</v>
      </c>
      <c r="R33">
        <f t="shared" si="2"/>
        <v>1.1E-4</v>
      </c>
      <c r="S33" t="e">
        <f t="shared" si="0"/>
        <v>#N/A</v>
      </c>
      <c r="T33">
        <f t="shared" si="3"/>
        <v>4.2000000000000002E-4</v>
      </c>
      <c r="V33">
        <f t="shared" si="5"/>
        <v>0.77500000000000036</v>
      </c>
      <c r="W33">
        <f t="shared" si="4"/>
        <v>0.77337</v>
      </c>
    </row>
    <row r="34" spans="16:23" x14ac:dyDescent="0.3">
      <c r="P34">
        <f t="shared" si="1"/>
        <v>0.31000000000000005</v>
      </c>
      <c r="Q34">
        <v>-3.69</v>
      </c>
      <c r="R34">
        <f t="shared" si="2"/>
        <v>1.1E-4</v>
      </c>
      <c r="S34" t="e">
        <f t="shared" si="0"/>
        <v>#N/A</v>
      </c>
      <c r="T34">
        <f t="shared" si="3"/>
        <v>4.4000000000000002E-4</v>
      </c>
      <c r="V34">
        <f t="shared" si="5"/>
        <v>0.80000000000000038</v>
      </c>
      <c r="W34">
        <f t="shared" si="4"/>
        <v>0.79954999999999998</v>
      </c>
    </row>
    <row r="35" spans="16:23" x14ac:dyDescent="0.3">
      <c r="P35">
        <f t="shared" si="1"/>
        <v>0.31999999999999984</v>
      </c>
      <c r="Q35">
        <v>-3.68</v>
      </c>
      <c r="R35">
        <f t="shared" si="2"/>
        <v>1.2E-4</v>
      </c>
      <c r="S35" t="e">
        <f t="shared" si="0"/>
        <v>#N/A</v>
      </c>
      <c r="T35">
        <f t="shared" si="3"/>
        <v>4.6000000000000001E-4</v>
      </c>
      <c r="V35">
        <f t="shared" si="5"/>
        <v>0.8250000000000004</v>
      </c>
      <c r="W35">
        <f t="shared" si="4"/>
        <v>0.82381000000000004</v>
      </c>
    </row>
    <row r="36" spans="16:23" x14ac:dyDescent="0.3">
      <c r="P36">
        <f t="shared" si="1"/>
        <v>0.33000000000000007</v>
      </c>
      <c r="Q36">
        <v>-3.67</v>
      </c>
      <c r="R36">
        <f t="shared" si="2"/>
        <v>1.2E-4</v>
      </c>
      <c r="S36" t="e">
        <f t="shared" si="0"/>
        <v>#N/A</v>
      </c>
      <c r="T36">
        <f t="shared" si="3"/>
        <v>4.6999999999999999E-4</v>
      </c>
      <c r="V36">
        <f t="shared" si="5"/>
        <v>0.85000000000000042</v>
      </c>
      <c r="W36">
        <f t="shared" si="4"/>
        <v>0.84848999999999997</v>
      </c>
    </row>
    <row r="37" spans="16:23" x14ac:dyDescent="0.3">
      <c r="P37">
        <f t="shared" si="1"/>
        <v>0.33999999999999986</v>
      </c>
      <c r="Q37">
        <v>-3.66</v>
      </c>
      <c r="R37">
        <f t="shared" si="2"/>
        <v>1.2999999999999999E-4</v>
      </c>
      <c r="S37" t="e">
        <f t="shared" si="0"/>
        <v>#N/A</v>
      </c>
      <c r="T37">
        <f t="shared" si="3"/>
        <v>4.8999999999999998E-4</v>
      </c>
      <c r="V37">
        <f t="shared" si="5"/>
        <v>0.87500000000000044</v>
      </c>
      <c r="W37">
        <f t="shared" si="4"/>
        <v>0.87492999999999999</v>
      </c>
    </row>
    <row r="38" spans="16:23" x14ac:dyDescent="0.3">
      <c r="P38">
        <f t="shared" si="1"/>
        <v>0.35000000000000009</v>
      </c>
      <c r="Q38">
        <v>-3.65</v>
      </c>
      <c r="R38">
        <f t="shared" si="2"/>
        <v>1.2999999999999999E-4</v>
      </c>
      <c r="S38" t="e">
        <f t="shared" si="0"/>
        <v>#N/A</v>
      </c>
      <c r="T38">
        <f t="shared" si="3"/>
        <v>5.1000000000000004E-4</v>
      </c>
      <c r="V38">
        <f t="shared" si="5"/>
        <v>0.90000000000000047</v>
      </c>
      <c r="W38">
        <f t="shared" si="4"/>
        <v>0.89973000000000003</v>
      </c>
    </row>
    <row r="39" spans="16:23" x14ac:dyDescent="0.3">
      <c r="P39">
        <f t="shared" si="1"/>
        <v>0.35999999999999988</v>
      </c>
      <c r="Q39">
        <v>-3.64</v>
      </c>
      <c r="R39">
        <f t="shared" si="2"/>
        <v>1.3999999999999999E-4</v>
      </c>
      <c r="S39" t="e">
        <f t="shared" si="0"/>
        <v>#N/A</v>
      </c>
      <c r="T39">
        <f t="shared" si="3"/>
        <v>5.2999999999999998E-4</v>
      </c>
      <c r="V39">
        <f t="shared" si="5"/>
        <v>0.92500000000000049</v>
      </c>
      <c r="W39">
        <f t="shared" si="4"/>
        <v>0.92364000000000002</v>
      </c>
    </row>
    <row r="40" spans="16:23" x14ac:dyDescent="0.3">
      <c r="P40">
        <f t="shared" si="1"/>
        <v>0.37000000000000011</v>
      </c>
      <c r="Q40">
        <v>-3.63</v>
      </c>
      <c r="R40">
        <f t="shared" si="2"/>
        <v>1.3999999999999999E-4</v>
      </c>
      <c r="S40" t="e">
        <f t="shared" si="0"/>
        <v>#N/A</v>
      </c>
      <c r="T40">
        <f t="shared" si="3"/>
        <v>5.5000000000000003E-4</v>
      </c>
      <c r="V40">
        <f t="shared" si="5"/>
        <v>0.95000000000000051</v>
      </c>
      <c r="W40">
        <f t="shared" si="4"/>
        <v>0.94950000000000001</v>
      </c>
    </row>
    <row r="41" spans="16:23" x14ac:dyDescent="0.3">
      <c r="P41">
        <f t="shared" si="1"/>
        <v>0.37999999999999989</v>
      </c>
      <c r="Q41">
        <v>-3.62</v>
      </c>
      <c r="R41">
        <f t="shared" si="2"/>
        <v>1.4999999999999999E-4</v>
      </c>
      <c r="S41" t="e">
        <f t="shared" si="0"/>
        <v>#N/A</v>
      </c>
      <c r="T41">
        <f t="shared" si="3"/>
        <v>5.6999999999999998E-4</v>
      </c>
      <c r="V41">
        <f t="shared" si="5"/>
        <v>0.97500000000000053</v>
      </c>
      <c r="W41">
        <f t="shared" si="4"/>
        <v>0.97499999999999998</v>
      </c>
    </row>
    <row r="42" spans="16:23" x14ac:dyDescent="0.3">
      <c r="P42">
        <f t="shared" si="1"/>
        <v>0.39000000000000012</v>
      </c>
      <c r="Q42">
        <v>-3.61</v>
      </c>
      <c r="R42">
        <f t="shared" si="2"/>
        <v>1.4999999999999999E-4</v>
      </c>
      <c r="S42" t="e">
        <f t="shared" si="0"/>
        <v>#N/A</v>
      </c>
      <c r="T42">
        <f t="shared" si="3"/>
        <v>5.9000000000000003E-4</v>
      </c>
      <c r="V42">
        <f t="shared" si="5"/>
        <v>1.0000000000000004</v>
      </c>
      <c r="W42">
        <f t="shared" si="4"/>
        <v>0.99997000000000003</v>
      </c>
    </row>
    <row r="43" spans="16:23" x14ac:dyDescent="0.3">
      <c r="P43">
        <f t="shared" si="1"/>
        <v>0.39999999999999991</v>
      </c>
      <c r="Q43">
        <v>-3.6</v>
      </c>
      <c r="R43">
        <f t="shared" si="2"/>
        <v>1.6000000000000001E-4</v>
      </c>
      <c r="S43" t="e">
        <f t="shared" si="0"/>
        <v>#N/A</v>
      </c>
      <c r="T43">
        <f t="shared" si="3"/>
        <v>6.0999999999999997E-4</v>
      </c>
    </row>
    <row r="44" spans="16:23" x14ac:dyDescent="0.3">
      <c r="P44">
        <f t="shared" si="1"/>
        <v>0.41000000000000014</v>
      </c>
      <c r="Q44">
        <v>-3.59</v>
      </c>
      <c r="R44">
        <f t="shared" si="2"/>
        <v>1.7000000000000001E-4</v>
      </c>
      <c r="S44" t="e">
        <f t="shared" si="0"/>
        <v>#N/A</v>
      </c>
      <c r="T44">
        <f t="shared" si="3"/>
        <v>6.3000000000000003E-4</v>
      </c>
    </row>
    <row r="45" spans="16:23" x14ac:dyDescent="0.3">
      <c r="P45">
        <f t="shared" si="1"/>
        <v>0.41999999999999993</v>
      </c>
      <c r="Q45">
        <v>-3.58</v>
      </c>
      <c r="R45">
        <f t="shared" si="2"/>
        <v>1.7000000000000001E-4</v>
      </c>
      <c r="S45" t="e">
        <f t="shared" si="0"/>
        <v>#N/A</v>
      </c>
      <c r="T45">
        <f t="shared" si="3"/>
        <v>6.6E-4</v>
      </c>
    </row>
    <row r="46" spans="16:23" x14ac:dyDescent="0.3">
      <c r="P46">
        <f t="shared" si="1"/>
        <v>0.43000000000000016</v>
      </c>
      <c r="Q46">
        <v>-3.57</v>
      </c>
      <c r="R46">
        <f t="shared" si="2"/>
        <v>1.8000000000000001E-4</v>
      </c>
      <c r="S46" t="e">
        <f t="shared" si="0"/>
        <v>#N/A</v>
      </c>
      <c r="T46">
        <f t="shared" si="3"/>
        <v>6.8000000000000005E-4</v>
      </c>
    </row>
    <row r="47" spans="16:23" x14ac:dyDescent="0.3">
      <c r="P47">
        <f t="shared" si="1"/>
        <v>0.43999999999999995</v>
      </c>
      <c r="Q47">
        <v>-3.56</v>
      </c>
      <c r="R47">
        <f t="shared" si="2"/>
        <v>1.9000000000000001E-4</v>
      </c>
      <c r="S47" t="e">
        <f t="shared" si="0"/>
        <v>#N/A</v>
      </c>
      <c r="T47">
        <f t="shared" si="3"/>
        <v>7.1000000000000002E-4</v>
      </c>
    </row>
    <row r="48" spans="16:23" x14ac:dyDescent="0.3">
      <c r="P48">
        <f t="shared" si="1"/>
        <v>0.45000000000000018</v>
      </c>
      <c r="Q48">
        <v>-3.55</v>
      </c>
      <c r="R48">
        <f t="shared" si="2"/>
        <v>1.9000000000000001E-4</v>
      </c>
      <c r="S48" t="e">
        <f t="shared" si="0"/>
        <v>#N/A</v>
      </c>
      <c r="T48">
        <f t="shared" si="3"/>
        <v>7.2999999999999996E-4</v>
      </c>
    </row>
    <row r="49" spans="16:20" x14ac:dyDescent="0.3">
      <c r="P49">
        <f t="shared" si="1"/>
        <v>0.45999999999999996</v>
      </c>
      <c r="Q49">
        <v>-3.54</v>
      </c>
      <c r="R49">
        <f t="shared" si="2"/>
        <v>2.0000000000000001E-4</v>
      </c>
      <c r="S49" t="e">
        <f t="shared" si="0"/>
        <v>#N/A</v>
      </c>
      <c r="T49">
        <f t="shared" si="3"/>
        <v>7.6000000000000004E-4</v>
      </c>
    </row>
    <row r="50" spans="16:20" x14ac:dyDescent="0.3">
      <c r="P50">
        <f t="shared" si="1"/>
        <v>0.4700000000000002</v>
      </c>
      <c r="Q50">
        <v>-3.53</v>
      </c>
      <c r="R50">
        <f t="shared" si="2"/>
        <v>2.1000000000000001E-4</v>
      </c>
      <c r="S50" t="e">
        <f t="shared" si="0"/>
        <v>#N/A</v>
      </c>
      <c r="T50">
        <f t="shared" si="3"/>
        <v>7.9000000000000001E-4</v>
      </c>
    </row>
    <row r="51" spans="16:20" x14ac:dyDescent="0.3">
      <c r="P51">
        <f t="shared" si="1"/>
        <v>0.48</v>
      </c>
      <c r="Q51">
        <v>-3.52</v>
      </c>
      <c r="R51">
        <f t="shared" si="2"/>
        <v>2.2000000000000001E-4</v>
      </c>
      <c r="S51" t="e">
        <f t="shared" si="0"/>
        <v>#N/A</v>
      </c>
      <c r="T51">
        <f t="shared" si="3"/>
        <v>8.0999999999999996E-4</v>
      </c>
    </row>
    <row r="52" spans="16:20" x14ac:dyDescent="0.3">
      <c r="P52">
        <f t="shared" si="1"/>
        <v>0.49000000000000021</v>
      </c>
      <c r="Q52">
        <v>-3.51</v>
      </c>
      <c r="R52">
        <f t="shared" si="2"/>
        <v>2.2000000000000001E-4</v>
      </c>
      <c r="S52" t="e">
        <f t="shared" si="0"/>
        <v>#N/A</v>
      </c>
      <c r="T52">
        <f t="shared" si="3"/>
        <v>8.4000000000000003E-4</v>
      </c>
    </row>
    <row r="53" spans="16:20" x14ac:dyDescent="0.3">
      <c r="P53">
        <f t="shared" si="1"/>
        <v>0.5</v>
      </c>
      <c r="Q53">
        <v>-3.5</v>
      </c>
      <c r="R53">
        <f t="shared" si="2"/>
        <v>2.3000000000000001E-4</v>
      </c>
      <c r="S53" t="e">
        <f t="shared" si="0"/>
        <v>#N/A</v>
      </c>
      <c r="T53">
        <f t="shared" si="3"/>
        <v>8.7000000000000001E-4</v>
      </c>
    </row>
    <row r="54" spans="16:20" x14ac:dyDescent="0.3">
      <c r="P54">
        <f t="shared" si="1"/>
        <v>0.50999999999999979</v>
      </c>
      <c r="Q54">
        <v>-3.49</v>
      </c>
      <c r="R54">
        <f t="shared" si="2"/>
        <v>2.4000000000000001E-4</v>
      </c>
      <c r="S54" t="e">
        <f t="shared" si="0"/>
        <v>#N/A</v>
      </c>
      <c r="T54">
        <f t="shared" si="3"/>
        <v>8.9999999999999998E-4</v>
      </c>
    </row>
    <row r="55" spans="16:20" x14ac:dyDescent="0.3">
      <c r="P55">
        <f t="shared" si="1"/>
        <v>0.52</v>
      </c>
      <c r="Q55">
        <v>-3.48</v>
      </c>
      <c r="R55">
        <f t="shared" si="2"/>
        <v>2.5000000000000001E-4</v>
      </c>
      <c r="S55" t="e">
        <f t="shared" si="0"/>
        <v>#N/A</v>
      </c>
      <c r="T55">
        <f t="shared" si="3"/>
        <v>9.3999999999999997E-4</v>
      </c>
    </row>
    <row r="56" spans="16:20" x14ac:dyDescent="0.3">
      <c r="P56">
        <f t="shared" si="1"/>
        <v>0.5299999999999998</v>
      </c>
      <c r="Q56">
        <v>-3.47</v>
      </c>
      <c r="R56">
        <f t="shared" si="2"/>
        <v>2.5999999999999998E-4</v>
      </c>
      <c r="S56" t="e">
        <f t="shared" si="0"/>
        <v>#N/A</v>
      </c>
      <c r="T56">
        <f t="shared" si="3"/>
        <v>9.7000000000000005E-4</v>
      </c>
    </row>
    <row r="57" spans="16:20" x14ac:dyDescent="0.3">
      <c r="P57">
        <f t="shared" si="1"/>
        <v>0.54</v>
      </c>
      <c r="Q57">
        <v>-3.46</v>
      </c>
      <c r="R57">
        <f t="shared" si="2"/>
        <v>2.7E-4</v>
      </c>
      <c r="S57" t="e">
        <f t="shared" si="0"/>
        <v>#N/A</v>
      </c>
      <c r="T57">
        <f t="shared" si="3"/>
        <v>1E-3</v>
      </c>
    </row>
    <row r="58" spans="16:20" x14ac:dyDescent="0.3">
      <c r="P58">
        <f t="shared" si="1"/>
        <v>0.54999999999999982</v>
      </c>
      <c r="Q58">
        <v>-3.45</v>
      </c>
      <c r="R58">
        <f t="shared" si="2"/>
        <v>2.7999999999999998E-4</v>
      </c>
      <c r="S58" t="e">
        <f t="shared" si="0"/>
        <v>#N/A</v>
      </c>
      <c r="T58">
        <f t="shared" si="3"/>
        <v>1.0399999999999999E-3</v>
      </c>
    </row>
    <row r="59" spans="16:20" x14ac:dyDescent="0.3">
      <c r="P59">
        <f t="shared" si="1"/>
        <v>0.56000000000000005</v>
      </c>
      <c r="Q59">
        <v>-3.44</v>
      </c>
      <c r="R59">
        <f t="shared" si="2"/>
        <v>2.9E-4</v>
      </c>
      <c r="S59" t="e">
        <f t="shared" si="0"/>
        <v>#N/A</v>
      </c>
      <c r="T59">
        <f t="shared" si="3"/>
        <v>1.07E-3</v>
      </c>
    </row>
    <row r="60" spans="16:20" x14ac:dyDescent="0.3">
      <c r="P60">
        <f t="shared" si="1"/>
        <v>0.56999999999999984</v>
      </c>
      <c r="Q60">
        <v>-3.43</v>
      </c>
      <c r="R60">
        <f t="shared" si="2"/>
        <v>2.9999999999999997E-4</v>
      </c>
      <c r="S60" t="e">
        <f t="shared" si="0"/>
        <v>#N/A</v>
      </c>
      <c r="T60">
        <f t="shared" si="3"/>
        <v>1.1100000000000001E-3</v>
      </c>
    </row>
    <row r="61" spans="16:20" x14ac:dyDescent="0.3">
      <c r="P61">
        <f t="shared" si="1"/>
        <v>0.58000000000000007</v>
      </c>
      <c r="Q61">
        <v>-3.42</v>
      </c>
      <c r="R61">
        <f t="shared" si="2"/>
        <v>3.1E-4</v>
      </c>
      <c r="S61" t="e">
        <f t="shared" si="0"/>
        <v>#N/A</v>
      </c>
      <c r="T61">
        <f t="shared" si="3"/>
        <v>1.15E-3</v>
      </c>
    </row>
    <row r="62" spans="16:20" x14ac:dyDescent="0.3">
      <c r="P62">
        <f t="shared" si="1"/>
        <v>0.58999999999999986</v>
      </c>
      <c r="Q62">
        <v>-3.41</v>
      </c>
      <c r="R62">
        <f t="shared" si="2"/>
        <v>3.2000000000000003E-4</v>
      </c>
      <c r="S62" t="e">
        <f t="shared" si="0"/>
        <v>#N/A</v>
      </c>
      <c r="T62">
        <f t="shared" si="3"/>
        <v>1.1900000000000001E-3</v>
      </c>
    </row>
    <row r="63" spans="16:20" x14ac:dyDescent="0.3">
      <c r="P63">
        <f t="shared" si="1"/>
        <v>0.60000000000000009</v>
      </c>
      <c r="Q63">
        <v>-3.4</v>
      </c>
      <c r="R63">
        <f t="shared" si="2"/>
        <v>3.4000000000000002E-4</v>
      </c>
      <c r="S63" t="e">
        <f t="shared" si="0"/>
        <v>#N/A</v>
      </c>
      <c r="T63">
        <f t="shared" si="3"/>
        <v>1.23E-3</v>
      </c>
    </row>
    <row r="64" spans="16:20" x14ac:dyDescent="0.3">
      <c r="P64">
        <f t="shared" si="1"/>
        <v>0.60999999999999988</v>
      </c>
      <c r="Q64">
        <v>-3.39</v>
      </c>
      <c r="R64">
        <f t="shared" si="2"/>
        <v>3.5E-4</v>
      </c>
      <c r="S64" t="e">
        <f t="shared" si="0"/>
        <v>#N/A</v>
      </c>
      <c r="T64">
        <f t="shared" si="3"/>
        <v>1.2700000000000001E-3</v>
      </c>
    </row>
    <row r="65" spans="16:20" x14ac:dyDescent="0.3">
      <c r="P65">
        <f t="shared" si="1"/>
        <v>0.62000000000000011</v>
      </c>
      <c r="Q65">
        <v>-3.38</v>
      </c>
      <c r="R65">
        <f t="shared" si="2"/>
        <v>3.6000000000000002E-4</v>
      </c>
      <c r="S65" t="e">
        <f t="shared" si="0"/>
        <v>#N/A</v>
      </c>
      <c r="T65">
        <f t="shared" si="3"/>
        <v>1.32E-3</v>
      </c>
    </row>
    <row r="66" spans="16:20" x14ac:dyDescent="0.3">
      <c r="P66">
        <f t="shared" si="1"/>
        <v>0.62999999999999989</v>
      </c>
      <c r="Q66">
        <v>-3.37</v>
      </c>
      <c r="R66">
        <f t="shared" si="2"/>
        <v>3.8000000000000002E-4</v>
      </c>
      <c r="S66" t="e">
        <f t="shared" si="0"/>
        <v>#N/A</v>
      </c>
      <c r="T66">
        <f t="shared" si="3"/>
        <v>1.3600000000000001E-3</v>
      </c>
    </row>
    <row r="67" spans="16:20" x14ac:dyDescent="0.3">
      <c r="P67">
        <f t="shared" si="1"/>
        <v>0.64000000000000012</v>
      </c>
      <c r="Q67">
        <v>-3.36</v>
      </c>
      <c r="R67">
        <f t="shared" si="2"/>
        <v>3.8999999999999999E-4</v>
      </c>
      <c r="S67" t="e">
        <f t="shared" ref="S67:S130" si="6">VLOOKUP(R67,$W$3:$W$42,1,0)</f>
        <v>#N/A</v>
      </c>
      <c r="T67">
        <f t="shared" si="3"/>
        <v>1.41E-3</v>
      </c>
    </row>
    <row r="68" spans="16:20" x14ac:dyDescent="0.3">
      <c r="P68">
        <f t="shared" ref="P68:P131" si="7">4+(Q68)</f>
        <v>0.64999999999999991</v>
      </c>
      <c r="Q68">
        <v>-3.35</v>
      </c>
      <c r="R68">
        <f t="shared" ref="R68:R131" si="8">ROUND(_xlfn.NORM.S.DIST(Q68,1),5)</f>
        <v>4.0000000000000002E-4</v>
      </c>
      <c r="S68" t="e">
        <f t="shared" si="6"/>
        <v>#N/A</v>
      </c>
      <c r="T68">
        <f t="shared" ref="T68:T131" si="9">ROUND(_xlfn.NORM.S.DIST(Q68,0),5)</f>
        <v>1.4599999999999999E-3</v>
      </c>
    </row>
    <row r="69" spans="16:20" x14ac:dyDescent="0.3">
      <c r="P69">
        <f t="shared" si="7"/>
        <v>0.66000000000000014</v>
      </c>
      <c r="Q69">
        <v>-3.34</v>
      </c>
      <c r="R69">
        <f t="shared" si="8"/>
        <v>4.2000000000000002E-4</v>
      </c>
      <c r="S69" t="e">
        <f t="shared" si="6"/>
        <v>#N/A</v>
      </c>
      <c r="T69">
        <f t="shared" si="9"/>
        <v>1.5100000000000001E-3</v>
      </c>
    </row>
    <row r="70" spans="16:20" x14ac:dyDescent="0.3">
      <c r="P70">
        <f t="shared" si="7"/>
        <v>0.66999999999999993</v>
      </c>
      <c r="Q70">
        <v>-3.33</v>
      </c>
      <c r="R70">
        <f t="shared" si="8"/>
        <v>4.2999999999999999E-4</v>
      </c>
      <c r="S70" t="e">
        <f t="shared" si="6"/>
        <v>#N/A</v>
      </c>
      <c r="T70">
        <f t="shared" si="9"/>
        <v>1.56E-3</v>
      </c>
    </row>
    <row r="71" spans="16:20" x14ac:dyDescent="0.3">
      <c r="P71">
        <f t="shared" si="7"/>
        <v>0.68000000000000016</v>
      </c>
      <c r="Q71">
        <v>-3.32</v>
      </c>
      <c r="R71">
        <f t="shared" si="8"/>
        <v>4.4999999999999999E-4</v>
      </c>
      <c r="S71" t="e">
        <f t="shared" si="6"/>
        <v>#N/A</v>
      </c>
      <c r="T71">
        <f t="shared" si="9"/>
        <v>1.6100000000000001E-3</v>
      </c>
    </row>
    <row r="72" spans="16:20" x14ac:dyDescent="0.3">
      <c r="P72">
        <f t="shared" si="7"/>
        <v>0.69</v>
      </c>
      <c r="Q72">
        <v>-3.31</v>
      </c>
      <c r="R72">
        <f t="shared" si="8"/>
        <v>4.6999999999999999E-4</v>
      </c>
      <c r="S72" t="e">
        <f t="shared" si="6"/>
        <v>#N/A</v>
      </c>
      <c r="T72">
        <f t="shared" si="9"/>
        <v>1.67E-3</v>
      </c>
    </row>
    <row r="73" spans="16:20" x14ac:dyDescent="0.3">
      <c r="P73">
        <f t="shared" si="7"/>
        <v>0.70000000000000018</v>
      </c>
      <c r="Q73">
        <v>-3.3</v>
      </c>
      <c r="R73">
        <f t="shared" si="8"/>
        <v>4.8000000000000001E-4</v>
      </c>
      <c r="S73" t="e">
        <f t="shared" si="6"/>
        <v>#N/A</v>
      </c>
      <c r="T73">
        <f t="shared" si="9"/>
        <v>1.72E-3</v>
      </c>
    </row>
    <row r="74" spans="16:20" x14ac:dyDescent="0.3">
      <c r="P74">
        <f t="shared" si="7"/>
        <v>0.71</v>
      </c>
      <c r="Q74">
        <v>-3.29</v>
      </c>
      <c r="R74">
        <f t="shared" si="8"/>
        <v>5.0000000000000001E-4</v>
      </c>
      <c r="S74" t="e">
        <f t="shared" si="6"/>
        <v>#N/A</v>
      </c>
      <c r="T74">
        <f t="shared" si="9"/>
        <v>1.7799999999999999E-3</v>
      </c>
    </row>
    <row r="75" spans="16:20" x14ac:dyDescent="0.3">
      <c r="P75">
        <f t="shared" si="7"/>
        <v>0.7200000000000002</v>
      </c>
      <c r="Q75">
        <v>-3.28</v>
      </c>
      <c r="R75">
        <f t="shared" si="8"/>
        <v>5.1999999999999995E-4</v>
      </c>
      <c r="S75" t="e">
        <f t="shared" si="6"/>
        <v>#N/A</v>
      </c>
      <c r="T75">
        <f t="shared" si="9"/>
        <v>1.8400000000000001E-3</v>
      </c>
    </row>
    <row r="76" spans="16:20" x14ac:dyDescent="0.3">
      <c r="P76">
        <f t="shared" si="7"/>
        <v>0.73</v>
      </c>
      <c r="Q76">
        <v>-3.27</v>
      </c>
      <c r="R76">
        <f t="shared" si="8"/>
        <v>5.4000000000000001E-4</v>
      </c>
      <c r="S76" t="e">
        <f t="shared" si="6"/>
        <v>#N/A</v>
      </c>
      <c r="T76">
        <f t="shared" si="9"/>
        <v>1.9E-3</v>
      </c>
    </row>
    <row r="77" spans="16:20" x14ac:dyDescent="0.3">
      <c r="P77">
        <f t="shared" si="7"/>
        <v>0.74000000000000021</v>
      </c>
      <c r="Q77">
        <v>-3.26</v>
      </c>
      <c r="R77">
        <f t="shared" si="8"/>
        <v>5.5999999999999995E-4</v>
      </c>
      <c r="S77" t="e">
        <f t="shared" si="6"/>
        <v>#N/A</v>
      </c>
      <c r="T77">
        <f t="shared" si="9"/>
        <v>1.9599999999999999E-3</v>
      </c>
    </row>
    <row r="78" spans="16:20" x14ac:dyDescent="0.3">
      <c r="P78">
        <f t="shared" si="7"/>
        <v>0.75</v>
      </c>
      <c r="Q78">
        <v>-3.25</v>
      </c>
      <c r="R78">
        <f t="shared" si="8"/>
        <v>5.8E-4</v>
      </c>
      <c r="S78" t="e">
        <f t="shared" si="6"/>
        <v>#N/A</v>
      </c>
      <c r="T78">
        <f t="shared" si="9"/>
        <v>2.0300000000000001E-3</v>
      </c>
    </row>
    <row r="79" spans="16:20" x14ac:dyDescent="0.3">
      <c r="P79">
        <f t="shared" si="7"/>
        <v>0.75999999999999979</v>
      </c>
      <c r="Q79">
        <v>-3.24</v>
      </c>
      <c r="R79">
        <f t="shared" si="8"/>
        <v>5.9999999999999995E-4</v>
      </c>
      <c r="S79" t="e">
        <f t="shared" si="6"/>
        <v>#N/A</v>
      </c>
      <c r="T79">
        <f t="shared" si="9"/>
        <v>2.0999999999999999E-3</v>
      </c>
    </row>
    <row r="80" spans="16:20" x14ac:dyDescent="0.3">
      <c r="P80">
        <f t="shared" si="7"/>
        <v>0.77</v>
      </c>
      <c r="Q80">
        <v>-3.23</v>
      </c>
      <c r="R80">
        <f t="shared" si="8"/>
        <v>6.2E-4</v>
      </c>
      <c r="S80" t="e">
        <f t="shared" si="6"/>
        <v>#N/A</v>
      </c>
      <c r="T80">
        <f t="shared" si="9"/>
        <v>2.16E-3</v>
      </c>
    </row>
    <row r="81" spans="16:20" x14ac:dyDescent="0.3">
      <c r="P81">
        <f t="shared" si="7"/>
        <v>0.7799999999999998</v>
      </c>
      <c r="Q81">
        <v>-3.22</v>
      </c>
      <c r="R81">
        <f t="shared" si="8"/>
        <v>6.4000000000000005E-4</v>
      </c>
      <c r="S81" t="e">
        <f t="shared" si="6"/>
        <v>#N/A</v>
      </c>
      <c r="T81">
        <f t="shared" si="9"/>
        <v>2.2399999999999998E-3</v>
      </c>
    </row>
    <row r="82" spans="16:20" x14ac:dyDescent="0.3">
      <c r="P82">
        <f t="shared" si="7"/>
        <v>0.79</v>
      </c>
      <c r="Q82">
        <v>-3.21</v>
      </c>
      <c r="R82">
        <f t="shared" si="8"/>
        <v>6.6E-4</v>
      </c>
      <c r="S82" t="e">
        <f t="shared" si="6"/>
        <v>#N/A</v>
      </c>
      <c r="T82">
        <f t="shared" si="9"/>
        <v>2.31E-3</v>
      </c>
    </row>
    <row r="83" spans="16:20" x14ac:dyDescent="0.3">
      <c r="P83">
        <f t="shared" si="7"/>
        <v>0.79999999999999982</v>
      </c>
      <c r="Q83">
        <v>-3.2</v>
      </c>
      <c r="R83">
        <f t="shared" si="8"/>
        <v>6.8999999999999997E-4</v>
      </c>
      <c r="S83" t="e">
        <f t="shared" si="6"/>
        <v>#N/A</v>
      </c>
      <c r="T83">
        <f t="shared" si="9"/>
        <v>2.3800000000000002E-3</v>
      </c>
    </row>
    <row r="84" spans="16:20" x14ac:dyDescent="0.3">
      <c r="P84">
        <f t="shared" si="7"/>
        <v>0.81</v>
      </c>
      <c r="Q84">
        <v>-3.19</v>
      </c>
      <c r="R84">
        <f t="shared" si="8"/>
        <v>7.1000000000000002E-4</v>
      </c>
      <c r="S84" t="e">
        <f t="shared" si="6"/>
        <v>#N/A</v>
      </c>
      <c r="T84">
        <f t="shared" si="9"/>
        <v>2.4599999999999999E-3</v>
      </c>
    </row>
    <row r="85" spans="16:20" x14ac:dyDescent="0.3">
      <c r="P85">
        <f t="shared" si="7"/>
        <v>0.81999999999999984</v>
      </c>
      <c r="Q85">
        <v>-3.18</v>
      </c>
      <c r="R85">
        <f t="shared" si="8"/>
        <v>7.3999999999999999E-4</v>
      </c>
      <c r="S85" t="e">
        <f t="shared" si="6"/>
        <v>#N/A</v>
      </c>
      <c r="T85">
        <f t="shared" si="9"/>
        <v>2.5400000000000002E-3</v>
      </c>
    </row>
    <row r="86" spans="16:20" x14ac:dyDescent="0.3">
      <c r="P86">
        <f t="shared" si="7"/>
        <v>0.83000000000000007</v>
      </c>
      <c r="Q86">
        <v>-3.17</v>
      </c>
      <c r="R86">
        <f t="shared" si="8"/>
        <v>7.6000000000000004E-4</v>
      </c>
      <c r="S86" t="e">
        <f t="shared" si="6"/>
        <v>#N/A</v>
      </c>
      <c r="T86">
        <f t="shared" si="9"/>
        <v>2.6199999999999999E-3</v>
      </c>
    </row>
    <row r="87" spans="16:20" x14ac:dyDescent="0.3">
      <c r="P87">
        <f t="shared" si="7"/>
        <v>0.83999999999999986</v>
      </c>
      <c r="Q87">
        <v>-3.16</v>
      </c>
      <c r="R87">
        <f t="shared" si="8"/>
        <v>7.9000000000000001E-4</v>
      </c>
      <c r="S87" t="e">
        <f t="shared" si="6"/>
        <v>#N/A</v>
      </c>
      <c r="T87">
        <f t="shared" si="9"/>
        <v>2.7100000000000002E-3</v>
      </c>
    </row>
    <row r="88" spans="16:20" x14ac:dyDescent="0.3">
      <c r="P88">
        <f t="shared" si="7"/>
        <v>0.85000000000000009</v>
      </c>
      <c r="Q88">
        <v>-3.15</v>
      </c>
      <c r="R88">
        <f t="shared" si="8"/>
        <v>8.1999999999999998E-4</v>
      </c>
      <c r="S88" t="e">
        <f t="shared" si="6"/>
        <v>#N/A</v>
      </c>
      <c r="T88">
        <f t="shared" si="9"/>
        <v>2.7899999999999999E-3</v>
      </c>
    </row>
    <row r="89" spans="16:20" x14ac:dyDescent="0.3">
      <c r="P89">
        <f t="shared" si="7"/>
        <v>0.85999999999999988</v>
      </c>
      <c r="Q89">
        <v>-3.14</v>
      </c>
      <c r="R89">
        <f t="shared" si="8"/>
        <v>8.4000000000000003E-4</v>
      </c>
      <c r="S89" t="e">
        <f t="shared" si="6"/>
        <v>#N/A</v>
      </c>
      <c r="T89">
        <f t="shared" si="9"/>
        <v>2.8800000000000002E-3</v>
      </c>
    </row>
    <row r="90" spans="16:20" x14ac:dyDescent="0.3">
      <c r="P90">
        <f t="shared" si="7"/>
        <v>0.87000000000000011</v>
      </c>
      <c r="Q90">
        <v>-3.13</v>
      </c>
      <c r="R90">
        <f t="shared" si="8"/>
        <v>8.7000000000000001E-4</v>
      </c>
      <c r="S90" t="e">
        <f t="shared" si="6"/>
        <v>#N/A</v>
      </c>
      <c r="T90">
        <f t="shared" si="9"/>
        <v>2.98E-3</v>
      </c>
    </row>
    <row r="91" spans="16:20" x14ac:dyDescent="0.3">
      <c r="P91">
        <f t="shared" si="7"/>
        <v>0.87999999999999989</v>
      </c>
      <c r="Q91">
        <v>-3.12</v>
      </c>
      <c r="R91">
        <f t="shared" si="8"/>
        <v>8.9999999999999998E-4</v>
      </c>
      <c r="S91" t="e">
        <f t="shared" si="6"/>
        <v>#N/A</v>
      </c>
      <c r="T91">
        <f t="shared" si="9"/>
        <v>3.0699999999999998E-3</v>
      </c>
    </row>
    <row r="92" spans="16:20" x14ac:dyDescent="0.3">
      <c r="P92">
        <f t="shared" si="7"/>
        <v>0.89000000000000012</v>
      </c>
      <c r="Q92">
        <v>-3.11</v>
      </c>
      <c r="R92">
        <f t="shared" si="8"/>
        <v>9.3999999999999997E-4</v>
      </c>
      <c r="S92" t="e">
        <f t="shared" si="6"/>
        <v>#N/A</v>
      </c>
      <c r="T92">
        <f t="shared" si="9"/>
        <v>3.1700000000000001E-3</v>
      </c>
    </row>
    <row r="93" spans="16:20" x14ac:dyDescent="0.3">
      <c r="P93">
        <f t="shared" si="7"/>
        <v>0.89999999999999991</v>
      </c>
      <c r="Q93">
        <v>-3.1</v>
      </c>
      <c r="R93">
        <f t="shared" si="8"/>
        <v>9.7000000000000005E-4</v>
      </c>
      <c r="S93" t="e">
        <f t="shared" si="6"/>
        <v>#N/A</v>
      </c>
      <c r="T93">
        <f t="shared" si="9"/>
        <v>3.2699999999999999E-3</v>
      </c>
    </row>
    <row r="94" spans="16:20" x14ac:dyDescent="0.3">
      <c r="P94">
        <f t="shared" si="7"/>
        <v>0.91000000000000014</v>
      </c>
      <c r="Q94">
        <v>-3.09</v>
      </c>
      <c r="R94">
        <f t="shared" si="8"/>
        <v>1E-3</v>
      </c>
      <c r="S94" t="e">
        <f t="shared" si="6"/>
        <v>#N/A</v>
      </c>
      <c r="T94">
        <f t="shared" si="9"/>
        <v>3.3700000000000002E-3</v>
      </c>
    </row>
    <row r="95" spans="16:20" x14ac:dyDescent="0.3">
      <c r="P95">
        <f t="shared" si="7"/>
        <v>0.91999999999999993</v>
      </c>
      <c r="Q95">
        <v>-3.08</v>
      </c>
      <c r="R95">
        <f t="shared" si="8"/>
        <v>1.0399999999999999E-3</v>
      </c>
      <c r="S95" t="e">
        <f t="shared" si="6"/>
        <v>#N/A</v>
      </c>
      <c r="T95">
        <f t="shared" si="9"/>
        <v>3.48E-3</v>
      </c>
    </row>
    <row r="96" spans="16:20" x14ac:dyDescent="0.3">
      <c r="P96">
        <f t="shared" si="7"/>
        <v>0.93000000000000016</v>
      </c>
      <c r="Q96">
        <v>-3.07</v>
      </c>
      <c r="R96">
        <f t="shared" si="8"/>
        <v>1.07E-3</v>
      </c>
      <c r="S96" t="e">
        <f t="shared" si="6"/>
        <v>#N/A</v>
      </c>
      <c r="T96">
        <f t="shared" si="9"/>
        <v>3.5799999999999998E-3</v>
      </c>
    </row>
    <row r="97" spans="16:20" x14ac:dyDescent="0.3">
      <c r="P97">
        <f t="shared" si="7"/>
        <v>0.94</v>
      </c>
      <c r="Q97">
        <v>-3.06</v>
      </c>
      <c r="R97">
        <f t="shared" si="8"/>
        <v>1.1100000000000001E-3</v>
      </c>
      <c r="S97" t="e">
        <f t="shared" si="6"/>
        <v>#N/A</v>
      </c>
      <c r="T97">
        <f t="shared" si="9"/>
        <v>3.7000000000000002E-3</v>
      </c>
    </row>
    <row r="98" spans="16:20" x14ac:dyDescent="0.3">
      <c r="P98">
        <f t="shared" si="7"/>
        <v>0.95000000000000018</v>
      </c>
      <c r="Q98">
        <v>-3.05</v>
      </c>
      <c r="R98">
        <f t="shared" si="8"/>
        <v>1.14E-3</v>
      </c>
      <c r="S98" t="e">
        <f t="shared" si="6"/>
        <v>#N/A</v>
      </c>
      <c r="T98">
        <f t="shared" si="9"/>
        <v>3.81E-3</v>
      </c>
    </row>
    <row r="99" spans="16:20" x14ac:dyDescent="0.3">
      <c r="P99">
        <f t="shared" si="7"/>
        <v>0.96</v>
      </c>
      <c r="Q99">
        <v>-3.04</v>
      </c>
      <c r="R99">
        <f t="shared" si="8"/>
        <v>1.1800000000000001E-3</v>
      </c>
      <c r="S99" t="e">
        <f t="shared" si="6"/>
        <v>#N/A</v>
      </c>
      <c r="T99">
        <f t="shared" si="9"/>
        <v>3.9300000000000003E-3</v>
      </c>
    </row>
    <row r="100" spans="16:20" x14ac:dyDescent="0.3">
      <c r="P100">
        <f t="shared" si="7"/>
        <v>0.9700000000000002</v>
      </c>
      <c r="Q100">
        <v>-3.03</v>
      </c>
      <c r="R100">
        <f t="shared" si="8"/>
        <v>1.2199999999999999E-3</v>
      </c>
      <c r="S100" t="e">
        <f t="shared" si="6"/>
        <v>#N/A</v>
      </c>
      <c r="T100">
        <f t="shared" si="9"/>
        <v>4.0499999999999998E-3</v>
      </c>
    </row>
    <row r="101" spans="16:20" x14ac:dyDescent="0.3">
      <c r="P101">
        <f t="shared" si="7"/>
        <v>0.98</v>
      </c>
      <c r="Q101">
        <v>-3.02</v>
      </c>
      <c r="R101">
        <f t="shared" si="8"/>
        <v>1.2600000000000001E-3</v>
      </c>
      <c r="S101" t="e">
        <f t="shared" si="6"/>
        <v>#N/A</v>
      </c>
      <c r="T101">
        <f t="shared" si="9"/>
        <v>4.1700000000000001E-3</v>
      </c>
    </row>
    <row r="102" spans="16:20" x14ac:dyDescent="0.3">
      <c r="P102">
        <f t="shared" si="7"/>
        <v>0.99000000000000021</v>
      </c>
      <c r="Q102">
        <v>-3.01</v>
      </c>
      <c r="R102">
        <f t="shared" si="8"/>
        <v>1.31E-3</v>
      </c>
      <c r="S102" t="e">
        <f t="shared" si="6"/>
        <v>#N/A</v>
      </c>
      <c r="T102">
        <f t="shared" si="9"/>
        <v>4.3E-3</v>
      </c>
    </row>
    <row r="103" spans="16:20" x14ac:dyDescent="0.3">
      <c r="P103">
        <f t="shared" si="7"/>
        <v>1</v>
      </c>
      <c r="Q103">
        <v>-3</v>
      </c>
      <c r="R103">
        <f t="shared" si="8"/>
        <v>1.3500000000000001E-3</v>
      </c>
      <c r="S103" t="e">
        <f t="shared" si="6"/>
        <v>#N/A</v>
      </c>
      <c r="T103">
        <f t="shared" si="9"/>
        <v>4.4299999999999999E-3</v>
      </c>
    </row>
    <row r="104" spans="16:20" x14ac:dyDescent="0.3">
      <c r="P104">
        <f t="shared" si="7"/>
        <v>1.0099999999999998</v>
      </c>
      <c r="Q104">
        <v>-2.99</v>
      </c>
      <c r="R104">
        <f t="shared" si="8"/>
        <v>1.39E-3</v>
      </c>
      <c r="S104" t="e">
        <f t="shared" si="6"/>
        <v>#N/A</v>
      </c>
      <c r="T104">
        <f t="shared" si="9"/>
        <v>4.5700000000000003E-3</v>
      </c>
    </row>
    <row r="105" spans="16:20" x14ac:dyDescent="0.3">
      <c r="P105">
        <f t="shared" si="7"/>
        <v>1.02</v>
      </c>
      <c r="Q105">
        <v>-2.98</v>
      </c>
      <c r="R105">
        <f t="shared" si="8"/>
        <v>1.4400000000000001E-3</v>
      </c>
      <c r="S105" t="e">
        <f t="shared" si="6"/>
        <v>#N/A</v>
      </c>
      <c r="T105">
        <f t="shared" si="9"/>
        <v>4.7000000000000002E-3</v>
      </c>
    </row>
    <row r="106" spans="16:20" x14ac:dyDescent="0.3">
      <c r="P106">
        <f t="shared" si="7"/>
        <v>1.0299999999999998</v>
      </c>
      <c r="Q106">
        <v>-2.97</v>
      </c>
      <c r="R106">
        <f t="shared" si="8"/>
        <v>1.49E-3</v>
      </c>
      <c r="S106" t="e">
        <f t="shared" si="6"/>
        <v>#N/A</v>
      </c>
      <c r="T106">
        <f t="shared" si="9"/>
        <v>4.8500000000000001E-3</v>
      </c>
    </row>
    <row r="107" spans="16:20" x14ac:dyDescent="0.3">
      <c r="P107">
        <f t="shared" si="7"/>
        <v>1.04</v>
      </c>
      <c r="Q107">
        <v>-2.96</v>
      </c>
      <c r="R107">
        <f t="shared" si="8"/>
        <v>1.5399999999999999E-3</v>
      </c>
      <c r="S107" t="e">
        <f t="shared" si="6"/>
        <v>#N/A</v>
      </c>
      <c r="T107">
        <f t="shared" si="9"/>
        <v>4.9899999999999996E-3</v>
      </c>
    </row>
    <row r="108" spans="16:20" x14ac:dyDescent="0.3">
      <c r="P108">
        <f t="shared" si="7"/>
        <v>1.0499999999999998</v>
      </c>
      <c r="Q108">
        <v>-2.95</v>
      </c>
      <c r="R108">
        <f t="shared" si="8"/>
        <v>1.5900000000000001E-3</v>
      </c>
      <c r="S108" t="e">
        <f t="shared" si="6"/>
        <v>#N/A</v>
      </c>
      <c r="T108">
        <f t="shared" si="9"/>
        <v>5.1399999999999996E-3</v>
      </c>
    </row>
    <row r="109" spans="16:20" x14ac:dyDescent="0.3">
      <c r="P109">
        <f t="shared" si="7"/>
        <v>1.06</v>
      </c>
      <c r="Q109">
        <v>-2.94</v>
      </c>
      <c r="R109">
        <f t="shared" si="8"/>
        <v>1.64E-3</v>
      </c>
      <c r="S109" t="e">
        <f t="shared" si="6"/>
        <v>#N/A</v>
      </c>
      <c r="T109">
        <f t="shared" si="9"/>
        <v>5.3E-3</v>
      </c>
    </row>
    <row r="110" spans="16:20" x14ac:dyDescent="0.3">
      <c r="P110">
        <f t="shared" si="7"/>
        <v>1.0699999999999998</v>
      </c>
      <c r="Q110">
        <v>-2.93</v>
      </c>
      <c r="R110">
        <f t="shared" si="8"/>
        <v>1.6900000000000001E-3</v>
      </c>
      <c r="S110" t="e">
        <f t="shared" si="6"/>
        <v>#N/A</v>
      </c>
      <c r="T110">
        <f t="shared" si="9"/>
        <v>5.45E-3</v>
      </c>
    </row>
    <row r="111" spans="16:20" x14ac:dyDescent="0.3">
      <c r="P111">
        <f t="shared" si="7"/>
        <v>1.08</v>
      </c>
      <c r="Q111">
        <v>-2.92</v>
      </c>
      <c r="R111">
        <f t="shared" si="8"/>
        <v>1.75E-3</v>
      </c>
      <c r="S111" t="e">
        <f t="shared" si="6"/>
        <v>#N/A</v>
      </c>
      <c r="T111">
        <f t="shared" si="9"/>
        <v>5.62E-3</v>
      </c>
    </row>
    <row r="112" spans="16:20" x14ac:dyDescent="0.3">
      <c r="P112">
        <f t="shared" si="7"/>
        <v>1.0899999999999999</v>
      </c>
      <c r="Q112">
        <v>-2.91</v>
      </c>
      <c r="R112">
        <f t="shared" si="8"/>
        <v>1.81E-3</v>
      </c>
      <c r="S112" t="e">
        <f t="shared" si="6"/>
        <v>#N/A</v>
      </c>
      <c r="T112">
        <f t="shared" si="9"/>
        <v>5.7800000000000004E-3</v>
      </c>
    </row>
    <row r="113" spans="16:20" x14ac:dyDescent="0.3">
      <c r="P113">
        <f t="shared" si="7"/>
        <v>1.1000000000000001</v>
      </c>
      <c r="Q113">
        <v>-2.9</v>
      </c>
      <c r="R113">
        <f t="shared" si="8"/>
        <v>1.8699999999999999E-3</v>
      </c>
      <c r="S113" t="e">
        <f t="shared" si="6"/>
        <v>#N/A</v>
      </c>
      <c r="T113">
        <f t="shared" si="9"/>
        <v>5.9500000000000004E-3</v>
      </c>
    </row>
    <row r="114" spans="16:20" x14ac:dyDescent="0.3">
      <c r="P114">
        <f t="shared" si="7"/>
        <v>1.1099999999999999</v>
      </c>
      <c r="Q114">
        <v>-2.89</v>
      </c>
      <c r="R114">
        <f t="shared" si="8"/>
        <v>1.9300000000000001E-3</v>
      </c>
      <c r="S114" t="e">
        <f t="shared" si="6"/>
        <v>#N/A</v>
      </c>
      <c r="T114">
        <f t="shared" si="9"/>
        <v>6.13E-3</v>
      </c>
    </row>
    <row r="115" spans="16:20" x14ac:dyDescent="0.3">
      <c r="P115">
        <f t="shared" si="7"/>
        <v>1.1200000000000001</v>
      </c>
      <c r="Q115">
        <v>-2.88</v>
      </c>
      <c r="R115">
        <f t="shared" si="8"/>
        <v>1.99E-3</v>
      </c>
      <c r="S115" t="e">
        <f t="shared" si="6"/>
        <v>#N/A</v>
      </c>
      <c r="T115">
        <f t="shared" si="9"/>
        <v>6.3099999999999996E-3</v>
      </c>
    </row>
    <row r="116" spans="16:20" x14ac:dyDescent="0.3">
      <c r="P116">
        <f t="shared" si="7"/>
        <v>1.1299999999999999</v>
      </c>
      <c r="Q116">
        <v>-2.87</v>
      </c>
      <c r="R116">
        <f t="shared" si="8"/>
        <v>2.0500000000000002E-3</v>
      </c>
      <c r="S116" t="e">
        <f t="shared" si="6"/>
        <v>#N/A</v>
      </c>
      <c r="T116">
        <f t="shared" si="9"/>
        <v>6.4900000000000001E-3</v>
      </c>
    </row>
    <row r="117" spans="16:20" x14ac:dyDescent="0.3">
      <c r="P117">
        <f t="shared" si="7"/>
        <v>1.1400000000000001</v>
      </c>
      <c r="Q117">
        <v>-2.86</v>
      </c>
      <c r="R117">
        <f t="shared" si="8"/>
        <v>2.1199999999999999E-3</v>
      </c>
      <c r="S117" t="e">
        <f t="shared" si="6"/>
        <v>#N/A</v>
      </c>
      <c r="T117">
        <f t="shared" si="9"/>
        <v>6.6800000000000002E-3</v>
      </c>
    </row>
    <row r="118" spans="16:20" x14ac:dyDescent="0.3">
      <c r="P118">
        <f t="shared" si="7"/>
        <v>1.1499999999999999</v>
      </c>
      <c r="Q118">
        <v>-2.85</v>
      </c>
      <c r="R118">
        <f t="shared" si="8"/>
        <v>2.1900000000000001E-3</v>
      </c>
      <c r="S118" t="e">
        <f t="shared" si="6"/>
        <v>#N/A</v>
      </c>
      <c r="T118">
        <f t="shared" si="9"/>
        <v>6.8700000000000002E-3</v>
      </c>
    </row>
    <row r="119" spans="16:20" x14ac:dyDescent="0.3">
      <c r="P119">
        <f t="shared" si="7"/>
        <v>1.1600000000000001</v>
      </c>
      <c r="Q119">
        <v>-2.84</v>
      </c>
      <c r="R119">
        <f t="shared" si="8"/>
        <v>2.2599999999999999E-3</v>
      </c>
      <c r="S119" t="e">
        <f t="shared" si="6"/>
        <v>#N/A</v>
      </c>
      <c r="T119">
        <f t="shared" si="9"/>
        <v>7.0699999999999999E-3</v>
      </c>
    </row>
    <row r="120" spans="16:20" x14ac:dyDescent="0.3">
      <c r="P120">
        <f t="shared" si="7"/>
        <v>1.17</v>
      </c>
      <c r="Q120">
        <v>-2.83</v>
      </c>
      <c r="R120">
        <f t="shared" si="8"/>
        <v>2.33E-3</v>
      </c>
      <c r="S120" t="e">
        <f t="shared" si="6"/>
        <v>#N/A</v>
      </c>
      <c r="T120">
        <f t="shared" si="9"/>
        <v>7.2700000000000004E-3</v>
      </c>
    </row>
    <row r="121" spans="16:20" x14ac:dyDescent="0.3">
      <c r="P121">
        <f t="shared" si="7"/>
        <v>1.1800000000000002</v>
      </c>
      <c r="Q121">
        <v>-2.82</v>
      </c>
      <c r="R121">
        <f t="shared" si="8"/>
        <v>2.3999999999999998E-3</v>
      </c>
      <c r="S121" t="e">
        <f t="shared" si="6"/>
        <v>#N/A</v>
      </c>
      <c r="T121">
        <f t="shared" si="9"/>
        <v>7.4799999999999997E-3</v>
      </c>
    </row>
    <row r="122" spans="16:20" x14ac:dyDescent="0.3">
      <c r="P122">
        <f t="shared" si="7"/>
        <v>1.19</v>
      </c>
      <c r="Q122">
        <v>-2.81</v>
      </c>
      <c r="R122">
        <f t="shared" si="8"/>
        <v>2.48E-3</v>
      </c>
      <c r="S122" t="e">
        <f t="shared" si="6"/>
        <v>#N/A</v>
      </c>
      <c r="T122">
        <f t="shared" si="9"/>
        <v>7.7000000000000002E-3</v>
      </c>
    </row>
    <row r="123" spans="16:20" x14ac:dyDescent="0.3">
      <c r="P123">
        <f t="shared" si="7"/>
        <v>1.2000000000000002</v>
      </c>
      <c r="Q123">
        <v>-2.8</v>
      </c>
      <c r="R123">
        <f t="shared" si="8"/>
        <v>2.5600000000000002E-3</v>
      </c>
      <c r="S123" t="e">
        <f t="shared" si="6"/>
        <v>#N/A</v>
      </c>
      <c r="T123">
        <f t="shared" si="9"/>
        <v>7.92E-3</v>
      </c>
    </row>
    <row r="124" spans="16:20" x14ac:dyDescent="0.3">
      <c r="P124">
        <f t="shared" si="7"/>
        <v>1.21</v>
      </c>
      <c r="Q124">
        <v>-2.79</v>
      </c>
      <c r="R124">
        <f t="shared" si="8"/>
        <v>2.64E-3</v>
      </c>
      <c r="S124" t="e">
        <f t="shared" si="6"/>
        <v>#N/A</v>
      </c>
      <c r="T124">
        <f t="shared" si="9"/>
        <v>8.1399999999999997E-3</v>
      </c>
    </row>
    <row r="125" spans="16:20" x14ac:dyDescent="0.3">
      <c r="P125">
        <f t="shared" si="7"/>
        <v>1.2200000000000002</v>
      </c>
      <c r="Q125">
        <v>-2.78</v>
      </c>
      <c r="R125">
        <f t="shared" si="8"/>
        <v>2.7200000000000002E-3</v>
      </c>
      <c r="S125" t="e">
        <f t="shared" si="6"/>
        <v>#N/A</v>
      </c>
      <c r="T125">
        <f t="shared" si="9"/>
        <v>8.3700000000000007E-3</v>
      </c>
    </row>
    <row r="126" spans="16:20" x14ac:dyDescent="0.3">
      <c r="P126">
        <f t="shared" si="7"/>
        <v>1.23</v>
      </c>
      <c r="Q126">
        <v>-2.77</v>
      </c>
      <c r="R126">
        <f t="shared" si="8"/>
        <v>2.8E-3</v>
      </c>
      <c r="S126" t="e">
        <f t="shared" si="6"/>
        <v>#N/A</v>
      </c>
      <c r="T126">
        <f t="shared" si="9"/>
        <v>8.6099999999999996E-3</v>
      </c>
    </row>
    <row r="127" spans="16:20" x14ac:dyDescent="0.3">
      <c r="P127">
        <f t="shared" si="7"/>
        <v>1.2400000000000002</v>
      </c>
      <c r="Q127">
        <v>-2.76</v>
      </c>
      <c r="R127">
        <f t="shared" si="8"/>
        <v>2.8900000000000002E-3</v>
      </c>
      <c r="S127" t="e">
        <f t="shared" si="6"/>
        <v>#N/A</v>
      </c>
      <c r="T127">
        <f t="shared" si="9"/>
        <v>8.8500000000000002E-3</v>
      </c>
    </row>
    <row r="128" spans="16:20" x14ac:dyDescent="0.3">
      <c r="P128">
        <f t="shared" si="7"/>
        <v>1.25</v>
      </c>
      <c r="Q128">
        <v>-2.75</v>
      </c>
      <c r="R128">
        <f t="shared" si="8"/>
        <v>2.98E-3</v>
      </c>
      <c r="S128" t="e">
        <f t="shared" si="6"/>
        <v>#N/A</v>
      </c>
      <c r="T128">
        <f t="shared" si="9"/>
        <v>9.0900000000000009E-3</v>
      </c>
    </row>
    <row r="129" spans="16:20" x14ac:dyDescent="0.3">
      <c r="P129">
        <f t="shared" si="7"/>
        <v>1.2599999999999998</v>
      </c>
      <c r="Q129">
        <v>-2.74</v>
      </c>
      <c r="R129">
        <f t="shared" si="8"/>
        <v>3.0699999999999998E-3</v>
      </c>
      <c r="S129" t="e">
        <f t="shared" si="6"/>
        <v>#N/A</v>
      </c>
      <c r="T129">
        <f t="shared" si="9"/>
        <v>9.3500000000000007E-3</v>
      </c>
    </row>
    <row r="130" spans="16:20" x14ac:dyDescent="0.3">
      <c r="P130">
        <f t="shared" si="7"/>
        <v>1.27</v>
      </c>
      <c r="Q130">
        <v>-2.73</v>
      </c>
      <c r="R130">
        <f t="shared" si="8"/>
        <v>3.1700000000000001E-3</v>
      </c>
      <c r="S130" t="e">
        <f t="shared" si="6"/>
        <v>#N/A</v>
      </c>
      <c r="T130">
        <f t="shared" si="9"/>
        <v>9.6100000000000005E-3</v>
      </c>
    </row>
    <row r="131" spans="16:20" x14ac:dyDescent="0.3">
      <c r="P131">
        <f t="shared" si="7"/>
        <v>1.2799999999999998</v>
      </c>
      <c r="Q131">
        <v>-2.72</v>
      </c>
      <c r="R131">
        <f t="shared" si="8"/>
        <v>3.2599999999999999E-3</v>
      </c>
      <c r="S131" t="e">
        <f t="shared" ref="S131:S194" si="10">VLOOKUP(R131,$W$3:$W$42,1,0)</f>
        <v>#N/A</v>
      </c>
      <c r="T131">
        <f t="shared" si="9"/>
        <v>9.8700000000000003E-3</v>
      </c>
    </row>
    <row r="132" spans="16:20" x14ac:dyDescent="0.3">
      <c r="P132">
        <f t="shared" ref="P132:P195" si="11">4+(Q132)</f>
        <v>1.29</v>
      </c>
      <c r="Q132">
        <v>-2.71</v>
      </c>
      <c r="R132">
        <f t="shared" ref="R132:R195" si="12">ROUND(_xlfn.NORM.S.DIST(Q132,1),5)</f>
        <v>3.3600000000000001E-3</v>
      </c>
      <c r="S132" t="e">
        <f t="shared" si="10"/>
        <v>#N/A</v>
      </c>
      <c r="T132">
        <f t="shared" ref="T132:T195" si="13">ROUND(_xlfn.NORM.S.DIST(Q132,0),5)</f>
        <v>1.014E-2</v>
      </c>
    </row>
    <row r="133" spans="16:20" x14ac:dyDescent="0.3">
      <c r="P133">
        <f t="shared" si="11"/>
        <v>1.2999999999999998</v>
      </c>
      <c r="Q133">
        <v>-2.7</v>
      </c>
      <c r="R133">
        <f t="shared" si="12"/>
        <v>3.47E-3</v>
      </c>
      <c r="S133" t="e">
        <f t="shared" si="10"/>
        <v>#N/A</v>
      </c>
      <c r="T133">
        <f t="shared" si="13"/>
        <v>1.042E-2</v>
      </c>
    </row>
    <row r="134" spans="16:20" x14ac:dyDescent="0.3">
      <c r="P134">
        <f t="shared" si="11"/>
        <v>1.31</v>
      </c>
      <c r="Q134">
        <v>-2.69</v>
      </c>
      <c r="R134">
        <f t="shared" si="12"/>
        <v>3.5699999999999998E-3</v>
      </c>
      <c r="S134" t="e">
        <f t="shared" si="10"/>
        <v>#N/A</v>
      </c>
      <c r="T134">
        <f t="shared" si="13"/>
        <v>1.0710000000000001E-2</v>
      </c>
    </row>
    <row r="135" spans="16:20" x14ac:dyDescent="0.3">
      <c r="P135">
        <f t="shared" si="11"/>
        <v>1.3199999999999998</v>
      </c>
      <c r="Q135">
        <v>-2.68</v>
      </c>
      <c r="R135">
        <f t="shared" si="12"/>
        <v>3.6800000000000001E-3</v>
      </c>
      <c r="S135" t="e">
        <f t="shared" si="10"/>
        <v>#N/A</v>
      </c>
      <c r="T135">
        <f t="shared" si="13"/>
        <v>1.0999999999999999E-2</v>
      </c>
    </row>
    <row r="136" spans="16:20" x14ac:dyDescent="0.3">
      <c r="P136">
        <f t="shared" si="11"/>
        <v>1.33</v>
      </c>
      <c r="Q136">
        <v>-2.67</v>
      </c>
      <c r="R136">
        <f t="shared" si="12"/>
        <v>3.79E-3</v>
      </c>
      <c r="S136" t="e">
        <f t="shared" si="10"/>
        <v>#N/A</v>
      </c>
      <c r="T136">
        <f t="shared" si="13"/>
        <v>1.1299999999999999E-2</v>
      </c>
    </row>
    <row r="137" spans="16:20" x14ac:dyDescent="0.3">
      <c r="P137">
        <f t="shared" si="11"/>
        <v>1.3399999999999999</v>
      </c>
      <c r="Q137">
        <v>-2.66</v>
      </c>
      <c r="R137">
        <f t="shared" si="12"/>
        <v>3.9100000000000003E-3</v>
      </c>
      <c r="S137" t="e">
        <f t="shared" si="10"/>
        <v>#N/A</v>
      </c>
      <c r="T137">
        <f t="shared" si="13"/>
        <v>1.1599999999999999E-2</v>
      </c>
    </row>
    <row r="138" spans="16:20" x14ac:dyDescent="0.3">
      <c r="P138">
        <f t="shared" si="11"/>
        <v>1.35</v>
      </c>
      <c r="Q138">
        <v>-2.65</v>
      </c>
      <c r="R138">
        <f t="shared" si="12"/>
        <v>4.0200000000000001E-3</v>
      </c>
      <c r="S138" t="e">
        <f t="shared" si="10"/>
        <v>#N/A</v>
      </c>
      <c r="T138">
        <f t="shared" si="13"/>
        <v>1.191E-2</v>
      </c>
    </row>
    <row r="139" spans="16:20" x14ac:dyDescent="0.3">
      <c r="P139">
        <f t="shared" si="11"/>
        <v>1.3599999999999999</v>
      </c>
      <c r="Q139">
        <v>-2.64</v>
      </c>
      <c r="R139">
        <f t="shared" si="12"/>
        <v>4.15E-3</v>
      </c>
      <c r="S139" t="e">
        <f t="shared" si="10"/>
        <v>#N/A</v>
      </c>
      <c r="T139">
        <f t="shared" si="13"/>
        <v>1.223E-2</v>
      </c>
    </row>
    <row r="140" spans="16:20" x14ac:dyDescent="0.3">
      <c r="P140">
        <f t="shared" si="11"/>
        <v>1.37</v>
      </c>
      <c r="Q140">
        <v>-2.63</v>
      </c>
      <c r="R140">
        <f t="shared" si="12"/>
        <v>4.2700000000000004E-3</v>
      </c>
      <c r="S140" t="e">
        <f t="shared" si="10"/>
        <v>#N/A</v>
      </c>
      <c r="T140">
        <f t="shared" si="13"/>
        <v>1.256E-2</v>
      </c>
    </row>
    <row r="141" spans="16:20" x14ac:dyDescent="0.3">
      <c r="P141">
        <f t="shared" si="11"/>
        <v>1.38</v>
      </c>
      <c r="Q141">
        <v>-2.62</v>
      </c>
      <c r="R141">
        <f t="shared" si="12"/>
        <v>4.4000000000000003E-3</v>
      </c>
      <c r="S141" t="e">
        <f t="shared" si="10"/>
        <v>#N/A</v>
      </c>
      <c r="T141">
        <f t="shared" si="13"/>
        <v>1.289E-2</v>
      </c>
    </row>
    <row r="142" spans="16:20" x14ac:dyDescent="0.3">
      <c r="P142">
        <f t="shared" si="11"/>
        <v>1.3900000000000001</v>
      </c>
      <c r="Q142">
        <v>-2.61</v>
      </c>
      <c r="R142">
        <f t="shared" si="12"/>
        <v>4.5300000000000002E-3</v>
      </c>
      <c r="S142" t="e">
        <f t="shared" si="10"/>
        <v>#N/A</v>
      </c>
      <c r="T142">
        <f t="shared" si="13"/>
        <v>1.323E-2</v>
      </c>
    </row>
    <row r="143" spans="16:20" x14ac:dyDescent="0.3">
      <c r="P143">
        <f t="shared" si="11"/>
        <v>1.4</v>
      </c>
      <c r="Q143">
        <v>-2.6</v>
      </c>
      <c r="R143">
        <f t="shared" si="12"/>
        <v>4.6600000000000001E-3</v>
      </c>
      <c r="S143" t="e">
        <f t="shared" si="10"/>
        <v>#N/A</v>
      </c>
      <c r="T143">
        <f t="shared" si="13"/>
        <v>1.358E-2</v>
      </c>
    </row>
    <row r="144" spans="16:20" x14ac:dyDescent="0.3">
      <c r="P144">
        <f t="shared" si="11"/>
        <v>1.4100000000000001</v>
      </c>
      <c r="Q144">
        <v>-2.59</v>
      </c>
      <c r="R144">
        <f t="shared" si="12"/>
        <v>4.7999999999999996E-3</v>
      </c>
      <c r="S144" t="e">
        <f t="shared" si="10"/>
        <v>#N/A</v>
      </c>
      <c r="T144">
        <f t="shared" si="13"/>
        <v>1.3939999999999999E-2</v>
      </c>
    </row>
    <row r="145" spans="16:20" x14ac:dyDescent="0.3">
      <c r="P145">
        <f t="shared" si="11"/>
        <v>1.42</v>
      </c>
      <c r="Q145">
        <v>-2.58</v>
      </c>
      <c r="R145">
        <f t="shared" si="12"/>
        <v>4.9399999999999999E-3</v>
      </c>
      <c r="S145" t="e">
        <f t="shared" si="10"/>
        <v>#N/A</v>
      </c>
      <c r="T145">
        <f t="shared" si="13"/>
        <v>1.431E-2</v>
      </c>
    </row>
    <row r="146" spans="16:20" x14ac:dyDescent="0.3">
      <c r="P146">
        <f t="shared" si="11"/>
        <v>1.4300000000000002</v>
      </c>
      <c r="Q146">
        <v>-2.57</v>
      </c>
      <c r="R146">
        <f t="shared" si="12"/>
        <v>5.0800000000000003E-3</v>
      </c>
      <c r="S146" t="e">
        <f t="shared" si="10"/>
        <v>#N/A</v>
      </c>
      <c r="T146">
        <f t="shared" si="13"/>
        <v>1.468E-2</v>
      </c>
    </row>
    <row r="147" spans="16:20" x14ac:dyDescent="0.3">
      <c r="P147">
        <f t="shared" si="11"/>
        <v>1.44</v>
      </c>
      <c r="Q147">
        <v>-2.56</v>
      </c>
      <c r="R147">
        <f t="shared" si="12"/>
        <v>5.2300000000000003E-3</v>
      </c>
      <c r="S147" t="e">
        <f t="shared" si="10"/>
        <v>#N/A</v>
      </c>
      <c r="T147">
        <f t="shared" si="13"/>
        <v>1.506E-2</v>
      </c>
    </row>
    <row r="148" spans="16:20" x14ac:dyDescent="0.3">
      <c r="P148">
        <f t="shared" si="11"/>
        <v>1.4500000000000002</v>
      </c>
      <c r="Q148">
        <v>-2.5499999999999998</v>
      </c>
      <c r="R148">
        <f t="shared" si="12"/>
        <v>5.3899999999999998E-3</v>
      </c>
      <c r="S148" t="e">
        <f t="shared" si="10"/>
        <v>#N/A</v>
      </c>
      <c r="T148">
        <f t="shared" si="13"/>
        <v>1.545E-2</v>
      </c>
    </row>
    <row r="149" spans="16:20" x14ac:dyDescent="0.3">
      <c r="P149">
        <f t="shared" si="11"/>
        <v>1.46</v>
      </c>
      <c r="Q149">
        <v>-2.54</v>
      </c>
      <c r="R149">
        <f t="shared" si="12"/>
        <v>5.5399999999999998E-3</v>
      </c>
      <c r="S149" t="e">
        <f t="shared" si="10"/>
        <v>#N/A</v>
      </c>
      <c r="T149">
        <f t="shared" si="13"/>
        <v>1.585E-2</v>
      </c>
    </row>
    <row r="150" spans="16:20" x14ac:dyDescent="0.3">
      <c r="P150">
        <f t="shared" si="11"/>
        <v>1.4700000000000002</v>
      </c>
      <c r="Q150">
        <v>-2.5299999999999998</v>
      </c>
      <c r="R150">
        <f t="shared" si="12"/>
        <v>5.7000000000000002E-3</v>
      </c>
      <c r="S150" t="e">
        <f t="shared" si="10"/>
        <v>#N/A</v>
      </c>
      <c r="T150">
        <f t="shared" si="13"/>
        <v>1.6250000000000001E-2</v>
      </c>
    </row>
    <row r="151" spans="16:20" x14ac:dyDescent="0.3">
      <c r="P151">
        <f t="shared" si="11"/>
        <v>1.48</v>
      </c>
      <c r="Q151">
        <v>-2.52</v>
      </c>
      <c r="R151">
        <f t="shared" si="12"/>
        <v>5.8700000000000002E-3</v>
      </c>
      <c r="S151" t="e">
        <f t="shared" si="10"/>
        <v>#N/A</v>
      </c>
      <c r="T151">
        <f t="shared" si="13"/>
        <v>1.6670000000000001E-2</v>
      </c>
    </row>
    <row r="152" spans="16:20" x14ac:dyDescent="0.3">
      <c r="P152">
        <f t="shared" si="11"/>
        <v>1.4900000000000002</v>
      </c>
      <c r="Q152">
        <v>-2.5099999999999998</v>
      </c>
      <c r="R152">
        <f t="shared" si="12"/>
        <v>6.0400000000000002E-3</v>
      </c>
      <c r="S152" t="e">
        <f t="shared" si="10"/>
        <v>#N/A</v>
      </c>
      <c r="T152">
        <f t="shared" si="13"/>
        <v>1.7090000000000001E-2</v>
      </c>
    </row>
    <row r="153" spans="16:20" x14ac:dyDescent="0.3">
      <c r="P153">
        <f t="shared" si="11"/>
        <v>1.5</v>
      </c>
      <c r="Q153">
        <v>-2.5</v>
      </c>
      <c r="R153">
        <f t="shared" si="12"/>
        <v>6.2100000000000002E-3</v>
      </c>
      <c r="S153" t="e">
        <f t="shared" si="10"/>
        <v>#N/A</v>
      </c>
      <c r="T153">
        <f t="shared" si="13"/>
        <v>1.753E-2</v>
      </c>
    </row>
    <row r="154" spans="16:20" x14ac:dyDescent="0.3">
      <c r="P154">
        <f t="shared" si="11"/>
        <v>1.5099999999999998</v>
      </c>
      <c r="Q154">
        <v>-2.4900000000000002</v>
      </c>
      <c r="R154">
        <f t="shared" si="12"/>
        <v>6.3899999999999998E-3</v>
      </c>
      <c r="S154" t="e">
        <f t="shared" si="10"/>
        <v>#N/A</v>
      </c>
      <c r="T154">
        <f t="shared" si="13"/>
        <v>1.797E-2</v>
      </c>
    </row>
    <row r="155" spans="16:20" x14ac:dyDescent="0.3">
      <c r="P155">
        <f t="shared" si="11"/>
        <v>1.52</v>
      </c>
      <c r="Q155">
        <v>-2.48</v>
      </c>
      <c r="R155">
        <f t="shared" si="12"/>
        <v>6.5700000000000003E-3</v>
      </c>
      <c r="S155" t="e">
        <f t="shared" si="10"/>
        <v>#N/A</v>
      </c>
      <c r="T155">
        <f t="shared" si="13"/>
        <v>1.8419999999999999E-2</v>
      </c>
    </row>
    <row r="156" spans="16:20" x14ac:dyDescent="0.3">
      <c r="P156">
        <f t="shared" si="11"/>
        <v>1.5299999999999998</v>
      </c>
      <c r="Q156">
        <v>-2.4700000000000002</v>
      </c>
      <c r="R156">
        <f t="shared" si="12"/>
        <v>6.7600000000000004E-3</v>
      </c>
      <c r="S156" t="e">
        <f t="shared" si="10"/>
        <v>#N/A</v>
      </c>
      <c r="T156">
        <f t="shared" si="13"/>
        <v>1.8880000000000001E-2</v>
      </c>
    </row>
    <row r="157" spans="16:20" x14ac:dyDescent="0.3">
      <c r="P157">
        <f t="shared" si="11"/>
        <v>1.54</v>
      </c>
      <c r="Q157">
        <v>-2.46</v>
      </c>
      <c r="R157">
        <f t="shared" si="12"/>
        <v>6.9499999999999996E-3</v>
      </c>
      <c r="S157" t="e">
        <f t="shared" si="10"/>
        <v>#N/A</v>
      </c>
      <c r="T157">
        <f t="shared" si="13"/>
        <v>1.9359999999999999E-2</v>
      </c>
    </row>
    <row r="158" spans="16:20" x14ac:dyDescent="0.3">
      <c r="P158">
        <f t="shared" si="11"/>
        <v>1.5499999999999998</v>
      </c>
      <c r="Q158">
        <v>-2.4500000000000002</v>
      </c>
      <c r="R158">
        <f t="shared" si="12"/>
        <v>7.1399999999999996E-3</v>
      </c>
      <c r="S158" t="e">
        <f t="shared" si="10"/>
        <v>#N/A</v>
      </c>
      <c r="T158">
        <f t="shared" si="13"/>
        <v>1.984E-2</v>
      </c>
    </row>
    <row r="159" spans="16:20" x14ac:dyDescent="0.3">
      <c r="P159">
        <f t="shared" si="11"/>
        <v>1.56</v>
      </c>
      <c r="Q159">
        <v>-2.44</v>
      </c>
      <c r="R159">
        <f t="shared" si="12"/>
        <v>7.3400000000000002E-3</v>
      </c>
      <c r="S159" t="e">
        <f t="shared" si="10"/>
        <v>#N/A</v>
      </c>
      <c r="T159">
        <f t="shared" si="13"/>
        <v>2.0330000000000001E-2</v>
      </c>
    </row>
    <row r="160" spans="16:20" x14ac:dyDescent="0.3">
      <c r="P160">
        <f t="shared" si="11"/>
        <v>1.5699999999999998</v>
      </c>
      <c r="Q160">
        <v>-2.4300000000000002</v>
      </c>
      <c r="R160">
        <f t="shared" si="12"/>
        <v>7.5500000000000003E-3</v>
      </c>
      <c r="S160" t="e">
        <f t="shared" si="10"/>
        <v>#N/A</v>
      </c>
      <c r="T160">
        <f t="shared" si="13"/>
        <v>2.0830000000000001E-2</v>
      </c>
    </row>
    <row r="161" spans="16:20" x14ac:dyDescent="0.3">
      <c r="P161">
        <f t="shared" si="11"/>
        <v>1.58</v>
      </c>
      <c r="Q161">
        <v>-2.42</v>
      </c>
      <c r="R161">
        <f t="shared" si="12"/>
        <v>7.7600000000000004E-3</v>
      </c>
      <c r="S161" t="e">
        <f t="shared" si="10"/>
        <v>#N/A</v>
      </c>
      <c r="T161">
        <f t="shared" si="13"/>
        <v>2.1340000000000001E-2</v>
      </c>
    </row>
    <row r="162" spans="16:20" x14ac:dyDescent="0.3">
      <c r="P162">
        <f t="shared" si="11"/>
        <v>1.5899999999999999</v>
      </c>
      <c r="Q162">
        <v>-2.41</v>
      </c>
      <c r="R162">
        <f t="shared" si="12"/>
        <v>7.9799999999999992E-3</v>
      </c>
      <c r="S162" t="e">
        <f t="shared" si="10"/>
        <v>#N/A</v>
      </c>
      <c r="T162">
        <f t="shared" si="13"/>
        <v>2.1860000000000001E-2</v>
      </c>
    </row>
    <row r="163" spans="16:20" x14ac:dyDescent="0.3">
      <c r="P163">
        <f t="shared" si="11"/>
        <v>1.6</v>
      </c>
      <c r="Q163">
        <v>-2.4</v>
      </c>
      <c r="R163">
        <f t="shared" si="12"/>
        <v>8.2000000000000007E-3</v>
      </c>
      <c r="S163" t="e">
        <f t="shared" si="10"/>
        <v>#N/A</v>
      </c>
      <c r="T163">
        <f t="shared" si="13"/>
        <v>2.239E-2</v>
      </c>
    </row>
    <row r="164" spans="16:20" x14ac:dyDescent="0.3">
      <c r="P164">
        <f t="shared" si="11"/>
        <v>1.6099999999999999</v>
      </c>
      <c r="Q164">
        <v>-2.39</v>
      </c>
      <c r="R164">
        <f t="shared" si="12"/>
        <v>8.4200000000000004E-3</v>
      </c>
      <c r="S164" t="e">
        <f t="shared" si="10"/>
        <v>#N/A</v>
      </c>
      <c r="T164">
        <f t="shared" si="13"/>
        <v>2.2939999999999999E-2</v>
      </c>
    </row>
    <row r="165" spans="16:20" x14ac:dyDescent="0.3">
      <c r="P165">
        <f t="shared" si="11"/>
        <v>1.62</v>
      </c>
      <c r="Q165">
        <v>-2.38</v>
      </c>
      <c r="R165">
        <f t="shared" si="12"/>
        <v>8.6599999999999993E-3</v>
      </c>
      <c r="S165" t="e">
        <f t="shared" si="10"/>
        <v>#N/A</v>
      </c>
      <c r="T165">
        <f t="shared" si="13"/>
        <v>2.349E-2</v>
      </c>
    </row>
    <row r="166" spans="16:20" x14ac:dyDescent="0.3">
      <c r="P166">
        <f t="shared" si="11"/>
        <v>1.63</v>
      </c>
      <c r="Q166">
        <v>-2.37</v>
      </c>
      <c r="R166">
        <f t="shared" si="12"/>
        <v>8.8900000000000003E-3</v>
      </c>
      <c r="S166" t="e">
        <f t="shared" si="10"/>
        <v>#N/A</v>
      </c>
      <c r="T166">
        <f t="shared" si="13"/>
        <v>2.4060000000000002E-2</v>
      </c>
    </row>
    <row r="167" spans="16:20" x14ac:dyDescent="0.3">
      <c r="P167">
        <f t="shared" si="11"/>
        <v>1.6400000000000001</v>
      </c>
      <c r="Q167">
        <v>-2.36</v>
      </c>
      <c r="R167">
        <f t="shared" si="12"/>
        <v>9.1400000000000006E-3</v>
      </c>
      <c r="S167" t="e">
        <f t="shared" si="10"/>
        <v>#N/A</v>
      </c>
      <c r="T167">
        <f t="shared" si="13"/>
        <v>2.4629999999999999E-2</v>
      </c>
    </row>
    <row r="168" spans="16:20" x14ac:dyDescent="0.3">
      <c r="P168">
        <f t="shared" si="11"/>
        <v>1.65</v>
      </c>
      <c r="Q168">
        <v>-2.35</v>
      </c>
      <c r="R168">
        <f t="shared" si="12"/>
        <v>9.3900000000000008E-3</v>
      </c>
      <c r="S168" t="e">
        <f t="shared" si="10"/>
        <v>#N/A</v>
      </c>
      <c r="T168">
        <f t="shared" si="13"/>
        <v>2.5219999999999999E-2</v>
      </c>
    </row>
    <row r="169" spans="16:20" x14ac:dyDescent="0.3">
      <c r="P169">
        <f t="shared" si="11"/>
        <v>1.6600000000000001</v>
      </c>
      <c r="Q169">
        <v>-2.34</v>
      </c>
      <c r="R169">
        <f t="shared" si="12"/>
        <v>9.6399999999999993E-3</v>
      </c>
      <c r="S169" t="e">
        <f t="shared" si="10"/>
        <v>#N/A</v>
      </c>
      <c r="T169">
        <f t="shared" si="13"/>
        <v>2.5819999999999999E-2</v>
      </c>
    </row>
    <row r="170" spans="16:20" x14ac:dyDescent="0.3">
      <c r="P170">
        <f t="shared" si="11"/>
        <v>1.67</v>
      </c>
      <c r="Q170">
        <v>-2.33</v>
      </c>
      <c r="R170">
        <f t="shared" si="12"/>
        <v>9.9000000000000008E-3</v>
      </c>
      <c r="S170" t="e">
        <f t="shared" si="10"/>
        <v>#N/A</v>
      </c>
      <c r="T170">
        <f t="shared" si="13"/>
        <v>2.6429999999999999E-2</v>
      </c>
    </row>
    <row r="171" spans="16:20" x14ac:dyDescent="0.3">
      <c r="P171">
        <f t="shared" si="11"/>
        <v>1.6800000000000002</v>
      </c>
      <c r="Q171">
        <v>-2.3199999999999998</v>
      </c>
      <c r="R171">
        <f t="shared" si="12"/>
        <v>1.017E-2</v>
      </c>
      <c r="S171" t="e">
        <f t="shared" si="10"/>
        <v>#N/A</v>
      </c>
      <c r="T171">
        <f t="shared" si="13"/>
        <v>2.7050000000000001E-2</v>
      </c>
    </row>
    <row r="172" spans="16:20" x14ac:dyDescent="0.3">
      <c r="P172">
        <f t="shared" si="11"/>
        <v>1.69</v>
      </c>
      <c r="Q172">
        <v>-2.31</v>
      </c>
      <c r="R172">
        <f t="shared" si="12"/>
        <v>1.044E-2</v>
      </c>
      <c r="S172" t="e">
        <f t="shared" si="10"/>
        <v>#N/A</v>
      </c>
      <c r="T172">
        <f t="shared" si="13"/>
        <v>2.768E-2</v>
      </c>
    </row>
    <row r="173" spans="16:20" x14ac:dyDescent="0.3">
      <c r="P173">
        <f t="shared" si="11"/>
        <v>1.7000000000000002</v>
      </c>
      <c r="Q173">
        <v>-2.2999999999999998</v>
      </c>
      <c r="R173">
        <f t="shared" si="12"/>
        <v>1.072E-2</v>
      </c>
      <c r="S173" t="e">
        <f t="shared" si="10"/>
        <v>#N/A</v>
      </c>
      <c r="T173">
        <f t="shared" si="13"/>
        <v>2.8330000000000001E-2</v>
      </c>
    </row>
    <row r="174" spans="16:20" x14ac:dyDescent="0.3">
      <c r="P174">
        <f t="shared" si="11"/>
        <v>1.71</v>
      </c>
      <c r="Q174">
        <v>-2.29</v>
      </c>
      <c r="R174">
        <f t="shared" si="12"/>
        <v>1.1010000000000001E-2</v>
      </c>
      <c r="S174" t="e">
        <f t="shared" si="10"/>
        <v>#N/A</v>
      </c>
      <c r="T174">
        <f t="shared" si="13"/>
        <v>2.8979999999999999E-2</v>
      </c>
    </row>
    <row r="175" spans="16:20" x14ac:dyDescent="0.3">
      <c r="P175">
        <f t="shared" si="11"/>
        <v>1.7200000000000002</v>
      </c>
      <c r="Q175">
        <v>-2.2799999999999998</v>
      </c>
      <c r="R175">
        <f t="shared" si="12"/>
        <v>1.1299999999999999E-2</v>
      </c>
      <c r="S175" t="e">
        <f t="shared" si="10"/>
        <v>#N/A</v>
      </c>
      <c r="T175">
        <f t="shared" si="13"/>
        <v>2.9649999999999999E-2</v>
      </c>
    </row>
    <row r="176" spans="16:20" x14ac:dyDescent="0.3">
      <c r="P176">
        <f t="shared" si="11"/>
        <v>1.73</v>
      </c>
      <c r="Q176">
        <v>-2.27</v>
      </c>
      <c r="R176">
        <f t="shared" si="12"/>
        <v>1.1599999999999999E-2</v>
      </c>
      <c r="S176" t="e">
        <f t="shared" si="10"/>
        <v>#N/A</v>
      </c>
      <c r="T176">
        <f t="shared" si="13"/>
        <v>3.0339999999999999E-2</v>
      </c>
    </row>
    <row r="177" spans="16:20" x14ac:dyDescent="0.3">
      <c r="P177">
        <f t="shared" si="11"/>
        <v>1.7400000000000002</v>
      </c>
      <c r="Q177">
        <v>-2.2599999999999998</v>
      </c>
      <c r="R177">
        <f t="shared" si="12"/>
        <v>1.191E-2</v>
      </c>
      <c r="S177" t="e">
        <f t="shared" si="10"/>
        <v>#N/A</v>
      </c>
      <c r="T177">
        <f t="shared" si="13"/>
        <v>3.1029999999999999E-2</v>
      </c>
    </row>
    <row r="178" spans="16:20" x14ac:dyDescent="0.3">
      <c r="P178">
        <f t="shared" si="11"/>
        <v>1.75</v>
      </c>
      <c r="Q178">
        <v>-2.25</v>
      </c>
      <c r="R178">
        <f t="shared" si="12"/>
        <v>1.222E-2</v>
      </c>
      <c r="S178" t="e">
        <f t="shared" si="10"/>
        <v>#N/A</v>
      </c>
      <c r="T178">
        <f t="shared" si="13"/>
        <v>3.1739999999999997E-2</v>
      </c>
    </row>
    <row r="179" spans="16:20" x14ac:dyDescent="0.3">
      <c r="P179">
        <f t="shared" si="11"/>
        <v>1.7599999999999998</v>
      </c>
      <c r="Q179">
        <v>-2.2400000000000002</v>
      </c>
      <c r="R179">
        <f t="shared" si="12"/>
        <v>1.255E-2</v>
      </c>
      <c r="S179" t="e">
        <f t="shared" si="10"/>
        <v>#N/A</v>
      </c>
      <c r="T179">
        <f t="shared" si="13"/>
        <v>3.2460000000000003E-2</v>
      </c>
    </row>
    <row r="180" spans="16:20" x14ac:dyDescent="0.3">
      <c r="P180">
        <f t="shared" si="11"/>
        <v>1.77</v>
      </c>
      <c r="Q180">
        <v>-2.23</v>
      </c>
      <c r="R180">
        <f t="shared" si="12"/>
        <v>1.2869999999999999E-2</v>
      </c>
      <c r="S180" t="e">
        <f t="shared" si="10"/>
        <v>#N/A</v>
      </c>
      <c r="T180">
        <f t="shared" si="13"/>
        <v>3.3189999999999997E-2</v>
      </c>
    </row>
    <row r="181" spans="16:20" x14ac:dyDescent="0.3">
      <c r="P181">
        <f t="shared" si="11"/>
        <v>1.7799999999999998</v>
      </c>
      <c r="Q181">
        <v>-2.2200000000000002</v>
      </c>
      <c r="R181">
        <f t="shared" si="12"/>
        <v>1.321E-2</v>
      </c>
      <c r="S181" t="e">
        <f t="shared" si="10"/>
        <v>#N/A</v>
      </c>
      <c r="T181">
        <f t="shared" si="13"/>
        <v>3.3939999999999998E-2</v>
      </c>
    </row>
    <row r="182" spans="16:20" x14ac:dyDescent="0.3">
      <c r="P182">
        <f t="shared" si="11"/>
        <v>1.79</v>
      </c>
      <c r="Q182">
        <v>-2.21</v>
      </c>
      <c r="R182">
        <f t="shared" si="12"/>
        <v>1.355E-2</v>
      </c>
      <c r="S182" t="e">
        <f t="shared" si="10"/>
        <v>#N/A</v>
      </c>
      <c r="T182">
        <f t="shared" si="13"/>
        <v>3.4700000000000002E-2</v>
      </c>
    </row>
    <row r="183" spans="16:20" x14ac:dyDescent="0.3">
      <c r="P183">
        <f t="shared" si="11"/>
        <v>1.7999999999999998</v>
      </c>
      <c r="Q183">
        <v>-2.2000000000000002</v>
      </c>
      <c r="R183">
        <f t="shared" si="12"/>
        <v>1.3899999999999999E-2</v>
      </c>
      <c r="S183" t="e">
        <f t="shared" si="10"/>
        <v>#N/A</v>
      </c>
      <c r="T183">
        <f t="shared" si="13"/>
        <v>3.5470000000000002E-2</v>
      </c>
    </row>
    <row r="184" spans="16:20" x14ac:dyDescent="0.3">
      <c r="P184">
        <f t="shared" si="11"/>
        <v>1.81</v>
      </c>
      <c r="Q184">
        <v>-2.19</v>
      </c>
      <c r="R184">
        <f t="shared" si="12"/>
        <v>1.426E-2</v>
      </c>
      <c r="S184" t="e">
        <f t="shared" si="10"/>
        <v>#N/A</v>
      </c>
      <c r="T184">
        <f t="shared" si="13"/>
        <v>3.6260000000000001E-2</v>
      </c>
    </row>
    <row r="185" spans="16:20" x14ac:dyDescent="0.3">
      <c r="P185">
        <f t="shared" si="11"/>
        <v>1.8199999999999998</v>
      </c>
      <c r="Q185">
        <v>-2.1800000000000002</v>
      </c>
      <c r="R185">
        <f t="shared" si="12"/>
        <v>1.4630000000000001E-2</v>
      </c>
      <c r="S185" t="e">
        <f t="shared" si="10"/>
        <v>#N/A</v>
      </c>
      <c r="T185">
        <f t="shared" si="13"/>
        <v>3.7060000000000003E-2</v>
      </c>
    </row>
    <row r="186" spans="16:20" x14ac:dyDescent="0.3">
      <c r="P186">
        <f t="shared" si="11"/>
        <v>1.83</v>
      </c>
      <c r="Q186">
        <v>-2.17</v>
      </c>
      <c r="R186">
        <f t="shared" si="12"/>
        <v>1.4999999999999999E-2</v>
      </c>
      <c r="S186" t="e">
        <f t="shared" si="10"/>
        <v>#N/A</v>
      </c>
      <c r="T186">
        <f t="shared" si="13"/>
        <v>3.7879999999999997E-2</v>
      </c>
    </row>
    <row r="187" spans="16:20" x14ac:dyDescent="0.3">
      <c r="P187">
        <f t="shared" si="11"/>
        <v>1.8399999999999999</v>
      </c>
      <c r="Q187">
        <v>-2.16</v>
      </c>
      <c r="R187">
        <f t="shared" si="12"/>
        <v>1.5389999999999999E-2</v>
      </c>
      <c r="S187" t="e">
        <f t="shared" si="10"/>
        <v>#N/A</v>
      </c>
      <c r="T187">
        <f t="shared" si="13"/>
        <v>3.8710000000000001E-2</v>
      </c>
    </row>
    <row r="188" spans="16:20" x14ac:dyDescent="0.3">
      <c r="P188">
        <f t="shared" si="11"/>
        <v>1.85</v>
      </c>
      <c r="Q188">
        <v>-2.15</v>
      </c>
      <c r="R188">
        <f t="shared" si="12"/>
        <v>1.5779999999999999E-2</v>
      </c>
      <c r="S188" t="e">
        <f t="shared" si="10"/>
        <v>#N/A</v>
      </c>
      <c r="T188">
        <f t="shared" si="13"/>
        <v>3.9550000000000002E-2</v>
      </c>
    </row>
    <row r="189" spans="16:20" x14ac:dyDescent="0.3">
      <c r="P189">
        <f t="shared" si="11"/>
        <v>1.8599999999999999</v>
      </c>
      <c r="Q189">
        <v>-2.14</v>
      </c>
      <c r="R189">
        <f t="shared" si="12"/>
        <v>1.618E-2</v>
      </c>
      <c r="S189" t="e">
        <f t="shared" si="10"/>
        <v>#N/A</v>
      </c>
      <c r="T189">
        <f t="shared" si="13"/>
        <v>4.0410000000000001E-2</v>
      </c>
    </row>
    <row r="190" spans="16:20" x14ac:dyDescent="0.3">
      <c r="P190">
        <f t="shared" si="11"/>
        <v>1.87</v>
      </c>
      <c r="Q190">
        <v>-2.13</v>
      </c>
      <c r="R190">
        <f t="shared" si="12"/>
        <v>1.6590000000000001E-2</v>
      </c>
      <c r="S190" t="e">
        <f t="shared" si="10"/>
        <v>#N/A</v>
      </c>
      <c r="T190">
        <f t="shared" si="13"/>
        <v>4.1279999999999997E-2</v>
      </c>
    </row>
    <row r="191" spans="16:20" x14ac:dyDescent="0.3">
      <c r="P191">
        <f t="shared" si="11"/>
        <v>1.88</v>
      </c>
      <c r="Q191">
        <v>-2.12</v>
      </c>
      <c r="R191">
        <f t="shared" si="12"/>
        <v>1.7000000000000001E-2</v>
      </c>
      <c r="S191" t="e">
        <f t="shared" si="10"/>
        <v>#N/A</v>
      </c>
      <c r="T191">
        <f t="shared" si="13"/>
        <v>4.2169999999999999E-2</v>
      </c>
    </row>
    <row r="192" spans="16:20" x14ac:dyDescent="0.3">
      <c r="P192">
        <f t="shared" si="11"/>
        <v>1.8900000000000001</v>
      </c>
      <c r="Q192">
        <v>-2.11</v>
      </c>
      <c r="R192">
        <f t="shared" si="12"/>
        <v>1.7430000000000001E-2</v>
      </c>
      <c r="S192" t="e">
        <f t="shared" si="10"/>
        <v>#N/A</v>
      </c>
      <c r="T192">
        <f t="shared" si="13"/>
        <v>4.3069999999999997E-2</v>
      </c>
    </row>
    <row r="193" spans="16:20" x14ac:dyDescent="0.3">
      <c r="P193">
        <f t="shared" si="11"/>
        <v>1.9</v>
      </c>
      <c r="Q193">
        <v>-2.1</v>
      </c>
      <c r="R193">
        <f t="shared" si="12"/>
        <v>1.7860000000000001E-2</v>
      </c>
      <c r="S193" t="e">
        <f t="shared" si="10"/>
        <v>#N/A</v>
      </c>
      <c r="T193">
        <f t="shared" si="13"/>
        <v>4.3979999999999998E-2</v>
      </c>
    </row>
    <row r="194" spans="16:20" x14ac:dyDescent="0.3">
      <c r="P194">
        <f t="shared" si="11"/>
        <v>1.9100000000000001</v>
      </c>
      <c r="Q194">
        <v>-2.09</v>
      </c>
      <c r="R194">
        <f t="shared" si="12"/>
        <v>1.831E-2</v>
      </c>
      <c r="S194" t="e">
        <f t="shared" si="10"/>
        <v>#N/A</v>
      </c>
      <c r="T194">
        <f t="shared" si="13"/>
        <v>4.4909999999999999E-2</v>
      </c>
    </row>
    <row r="195" spans="16:20" x14ac:dyDescent="0.3">
      <c r="P195">
        <f t="shared" si="11"/>
        <v>1.92</v>
      </c>
      <c r="Q195">
        <v>-2.08</v>
      </c>
      <c r="R195">
        <f t="shared" si="12"/>
        <v>1.8759999999999999E-2</v>
      </c>
      <c r="S195" t="e">
        <f t="shared" ref="S195:S258" si="14">VLOOKUP(R195,$W$3:$W$42,1,0)</f>
        <v>#N/A</v>
      </c>
      <c r="T195">
        <f t="shared" si="13"/>
        <v>4.5859999999999998E-2</v>
      </c>
    </row>
    <row r="196" spans="16:20" x14ac:dyDescent="0.3">
      <c r="P196">
        <f t="shared" ref="P196:P259" si="15">4+(Q196)</f>
        <v>1.9300000000000002</v>
      </c>
      <c r="Q196">
        <v>-2.0699999999999998</v>
      </c>
      <c r="R196">
        <f t="shared" ref="R196:R259" si="16">ROUND(_xlfn.NORM.S.DIST(Q196,1),5)</f>
        <v>1.9230000000000001E-2</v>
      </c>
      <c r="S196" t="e">
        <f t="shared" si="14"/>
        <v>#N/A</v>
      </c>
      <c r="T196">
        <f t="shared" ref="T196:T259" si="17">ROUND(_xlfn.NORM.S.DIST(Q196,0),5)</f>
        <v>4.6820000000000001E-2</v>
      </c>
    </row>
    <row r="197" spans="16:20" x14ac:dyDescent="0.3">
      <c r="P197">
        <f t="shared" si="15"/>
        <v>1.94</v>
      </c>
      <c r="Q197">
        <v>-2.06</v>
      </c>
      <c r="R197">
        <f t="shared" si="16"/>
        <v>1.9699999999999999E-2</v>
      </c>
      <c r="S197" t="e">
        <f t="shared" si="14"/>
        <v>#N/A</v>
      </c>
      <c r="T197">
        <f t="shared" si="17"/>
        <v>4.7800000000000002E-2</v>
      </c>
    </row>
    <row r="198" spans="16:20" x14ac:dyDescent="0.3">
      <c r="P198">
        <f t="shared" si="15"/>
        <v>1.9500000000000002</v>
      </c>
      <c r="Q198">
        <v>-2.0499999999999998</v>
      </c>
      <c r="R198">
        <f t="shared" si="16"/>
        <v>2.018E-2</v>
      </c>
      <c r="S198" t="e">
        <f t="shared" si="14"/>
        <v>#N/A</v>
      </c>
      <c r="T198">
        <f t="shared" si="17"/>
        <v>4.879E-2</v>
      </c>
    </row>
    <row r="199" spans="16:20" x14ac:dyDescent="0.3">
      <c r="P199">
        <f t="shared" si="15"/>
        <v>1.96</v>
      </c>
      <c r="Q199">
        <v>-2.04</v>
      </c>
      <c r="R199">
        <f t="shared" si="16"/>
        <v>2.068E-2</v>
      </c>
      <c r="S199" t="e">
        <f t="shared" si="14"/>
        <v>#N/A</v>
      </c>
      <c r="T199">
        <f t="shared" si="17"/>
        <v>4.9799999999999997E-2</v>
      </c>
    </row>
    <row r="200" spans="16:20" x14ac:dyDescent="0.3">
      <c r="P200">
        <f t="shared" si="15"/>
        <v>1.9700000000000002</v>
      </c>
      <c r="Q200">
        <v>-2.0299999999999998</v>
      </c>
      <c r="R200">
        <f t="shared" si="16"/>
        <v>2.1180000000000001E-2</v>
      </c>
      <c r="S200" t="e">
        <f t="shared" si="14"/>
        <v>#N/A</v>
      </c>
      <c r="T200">
        <f t="shared" si="17"/>
        <v>5.0819999999999997E-2</v>
      </c>
    </row>
    <row r="201" spans="16:20" x14ac:dyDescent="0.3">
      <c r="P201">
        <f t="shared" si="15"/>
        <v>1.98</v>
      </c>
      <c r="Q201">
        <v>-2.02</v>
      </c>
      <c r="R201">
        <f t="shared" si="16"/>
        <v>2.1690000000000001E-2</v>
      </c>
      <c r="S201" t="e">
        <f t="shared" si="14"/>
        <v>#N/A</v>
      </c>
      <c r="T201">
        <f t="shared" si="17"/>
        <v>5.1860000000000003E-2</v>
      </c>
    </row>
    <row r="202" spans="16:20" x14ac:dyDescent="0.3">
      <c r="P202">
        <f t="shared" si="15"/>
        <v>1.9900000000000002</v>
      </c>
      <c r="Q202">
        <v>-2.0099999999999998</v>
      </c>
      <c r="R202">
        <f t="shared" si="16"/>
        <v>2.222E-2</v>
      </c>
      <c r="S202" t="e">
        <f t="shared" si="14"/>
        <v>#N/A</v>
      </c>
      <c r="T202">
        <f t="shared" si="17"/>
        <v>5.2920000000000002E-2</v>
      </c>
    </row>
    <row r="203" spans="16:20" x14ac:dyDescent="0.3">
      <c r="P203">
        <f t="shared" si="15"/>
        <v>2</v>
      </c>
      <c r="Q203">
        <v>-2</v>
      </c>
      <c r="R203">
        <f t="shared" si="16"/>
        <v>2.2749999999999999E-2</v>
      </c>
      <c r="S203" t="e">
        <f t="shared" si="14"/>
        <v>#N/A</v>
      </c>
      <c r="T203">
        <f t="shared" si="17"/>
        <v>5.3990000000000003E-2</v>
      </c>
    </row>
    <row r="204" spans="16:20" x14ac:dyDescent="0.3">
      <c r="P204">
        <f t="shared" si="15"/>
        <v>2.0099999999999998</v>
      </c>
      <c r="Q204">
        <v>-1.99</v>
      </c>
      <c r="R204">
        <f t="shared" si="16"/>
        <v>2.3300000000000001E-2</v>
      </c>
      <c r="S204" t="e">
        <f t="shared" si="14"/>
        <v>#N/A</v>
      </c>
      <c r="T204">
        <f t="shared" si="17"/>
        <v>5.5079999999999997E-2</v>
      </c>
    </row>
    <row r="205" spans="16:20" x14ac:dyDescent="0.3">
      <c r="P205">
        <f t="shared" si="15"/>
        <v>2.02</v>
      </c>
      <c r="Q205">
        <v>-1.98</v>
      </c>
      <c r="R205">
        <f t="shared" si="16"/>
        <v>2.385E-2</v>
      </c>
      <c r="S205" t="e">
        <f t="shared" si="14"/>
        <v>#N/A</v>
      </c>
      <c r="T205">
        <f t="shared" si="17"/>
        <v>5.6180000000000001E-2</v>
      </c>
    </row>
    <row r="206" spans="16:20" x14ac:dyDescent="0.3">
      <c r="P206">
        <f t="shared" si="15"/>
        <v>2.0300000000000002</v>
      </c>
      <c r="Q206">
        <v>-1.97</v>
      </c>
      <c r="R206">
        <f t="shared" si="16"/>
        <v>2.4420000000000001E-2</v>
      </c>
      <c r="S206" t="e">
        <f t="shared" si="14"/>
        <v>#N/A</v>
      </c>
      <c r="T206">
        <f t="shared" si="17"/>
        <v>5.7299999999999997E-2</v>
      </c>
    </row>
    <row r="207" spans="16:20" x14ac:dyDescent="0.3">
      <c r="P207">
        <f t="shared" si="15"/>
        <v>2.04</v>
      </c>
      <c r="Q207">
        <v>-1.96</v>
      </c>
      <c r="R207">
        <f t="shared" si="16"/>
        <v>2.5000000000000001E-2</v>
      </c>
      <c r="S207">
        <f t="shared" si="14"/>
        <v>2.5000000000000001E-2</v>
      </c>
      <c r="T207">
        <f t="shared" si="17"/>
        <v>5.8439999999999999E-2</v>
      </c>
    </row>
    <row r="208" spans="16:20" x14ac:dyDescent="0.3">
      <c r="P208">
        <f t="shared" si="15"/>
        <v>2.0499999999999998</v>
      </c>
      <c r="Q208">
        <v>-1.95</v>
      </c>
      <c r="R208">
        <f t="shared" si="16"/>
        <v>2.5590000000000002E-2</v>
      </c>
      <c r="S208" t="e">
        <f t="shared" si="14"/>
        <v>#N/A</v>
      </c>
      <c r="T208">
        <f t="shared" si="17"/>
        <v>5.9589999999999997E-2</v>
      </c>
    </row>
    <row r="209" spans="16:20" x14ac:dyDescent="0.3">
      <c r="P209">
        <f t="shared" si="15"/>
        <v>2.06</v>
      </c>
      <c r="Q209">
        <v>-1.94</v>
      </c>
      <c r="R209">
        <f t="shared" si="16"/>
        <v>2.6190000000000001E-2</v>
      </c>
      <c r="S209" t="e">
        <f t="shared" si="14"/>
        <v>#N/A</v>
      </c>
      <c r="T209">
        <f t="shared" si="17"/>
        <v>6.0769999999999998E-2</v>
      </c>
    </row>
    <row r="210" spans="16:20" x14ac:dyDescent="0.3">
      <c r="P210">
        <f t="shared" si="15"/>
        <v>2.0700000000000003</v>
      </c>
      <c r="Q210">
        <v>-1.93</v>
      </c>
      <c r="R210">
        <f t="shared" si="16"/>
        <v>2.6800000000000001E-2</v>
      </c>
      <c r="S210" t="e">
        <f t="shared" si="14"/>
        <v>#N/A</v>
      </c>
      <c r="T210">
        <f t="shared" si="17"/>
        <v>6.1949999999999998E-2</v>
      </c>
    </row>
    <row r="211" spans="16:20" x14ac:dyDescent="0.3">
      <c r="P211">
        <f t="shared" si="15"/>
        <v>2.08</v>
      </c>
      <c r="Q211">
        <v>-1.92</v>
      </c>
      <c r="R211">
        <f t="shared" si="16"/>
        <v>2.743E-2</v>
      </c>
      <c r="S211" t="e">
        <f t="shared" si="14"/>
        <v>#N/A</v>
      </c>
      <c r="T211">
        <f t="shared" si="17"/>
        <v>6.3159999999999994E-2</v>
      </c>
    </row>
    <row r="212" spans="16:20" x14ac:dyDescent="0.3">
      <c r="P212">
        <f t="shared" si="15"/>
        <v>2.09</v>
      </c>
      <c r="Q212">
        <v>-1.91</v>
      </c>
      <c r="R212">
        <f t="shared" si="16"/>
        <v>2.8070000000000001E-2</v>
      </c>
      <c r="S212" t="e">
        <f t="shared" si="14"/>
        <v>#N/A</v>
      </c>
      <c r="T212">
        <f t="shared" si="17"/>
        <v>6.4380000000000007E-2</v>
      </c>
    </row>
    <row r="213" spans="16:20" x14ac:dyDescent="0.3">
      <c r="P213">
        <f t="shared" si="15"/>
        <v>2.1</v>
      </c>
      <c r="Q213">
        <v>-1.9</v>
      </c>
      <c r="R213">
        <f t="shared" si="16"/>
        <v>2.8719999999999999E-2</v>
      </c>
      <c r="S213" t="e">
        <f t="shared" si="14"/>
        <v>#N/A</v>
      </c>
      <c r="T213">
        <f t="shared" si="17"/>
        <v>6.5619999999999998E-2</v>
      </c>
    </row>
    <row r="214" spans="16:20" x14ac:dyDescent="0.3">
      <c r="P214">
        <f t="shared" si="15"/>
        <v>2.1100000000000003</v>
      </c>
      <c r="Q214">
        <v>-1.89</v>
      </c>
      <c r="R214">
        <f t="shared" si="16"/>
        <v>2.938E-2</v>
      </c>
      <c r="S214" t="e">
        <f t="shared" si="14"/>
        <v>#N/A</v>
      </c>
      <c r="T214">
        <f t="shared" si="17"/>
        <v>6.6869999999999999E-2</v>
      </c>
    </row>
    <row r="215" spans="16:20" x14ac:dyDescent="0.3">
      <c r="P215">
        <f t="shared" si="15"/>
        <v>2.12</v>
      </c>
      <c r="Q215">
        <v>-1.88</v>
      </c>
      <c r="R215">
        <f t="shared" si="16"/>
        <v>3.005E-2</v>
      </c>
      <c r="S215" t="e">
        <f t="shared" si="14"/>
        <v>#N/A</v>
      </c>
      <c r="T215">
        <f t="shared" si="17"/>
        <v>6.8140000000000006E-2</v>
      </c>
    </row>
    <row r="216" spans="16:20" x14ac:dyDescent="0.3">
      <c r="P216">
        <f t="shared" si="15"/>
        <v>2.13</v>
      </c>
      <c r="Q216">
        <v>-1.87</v>
      </c>
      <c r="R216">
        <f t="shared" si="16"/>
        <v>3.074E-2</v>
      </c>
      <c r="S216" t="e">
        <f t="shared" si="14"/>
        <v>#N/A</v>
      </c>
      <c r="T216">
        <f t="shared" si="17"/>
        <v>6.9430000000000006E-2</v>
      </c>
    </row>
    <row r="217" spans="16:20" x14ac:dyDescent="0.3">
      <c r="P217">
        <f t="shared" si="15"/>
        <v>2.1399999999999997</v>
      </c>
      <c r="Q217">
        <v>-1.86</v>
      </c>
      <c r="R217">
        <f t="shared" si="16"/>
        <v>3.1440000000000003E-2</v>
      </c>
      <c r="S217" t="e">
        <f t="shared" si="14"/>
        <v>#N/A</v>
      </c>
      <c r="T217">
        <f t="shared" si="17"/>
        <v>7.0739999999999997E-2</v>
      </c>
    </row>
    <row r="218" spans="16:20" x14ac:dyDescent="0.3">
      <c r="P218">
        <f t="shared" si="15"/>
        <v>2.15</v>
      </c>
      <c r="Q218">
        <v>-1.85</v>
      </c>
      <c r="R218">
        <f t="shared" si="16"/>
        <v>3.2160000000000001E-2</v>
      </c>
      <c r="S218" t="e">
        <f t="shared" si="14"/>
        <v>#N/A</v>
      </c>
      <c r="T218">
        <f t="shared" si="17"/>
        <v>7.2059999999999999E-2</v>
      </c>
    </row>
    <row r="219" spans="16:20" x14ac:dyDescent="0.3">
      <c r="P219">
        <f t="shared" si="15"/>
        <v>2.16</v>
      </c>
      <c r="Q219">
        <v>-1.84</v>
      </c>
      <c r="R219">
        <f t="shared" si="16"/>
        <v>3.288E-2</v>
      </c>
      <c r="S219" t="e">
        <f t="shared" si="14"/>
        <v>#N/A</v>
      </c>
      <c r="T219">
        <f t="shared" si="17"/>
        <v>7.3410000000000003E-2</v>
      </c>
    </row>
    <row r="220" spans="16:20" x14ac:dyDescent="0.3">
      <c r="P220">
        <f t="shared" si="15"/>
        <v>2.17</v>
      </c>
      <c r="Q220">
        <v>-1.83</v>
      </c>
      <c r="R220">
        <f t="shared" si="16"/>
        <v>3.3619999999999997E-2</v>
      </c>
      <c r="S220" t="e">
        <f t="shared" si="14"/>
        <v>#N/A</v>
      </c>
      <c r="T220">
        <f t="shared" si="17"/>
        <v>7.4770000000000003E-2</v>
      </c>
    </row>
    <row r="221" spans="16:20" x14ac:dyDescent="0.3">
      <c r="P221">
        <f t="shared" si="15"/>
        <v>2.1799999999999997</v>
      </c>
      <c r="Q221">
        <v>-1.82</v>
      </c>
      <c r="R221">
        <f t="shared" si="16"/>
        <v>3.4380000000000001E-2</v>
      </c>
      <c r="S221" t="e">
        <f t="shared" si="14"/>
        <v>#N/A</v>
      </c>
      <c r="T221">
        <f t="shared" si="17"/>
        <v>7.6139999999999999E-2</v>
      </c>
    </row>
    <row r="222" spans="16:20" x14ac:dyDescent="0.3">
      <c r="P222">
        <f t="shared" si="15"/>
        <v>2.19</v>
      </c>
      <c r="Q222">
        <v>-1.81</v>
      </c>
      <c r="R222">
        <f t="shared" si="16"/>
        <v>3.5150000000000001E-2</v>
      </c>
      <c r="S222" t="e">
        <f t="shared" si="14"/>
        <v>#N/A</v>
      </c>
      <c r="T222">
        <f t="shared" si="17"/>
        <v>7.7539999999999998E-2</v>
      </c>
    </row>
    <row r="223" spans="16:20" x14ac:dyDescent="0.3">
      <c r="P223">
        <f t="shared" si="15"/>
        <v>2.2000000000000002</v>
      </c>
      <c r="Q223">
        <v>-1.8</v>
      </c>
      <c r="R223">
        <f t="shared" si="16"/>
        <v>3.5929999999999997E-2</v>
      </c>
      <c r="S223" t="e">
        <f t="shared" si="14"/>
        <v>#N/A</v>
      </c>
      <c r="T223">
        <f t="shared" si="17"/>
        <v>7.8950000000000006E-2</v>
      </c>
    </row>
    <row r="224" spans="16:20" x14ac:dyDescent="0.3">
      <c r="P224">
        <f t="shared" si="15"/>
        <v>2.21</v>
      </c>
      <c r="Q224">
        <v>-1.79</v>
      </c>
      <c r="R224">
        <f t="shared" si="16"/>
        <v>3.6729999999999999E-2</v>
      </c>
      <c r="S224" t="e">
        <f t="shared" si="14"/>
        <v>#N/A</v>
      </c>
      <c r="T224">
        <f t="shared" si="17"/>
        <v>8.0379999999999993E-2</v>
      </c>
    </row>
    <row r="225" spans="16:20" x14ac:dyDescent="0.3">
      <c r="P225">
        <f t="shared" si="15"/>
        <v>2.2199999999999998</v>
      </c>
      <c r="Q225">
        <v>-1.78</v>
      </c>
      <c r="R225">
        <f t="shared" si="16"/>
        <v>3.7539999999999997E-2</v>
      </c>
      <c r="S225" t="e">
        <f t="shared" si="14"/>
        <v>#N/A</v>
      </c>
      <c r="T225">
        <f t="shared" si="17"/>
        <v>8.183E-2</v>
      </c>
    </row>
    <row r="226" spans="16:20" x14ac:dyDescent="0.3">
      <c r="P226">
        <f t="shared" si="15"/>
        <v>2.23</v>
      </c>
      <c r="Q226">
        <v>-1.77</v>
      </c>
      <c r="R226">
        <f t="shared" si="16"/>
        <v>3.8359999999999998E-2</v>
      </c>
      <c r="S226" t="e">
        <f t="shared" si="14"/>
        <v>#N/A</v>
      </c>
      <c r="T226">
        <f t="shared" si="17"/>
        <v>8.3290000000000003E-2</v>
      </c>
    </row>
    <row r="227" spans="16:20" x14ac:dyDescent="0.3">
      <c r="P227">
        <f t="shared" si="15"/>
        <v>2.2400000000000002</v>
      </c>
      <c r="Q227">
        <v>-1.76</v>
      </c>
      <c r="R227">
        <f t="shared" si="16"/>
        <v>3.9199999999999999E-2</v>
      </c>
      <c r="S227" t="e">
        <f t="shared" si="14"/>
        <v>#N/A</v>
      </c>
      <c r="T227">
        <f t="shared" si="17"/>
        <v>8.4779999999999994E-2</v>
      </c>
    </row>
    <row r="228" spans="16:20" x14ac:dyDescent="0.3">
      <c r="P228">
        <f t="shared" si="15"/>
        <v>2.25</v>
      </c>
      <c r="Q228">
        <v>-1.75</v>
      </c>
      <c r="R228">
        <f t="shared" si="16"/>
        <v>4.0059999999999998E-2</v>
      </c>
      <c r="S228" t="e">
        <f t="shared" si="14"/>
        <v>#N/A</v>
      </c>
      <c r="T228">
        <f t="shared" si="17"/>
        <v>8.6279999999999996E-2</v>
      </c>
    </row>
    <row r="229" spans="16:20" x14ac:dyDescent="0.3">
      <c r="P229">
        <f t="shared" si="15"/>
        <v>2.2599999999999998</v>
      </c>
      <c r="Q229">
        <v>-1.74</v>
      </c>
      <c r="R229">
        <f t="shared" si="16"/>
        <v>4.0930000000000001E-2</v>
      </c>
      <c r="S229" t="e">
        <f t="shared" si="14"/>
        <v>#N/A</v>
      </c>
      <c r="T229">
        <f t="shared" si="17"/>
        <v>8.7800000000000003E-2</v>
      </c>
    </row>
    <row r="230" spans="16:20" x14ac:dyDescent="0.3">
      <c r="P230">
        <f t="shared" si="15"/>
        <v>2.27</v>
      </c>
      <c r="Q230">
        <v>-1.73</v>
      </c>
      <c r="R230">
        <f t="shared" si="16"/>
        <v>4.1820000000000003E-2</v>
      </c>
      <c r="S230" t="e">
        <f t="shared" si="14"/>
        <v>#N/A</v>
      </c>
      <c r="T230">
        <f t="shared" si="17"/>
        <v>8.9330000000000007E-2</v>
      </c>
    </row>
    <row r="231" spans="16:20" x14ac:dyDescent="0.3">
      <c r="P231">
        <f t="shared" si="15"/>
        <v>2.2800000000000002</v>
      </c>
      <c r="Q231">
        <v>-1.72</v>
      </c>
      <c r="R231">
        <f t="shared" si="16"/>
        <v>4.2720000000000001E-2</v>
      </c>
      <c r="S231" t="e">
        <f t="shared" si="14"/>
        <v>#N/A</v>
      </c>
      <c r="T231">
        <f t="shared" si="17"/>
        <v>9.0889999999999999E-2</v>
      </c>
    </row>
    <row r="232" spans="16:20" x14ac:dyDescent="0.3">
      <c r="P232">
        <f t="shared" si="15"/>
        <v>2.29</v>
      </c>
      <c r="Q232">
        <v>-1.71</v>
      </c>
      <c r="R232">
        <f t="shared" si="16"/>
        <v>4.3630000000000002E-2</v>
      </c>
      <c r="S232" t="e">
        <f t="shared" si="14"/>
        <v>#N/A</v>
      </c>
      <c r="T232">
        <f t="shared" si="17"/>
        <v>9.2460000000000001E-2</v>
      </c>
    </row>
    <row r="233" spans="16:20" x14ac:dyDescent="0.3">
      <c r="P233">
        <f t="shared" si="15"/>
        <v>2.2999999999999998</v>
      </c>
      <c r="Q233">
        <v>-1.7</v>
      </c>
      <c r="R233">
        <f t="shared" si="16"/>
        <v>4.4569999999999999E-2</v>
      </c>
      <c r="S233" t="e">
        <f t="shared" si="14"/>
        <v>#N/A</v>
      </c>
      <c r="T233">
        <f t="shared" si="17"/>
        <v>9.4049999999999995E-2</v>
      </c>
    </row>
    <row r="234" spans="16:20" x14ac:dyDescent="0.3">
      <c r="P234">
        <f t="shared" si="15"/>
        <v>2.31</v>
      </c>
      <c r="Q234">
        <v>-1.69</v>
      </c>
      <c r="R234">
        <f t="shared" si="16"/>
        <v>4.5510000000000002E-2</v>
      </c>
      <c r="S234" t="e">
        <f t="shared" si="14"/>
        <v>#N/A</v>
      </c>
      <c r="T234">
        <f t="shared" si="17"/>
        <v>9.5659999999999995E-2</v>
      </c>
    </row>
    <row r="235" spans="16:20" x14ac:dyDescent="0.3">
      <c r="P235">
        <f t="shared" si="15"/>
        <v>2.3200000000000003</v>
      </c>
      <c r="Q235">
        <v>-1.68</v>
      </c>
      <c r="R235">
        <f t="shared" si="16"/>
        <v>4.648E-2</v>
      </c>
      <c r="S235" t="e">
        <f t="shared" si="14"/>
        <v>#N/A</v>
      </c>
      <c r="T235">
        <f t="shared" si="17"/>
        <v>9.7280000000000005E-2</v>
      </c>
    </row>
    <row r="236" spans="16:20" x14ac:dyDescent="0.3">
      <c r="P236">
        <f t="shared" si="15"/>
        <v>2.33</v>
      </c>
      <c r="Q236">
        <v>-1.67</v>
      </c>
      <c r="R236">
        <f t="shared" si="16"/>
        <v>4.7460000000000002E-2</v>
      </c>
      <c r="S236" t="e">
        <f t="shared" si="14"/>
        <v>#N/A</v>
      </c>
      <c r="T236">
        <f t="shared" si="17"/>
        <v>9.8930000000000004E-2</v>
      </c>
    </row>
    <row r="237" spans="16:20" x14ac:dyDescent="0.3">
      <c r="P237">
        <f t="shared" si="15"/>
        <v>2.34</v>
      </c>
      <c r="Q237">
        <v>-1.66</v>
      </c>
      <c r="R237">
        <f t="shared" si="16"/>
        <v>4.8460000000000003E-2</v>
      </c>
      <c r="S237" t="e">
        <f t="shared" si="14"/>
        <v>#N/A</v>
      </c>
      <c r="T237">
        <f t="shared" si="17"/>
        <v>0.10059</v>
      </c>
    </row>
    <row r="238" spans="16:20" x14ac:dyDescent="0.3">
      <c r="P238">
        <f t="shared" si="15"/>
        <v>2.35</v>
      </c>
      <c r="Q238">
        <v>-1.65</v>
      </c>
      <c r="R238">
        <f t="shared" si="16"/>
        <v>4.947E-2</v>
      </c>
      <c r="S238">
        <f t="shared" si="14"/>
        <v>4.947E-2</v>
      </c>
      <c r="T238">
        <f t="shared" si="17"/>
        <v>0.10226</v>
      </c>
    </row>
    <row r="239" spans="16:20" x14ac:dyDescent="0.3">
      <c r="P239">
        <f t="shared" si="15"/>
        <v>2.3600000000000003</v>
      </c>
      <c r="Q239">
        <v>-1.64</v>
      </c>
      <c r="R239">
        <f t="shared" si="16"/>
        <v>5.0500000000000003E-2</v>
      </c>
      <c r="S239" t="e">
        <f t="shared" si="14"/>
        <v>#N/A</v>
      </c>
      <c r="T239">
        <f t="shared" si="17"/>
        <v>0.10396</v>
      </c>
    </row>
    <row r="240" spans="16:20" x14ac:dyDescent="0.3">
      <c r="P240">
        <f t="shared" si="15"/>
        <v>2.37</v>
      </c>
      <c r="Q240">
        <v>-1.63</v>
      </c>
      <c r="R240">
        <f t="shared" si="16"/>
        <v>5.1549999999999999E-2</v>
      </c>
      <c r="S240" t="e">
        <f t="shared" si="14"/>
        <v>#N/A</v>
      </c>
      <c r="T240">
        <f t="shared" si="17"/>
        <v>0.10567</v>
      </c>
    </row>
    <row r="241" spans="16:20" x14ac:dyDescent="0.3">
      <c r="P241">
        <f t="shared" si="15"/>
        <v>2.38</v>
      </c>
      <c r="Q241">
        <v>-1.62</v>
      </c>
      <c r="R241">
        <f t="shared" si="16"/>
        <v>5.262E-2</v>
      </c>
      <c r="S241" t="e">
        <f t="shared" si="14"/>
        <v>#N/A</v>
      </c>
      <c r="T241">
        <f t="shared" si="17"/>
        <v>0.10741000000000001</v>
      </c>
    </row>
    <row r="242" spans="16:20" x14ac:dyDescent="0.3">
      <c r="P242">
        <f t="shared" si="15"/>
        <v>2.3899999999999997</v>
      </c>
      <c r="Q242">
        <v>-1.61</v>
      </c>
      <c r="R242">
        <f t="shared" si="16"/>
        <v>5.3699999999999998E-2</v>
      </c>
      <c r="S242" t="e">
        <f t="shared" si="14"/>
        <v>#N/A</v>
      </c>
      <c r="T242">
        <f t="shared" si="17"/>
        <v>0.10915</v>
      </c>
    </row>
    <row r="243" spans="16:20" x14ac:dyDescent="0.3">
      <c r="P243">
        <f t="shared" si="15"/>
        <v>2.4</v>
      </c>
      <c r="Q243">
        <v>-1.6</v>
      </c>
      <c r="R243">
        <f t="shared" si="16"/>
        <v>5.4800000000000001E-2</v>
      </c>
      <c r="S243" t="e">
        <f t="shared" si="14"/>
        <v>#N/A</v>
      </c>
      <c r="T243">
        <f t="shared" si="17"/>
        <v>0.11092</v>
      </c>
    </row>
    <row r="244" spans="16:20" x14ac:dyDescent="0.3">
      <c r="P244">
        <f t="shared" si="15"/>
        <v>2.41</v>
      </c>
      <c r="Q244">
        <v>-1.59</v>
      </c>
      <c r="R244">
        <f t="shared" si="16"/>
        <v>5.5919999999999997E-2</v>
      </c>
      <c r="S244" t="e">
        <f t="shared" si="14"/>
        <v>#N/A</v>
      </c>
      <c r="T244">
        <f t="shared" si="17"/>
        <v>0.11269999999999999</v>
      </c>
    </row>
    <row r="245" spans="16:20" x14ac:dyDescent="0.3">
      <c r="P245">
        <f t="shared" si="15"/>
        <v>2.42</v>
      </c>
      <c r="Q245">
        <v>-1.58</v>
      </c>
      <c r="R245">
        <f t="shared" si="16"/>
        <v>5.7049999999999997E-2</v>
      </c>
      <c r="S245" t="e">
        <f t="shared" si="14"/>
        <v>#N/A</v>
      </c>
      <c r="T245">
        <f t="shared" si="17"/>
        <v>0.1145</v>
      </c>
    </row>
    <row r="246" spans="16:20" x14ac:dyDescent="0.3">
      <c r="P246">
        <f t="shared" si="15"/>
        <v>2.4299999999999997</v>
      </c>
      <c r="Q246">
        <v>-1.57</v>
      </c>
      <c r="R246">
        <f t="shared" si="16"/>
        <v>5.8209999999999998E-2</v>
      </c>
      <c r="S246" t="e">
        <f t="shared" si="14"/>
        <v>#N/A</v>
      </c>
      <c r="T246">
        <f t="shared" si="17"/>
        <v>0.11632000000000001</v>
      </c>
    </row>
    <row r="247" spans="16:20" x14ac:dyDescent="0.3">
      <c r="P247">
        <f t="shared" si="15"/>
        <v>2.44</v>
      </c>
      <c r="Q247">
        <v>-1.56</v>
      </c>
      <c r="R247">
        <f t="shared" si="16"/>
        <v>5.9380000000000002E-2</v>
      </c>
      <c r="S247" t="e">
        <f t="shared" si="14"/>
        <v>#N/A</v>
      </c>
      <c r="T247">
        <f t="shared" si="17"/>
        <v>0.11816</v>
      </c>
    </row>
    <row r="248" spans="16:20" x14ac:dyDescent="0.3">
      <c r="P248">
        <f t="shared" si="15"/>
        <v>2.4500000000000002</v>
      </c>
      <c r="Q248">
        <v>-1.55</v>
      </c>
      <c r="R248">
        <f t="shared" si="16"/>
        <v>6.0569999999999999E-2</v>
      </c>
      <c r="S248" t="e">
        <f t="shared" si="14"/>
        <v>#N/A</v>
      </c>
      <c r="T248">
        <f t="shared" si="17"/>
        <v>0.12001000000000001</v>
      </c>
    </row>
    <row r="249" spans="16:20" x14ac:dyDescent="0.3">
      <c r="P249">
        <f t="shared" si="15"/>
        <v>2.46</v>
      </c>
      <c r="Q249">
        <v>-1.54</v>
      </c>
      <c r="R249">
        <f t="shared" si="16"/>
        <v>6.1780000000000002E-2</v>
      </c>
      <c r="S249" t="e">
        <f t="shared" si="14"/>
        <v>#N/A</v>
      </c>
      <c r="T249">
        <f t="shared" si="17"/>
        <v>0.12188</v>
      </c>
    </row>
    <row r="250" spans="16:20" x14ac:dyDescent="0.3">
      <c r="P250">
        <f t="shared" si="15"/>
        <v>2.4699999999999998</v>
      </c>
      <c r="Q250">
        <v>-1.53</v>
      </c>
      <c r="R250">
        <f t="shared" si="16"/>
        <v>6.3009999999999997E-2</v>
      </c>
      <c r="S250" t="e">
        <f t="shared" si="14"/>
        <v>#N/A</v>
      </c>
      <c r="T250">
        <f t="shared" si="17"/>
        <v>0.12376</v>
      </c>
    </row>
    <row r="251" spans="16:20" x14ac:dyDescent="0.3">
      <c r="P251">
        <f t="shared" si="15"/>
        <v>2.48</v>
      </c>
      <c r="Q251">
        <v>-1.52</v>
      </c>
      <c r="R251">
        <f t="shared" si="16"/>
        <v>6.4259999999999998E-2</v>
      </c>
      <c r="S251" t="e">
        <f t="shared" si="14"/>
        <v>#N/A</v>
      </c>
      <c r="T251">
        <f t="shared" si="17"/>
        <v>0.12565999999999999</v>
      </c>
    </row>
    <row r="252" spans="16:20" x14ac:dyDescent="0.3">
      <c r="P252">
        <f t="shared" si="15"/>
        <v>2.4900000000000002</v>
      </c>
      <c r="Q252">
        <v>-1.51</v>
      </c>
      <c r="R252">
        <f t="shared" si="16"/>
        <v>6.5519999999999995E-2</v>
      </c>
      <c r="S252" t="e">
        <f t="shared" si="14"/>
        <v>#N/A</v>
      </c>
      <c r="T252">
        <f t="shared" si="17"/>
        <v>0.12758</v>
      </c>
    </row>
    <row r="253" spans="16:20" x14ac:dyDescent="0.3">
      <c r="P253">
        <f t="shared" si="15"/>
        <v>2.5</v>
      </c>
      <c r="Q253">
        <v>-1.5</v>
      </c>
      <c r="R253">
        <f t="shared" si="16"/>
        <v>6.6809999999999994E-2</v>
      </c>
      <c r="S253" t="e">
        <f t="shared" si="14"/>
        <v>#N/A</v>
      </c>
      <c r="T253">
        <f t="shared" si="17"/>
        <v>0.12952</v>
      </c>
    </row>
    <row r="254" spans="16:20" x14ac:dyDescent="0.3">
      <c r="P254">
        <f t="shared" si="15"/>
        <v>2.5099999999999998</v>
      </c>
      <c r="Q254">
        <v>-1.49</v>
      </c>
      <c r="R254">
        <f t="shared" si="16"/>
        <v>6.8110000000000004E-2</v>
      </c>
      <c r="S254" t="e">
        <f t="shared" si="14"/>
        <v>#N/A</v>
      </c>
      <c r="T254">
        <f t="shared" si="17"/>
        <v>0.13147</v>
      </c>
    </row>
    <row r="255" spans="16:20" x14ac:dyDescent="0.3">
      <c r="P255">
        <f t="shared" si="15"/>
        <v>2.52</v>
      </c>
      <c r="Q255">
        <v>-1.48</v>
      </c>
      <c r="R255">
        <f t="shared" si="16"/>
        <v>6.9440000000000002E-2</v>
      </c>
      <c r="S255" t="e">
        <f t="shared" si="14"/>
        <v>#N/A</v>
      </c>
      <c r="T255">
        <f t="shared" si="17"/>
        <v>0.13344</v>
      </c>
    </row>
    <row r="256" spans="16:20" x14ac:dyDescent="0.3">
      <c r="P256">
        <f t="shared" si="15"/>
        <v>2.5300000000000002</v>
      </c>
      <c r="Q256">
        <v>-1.47</v>
      </c>
      <c r="R256">
        <f t="shared" si="16"/>
        <v>7.0779999999999996E-2</v>
      </c>
      <c r="S256" t="e">
        <f t="shared" si="14"/>
        <v>#N/A</v>
      </c>
      <c r="T256">
        <f t="shared" si="17"/>
        <v>0.13542000000000001</v>
      </c>
    </row>
    <row r="257" spans="16:20" x14ac:dyDescent="0.3">
      <c r="P257">
        <f t="shared" si="15"/>
        <v>2.54</v>
      </c>
      <c r="Q257">
        <v>-1.46</v>
      </c>
      <c r="R257">
        <f t="shared" si="16"/>
        <v>7.2150000000000006E-2</v>
      </c>
      <c r="S257" t="e">
        <f t="shared" si="14"/>
        <v>#N/A</v>
      </c>
      <c r="T257">
        <f t="shared" si="17"/>
        <v>0.13741999999999999</v>
      </c>
    </row>
    <row r="258" spans="16:20" x14ac:dyDescent="0.3">
      <c r="P258">
        <f t="shared" si="15"/>
        <v>2.5499999999999998</v>
      </c>
      <c r="Q258">
        <v>-1.45</v>
      </c>
      <c r="R258">
        <f t="shared" si="16"/>
        <v>7.3529999999999998E-2</v>
      </c>
      <c r="S258" t="e">
        <f t="shared" si="14"/>
        <v>#N/A</v>
      </c>
      <c r="T258">
        <f t="shared" si="17"/>
        <v>0.13943</v>
      </c>
    </row>
    <row r="259" spans="16:20" x14ac:dyDescent="0.3">
      <c r="P259">
        <f t="shared" si="15"/>
        <v>2.56</v>
      </c>
      <c r="Q259">
        <v>-1.44</v>
      </c>
      <c r="R259">
        <f t="shared" si="16"/>
        <v>7.4929999999999997E-2</v>
      </c>
      <c r="S259">
        <f t="shared" ref="S259:S322" si="18">VLOOKUP(R259,$W$3:$W$42,1,0)</f>
        <v>7.4929999999999997E-2</v>
      </c>
      <c r="T259">
        <f t="shared" si="17"/>
        <v>0.14146</v>
      </c>
    </row>
    <row r="260" spans="16:20" x14ac:dyDescent="0.3">
      <c r="P260">
        <f t="shared" ref="P260:P323" si="19">4+(Q260)</f>
        <v>2.5700000000000003</v>
      </c>
      <c r="Q260">
        <v>-1.43</v>
      </c>
      <c r="R260">
        <f t="shared" ref="R260:R323" si="20">ROUND(_xlfn.NORM.S.DIST(Q260,1),5)</f>
        <v>7.6359999999999997E-2</v>
      </c>
      <c r="S260" t="e">
        <f t="shared" si="18"/>
        <v>#N/A</v>
      </c>
      <c r="T260">
        <f t="shared" ref="T260:T323" si="21">ROUND(_xlfn.NORM.S.DIST(Q260,0),5)</f>
        <v>0.14349999999999999</v>
      </c>
    </row>
    <row r="261" spans="16:20" x14ac:dyDescent="0.3">
      <c r="P261">
        <f t="shared" si="19"/>
        <v>2.58</v>
      </c>
      <c r="Q261">
        <v>-1.42</v>
      </c>
      <c r="R261">
        <f t="shared" si="20"/>
        <v>7.7799999999999994E-2</v>
      </c>
      <c r="S261" t="e">
        <f t="shared" si="18"/>
        <v>#N/A</v>
      </c>
      <c r="T261">
        <f t="shared" si="21"/>
        <v>0.14555999999999999</v>
      </c>
    </row>
    <row r="262" spans="16:20" x14ac:dyDescent="0.3">
      <c r="P262">
        <f t="shared" si="19"/>
        <v>2.59</v>
      </c>
      <c r="Q262">
        <v>-1.41</v>
      </c>
      <c r="R262">
        <f t="shared" si="20"/>
        <v>7.9269999999999993E-2</v>
      </c>
      <c r="S262" t="e">
        <f t="shared" si="18"/>
        <v>#N/A</v>
      </c>
      <c r="T262">
        <f t="shared" si="21"/>
        <v>0.14763999999999999</v>
      </c>
    </row>
    <row r="263" spans="16:20" x14ac:dyDescent="0.3">
      <c r="P263">
        <f t="shared" si="19"/>
        <v>2.6</v>
      </c>
      <c r="Q263">
        <v>-1.4</v>
      </c>
      <c r="R263">
        <f t="shared" si="20"/>
        <v>8.0759999999999998E-2</v>
      </c>
      <c r="S263" t="e">
        <f t="shared" si="18"/>
        <v>#N/A</v>
      </c>
      <c r="T263">
        <f t="shared" si="21"/>
        <v>0.14973</v>
      </c>
    </row>
    <row r="264" spans="16:20" x14ac:dyDescent="0.3">
      <c r="P264">
        <f t="shared" si="19"/>
        <v>2.6100000000000003</v>
      </c>
      <c r="Q264">
        <v>-1.39</v>
      </c>
      <c r="R264">
        <f t="shared" si="20"/>
        <v>8.226E-2</v>
      </c>
      <c r="S264" t="e">
        <f t="shared" si="18"/>
        <v>#N/A</v>
      </c>
      <c r="T264">
        <f t="shared" si="21"/>
        <v>0.15182999999999999</v>
      </c>
    </row>
    <row r="265" spans="16:20" x14ac:dyDescent="0.3">
      <c r="P265">
        <f t="shared" si="19"/>
        <v>2.62</v>
      </c>
      <c r="Q265">
        <v>-1.38</v>
      </c>
      <c r="R265">
        <f t="shared" si="20"/>
        <v>8.3790000000000003E-2</v>
      </c>
      <c r="S265" t="e">
        <f t="shared" si="18"/>
        <v>#N/A</v>
      </c>
      <c r="T265">
        <f t="shared" si="21"/>
        <v>0.15395</v>
      </c>
    </row>
    <row r="266" spans="16:20" x14ac:dyDescent="0.3">
      <c r="P266">
        <f t="shared" si="19"/>
        <v>2.63</v>
      </c>
      <c r="Q266">
        <v>-1.37</v>
      </c>
      <c r="R266">
        <f t="shared" si="20"/>
        <v>8.5339999999999999E-2</v>
      </c>
      <c r="S266" t="e">
        <f t="shared" si="18"/>
        <v>#N/A</v>
      </c>
      <c r="T266">
        <f t="shared" si="21"/>
        <v>0.15608</v>
      </c>
    </row>
    <row r="267" spans="16:20" x14ac:dyDescent="0.3">
      <c r="P267">
        <f t="shared" si="19"/>
        <v>2.6399999999999997</v>
      </c>
      <c r="Q267">
        <v>-1.36</v>
      </c>
      <c r="R267">
        <f t="shared" si="20"/>
        <v>8.6910000000000001E-2</v>
      </c>
      <c r="S267" t="e">
        <f t="shared" si="18"/>
        <v>#N/A</v>
      </c>
      <c r="T267">
        <f t="shared" si="21"/>
        <v>0.15822</v>
      </c>
    </row>
    <row r="268" spans="16:20" x14ac:dyDescent="0.3">
      <c r="P268">
        <f t="shared" si="19"/>
        <v>2.65</v>
      </c>
      <c r="Q268">
        <v>-1.35</v>
      </c>
      <c r="R268">
        <f t="shared" si="20"/>
        <v>8.8510000000000005E-2</v>
      </c>
      <c r="S268" t="e">
        <f t="shared" si="18"/>
        <v>#N/A</v>
      </c>
      <c r="T268">
        <f t="shared" si="21"/>
        <v>0.16037999999999999</v>
      </c>
    </row>
    <row r="269" spans="16:20" x14ac:dyDescent="0.3">
      <c r="P269">
        <f t="shared" si="19"/>
        <v>2.66</v>
      </c>
      <c r="Q269">
        <v>-1.34</v>
      </c>
      <c r="R269">
        <f t="shared" si="20"/>
        <v>9.0120000000000006E-2</v>
      </c>
      <c r="S269" t="e">
        <f t="shared" si="18"/>
        <v>#N/A</v>
      </c>
      <c r="T269">
        <f t="shared" si="21"/>
        <v>0.16256000000000001</v>
      </c>
    </row>
    <row r="270" spans="16:20" x14ac:dyDescent="0.3">
      <c r="P270">
        <f t="shared" si="19"/>
        <v>2.67</v>
      </c>
      <c r="Q270">
        <v>-1.33</v>
      </c>
      <c r="R270">
        <f t="shared" si="20"/>
        <v>9.1759999999999994E-2</v>
      </c>
      <c r="S270" t="e">
        <f t="shared" si="18"/>
        <v>#N/A</v>
      </c>
      <c r="T270">
        <f t="shared" si="21"/>
        <v>0.16474</v>
      </c>
    </row>
    <row r="271" spans="16:20" x14ac:dyDescent="0.3">
      <c r="P271">
        <f t="shared" si="19"/>
        <v>2.6799999999999997</v>
      </c>
      <c r="Q271">
        <v>-1.32</v>
      </c>
      <c r="R271">
        <f t="shared" si="20"/>
        <v>9.3420000000000003E-2</v>
      </c>
      <c r="S271" t="e">
        <f t="shared" si="18"/>
        <v>#N/A</v>
      </c>
      <c r="T271">
        <f t="shared" si="21"/>
        <v>0.16694000000000001</v>
      </c>
    </row>
    <row r="272" spans="16:20" x14ac:dyDescent="0.3">
      <c r="P272">
        <f t="shared" si="19"/>
        <v>2.69</v>
      </c>
      <c r="Q272">
        <v>-1.31</v>
      </c>
      <c r="R272">
        <f t="shared" si="20"/>
        <v>9.5100000000000004E-2</v>
      </c>
      <c r="S272" t="e">
        <f t="shared" si="18"/>
        <v>#N/A</v>
      </c>
      <c r="T272">
        <f t="shared" si="21"/>
        <v>0.16914999999999999</v>
      </c>
    </row>
    <row r="273" spans="16:20" x14ac:dyDescent="0.3">
      <c r="P273">
        <f t="shared" si="19"/>
        <v>2.7</v>
      </c>
      <c r="Q273">
        <v>-1.3</v>
      </c>
      <c r="R273">
        <f t="shared" si="20"/>
        <v>9.6799999999999997E-2</v>
      </c>
      <c r="S273" t="e">
        <f t="shared" si="18"/>
        <v>#N/A</v>
      </c>
      <c r="T273">
        <f t="shared" si="21"/>
        <v>0.17136999999999999</v>
      </c>
    </row>
    <row r="274" spans="16:20" x14ac:dyDescent="0.3">
      <c r="P274">
        <f t="shared" si="19"/>
        <v>2.71</v>
      </c>
      <c r="Q274">
        <v>-1.29</v>
      </c>
      <c r="R274">
        <f t="shared" si="20"/>
        <v>9.8530000000000006E-2</v>
      </c>
      <c r="S274">
        <f t="shared" si="18"/>
        <v>9.8530000000000006E-2</v>
      </c>
      <c r="T274">
        <f t="shared" si="21"/>
        <v>0.1736</v>
      </c>
    </row>
    <row r="275" spans="16:20" x14ac:dyDescent="0.3">
      <c r="P275">
        <f t="shared" si="19"/>
        <v>2.7199999999999998</v>
      </c>
      <c r="Q275">
        <v>-1.28</v>
      </c>
      <c r="R275">
        <f t="shared" si="20"/>
        <v>0.10027</v>
      </c>
      <c r="S275" t="e">
        <f t="shared" si="18"/>
        <v>#N/A</v>
      </c>
      <c r="T275">
        <f t="shared" si="21"/>
        <v>0.17585000000000001</v>
      </c>
    </row>
    <row r="276" spans="16:20" x14ac:dyDescent="0.3">
      <c r="P276">
        <f t="shared" si="19"/>
        <v>2.73</v>
      </c>
      <c r="Q276">
        <v>-1.27</v>
      </c>
      <c r="R276">
        <f t="shared" si="20"/>
        <v>0.10204000000000001</v>
      </c>
      <c r="S276" t="e">
        <f t="shared" si="18"/>
        <v>#N/A</v>
      </c>
      <c r="T276">
        <f t="shared" si="21"/>
        <v>0.17810000000000001</v>
      </c>
    </row>
    <row r="277" spans="16:20" x14ac:dyDescent="0.3">
      <c r="P277">
        <f t="shared" si="19"/>
        <v>2.74</v>
      </c>
      <c r="Q277">
        <v>-1.26</v>
      </c>
      <c r="R277">
        <f t="shared" si="20"/>
        <v>0.10383000000000001</v>
      </c>
      <c r="S277" t="e">
        <f t="shared" si="18"/>
        <v>#N/A</v>
      </c>
      <c r="T277">
        <f t="shared" si="21"/>
        <v>0.18037</v>
      </c>
    </row>
    <row r="278" spans="16:20" x14ac:dyDescent="0.3">
      <c r="P278">
        <f t="shared" si="19"/>
        <v>2.75</v>
      </c>
      <c r="Q278">
        <v>-1.25</v>
      </c>
      <c r="R278">
        <f t="shared" si="20"/>
        <v>0.10564999999999999</v>
      </c>
      <c r="S278" t="e">
        <f t="shared" si="18"/>
        <v>#N/A</v>
      </c>
      <c r="T278">
        <f t="shared" si="21"/>
        <v>0.18265000000000001</v>
      </c>
    </row>
    <row r="279" spans="16:20" x14ac:dyDescent="0.3">
      <c r="P279">
        <f t="shared" si="19"/>
        <v>2.76</v>
      </c>
      <c r="Q279">
        <v>-1.24</v>
      </c>
      <c r="R279">
        <f t="shared" si="20"/>
        <v>0.10749</v>
      </c>
      <c r="S279" t="e">
        <f t="shared" si="18"/>
        <v>#N/A</v>
      </c>
      <c r="T279">
        <f t="shared" si="21"/>
        <v>0.18493999999999999</v>
      </c>
    </row>
    <row r="280" spans="16:20" x14ac:dyDescent="0.3">
      <c r="P280">
        <f t="shared" si="19"/>
        <v>2.77</v>
      </c>
      <c r="Q280">
        <v>-1.23</v>
      </c>
      <c r="R280">
        <f t="shared" si="20"/>
        <v>0.10935</v>
      </c>
      <c r="S280" t="e">
        <f t="shared" si="18"/>
        <v>#N/A</v>
      </c>
      <c r="T280">
        <f t="shared" si="21"/>
        <v>0.18723999999999999</v>
      </c>
    </row>
    <row r="281" spans="16:20" x14ac:dyDescent="0.3">
      <c r="P281">
        <f t="shared" si="19"/>
        <v>2.7800000000000002</v>
      </c>
      <c r="Q281">
        <v>-1.22</v>
      </c>
      <c r="R281">
        <f t="shared" si="20"/>
        <v>0.11123</v>
      </c>
      <c r="S281" t="e">
        <f t="shared" si="18"/>
        <v>#N/A</v>
      </c>
      <c r="T281">
        <f t="shared" si="21"/>
        <v>0.18953999999999999</v>
      </c>
    </row>
    <row r="282" spans="16:20" x14ac:dyDescent="0.3">
      <c r="P282">
        <f t="shared" si="19"/>
        <v>2.79</v>
      </c>
      <c r="Q282">
        <v>-1.21</v>
      </c>
      <c r="R282">
        <f t="shared" si="20"/>
        <v>0.11314</v>
      </c>
      <c r="S282" t="e">
        <f t="shared" si="18"/>
        <v>#N/A</v>
      </c>
      <c r="T282">
        <f t="shared" si="21"/>
        <v>0.19186</v>
      </c>
    </row>
    <row r="283" spans="16:20" x14ac:dyDescent="0.3">
      <c r="P283">
        <f t="shared" si="19"/>
        <v>2.8</v>
      </c>
      <c r="Q283">
        <v>-1.2</v>
      </c>
      <c r="R283">
        <f t="shared" si="20"/>
        <v>0.11507000000000001</v>
      </c>
      <c r="S283" t="e">
        <f t="shared" si="18"/>
        <v>#N/A</v>
      </c>
      <c r="T283">
        <f t="shared" si="21"/>
        <v>0.19419</v>
      </c>
    </row>
    <row r="284" spans="16:20" x14ac:dyDescent="0.3">
      <c r="P284">
        <f t="shared" si="19"/>
        <v>2.81</v>
      </c>
      <c r="Q284">
        <v>-1.19</v>
      </c>
      <c r="R284">
        <f t="shared" si="20"/>
        <v>0.11702</v>
      </c>
      <c r="S284" t="e">
        <f t="shared" si="18"/>
        <v>#N/A</v>
      </c>
      <c r="T284">
        <f t="shared" si="21"/>
        <v>0.19652</v>
      </c>
    </row>
    <row r="285" spans="16:20" x14ac:dyDescent="0.3">
      <c r="P285">
        <f t="shared" si="19"/>
        <v>2.8200000000000003</v>
      </c>
      <c r="Q285">
        <v>-1.18</v>
      </c>
      <c r="R285">
        <f t="shared" si="20"/>
        <v>0.11899999999999999</v>
      </c>
      <c r="S285" t="e">
        <f t="shared" si="18"/>
        <v>#N/A</v>
      </c>
      <c r="T285">
        <f t="shared" si="21"/>
        <v>0.19886000000000001</v>
      </c>
    </row>
    <row r="286" spans="16:20" x14ac:dyDescent="0.3">
      <c r="P286">
        <f t="shared" si="19"/>
        <v>2.83</v>
      </c>
      <c r="Q286">
        <v>-1.17</v>
      </c>
      <c r="R286">
        <f t="shared" si="20"/>
        <v>0.121</v>
      </c>
      <c r="S286" t="e">
        <f t="shared" si="18"/>
        <v>#N/A</v>
      </c>
      <c r="T286">
        <f t="shared" si="21"/>
        <v>0.20121</v>
      </c>
    </row>
    <row r="287" spans="16:20" x14ac:dyDescent="0.3">
      <c r="P287">
        <f t="shared" si="19"/>
        <v>2.84</v>
      </c>
      <c r="Q287">
        <v>-1.1599999999999999</v>
      </c>
      <c r="R287">
        <f t="shared" si="20"/>
        <v>0.12302</v>
      </c>
      <c r="S287">
        <f t="shared" si="18"/>
        <v>0.12302</v>
      </c>
      <c r="T287">
        <f t="shared" si="21"/>
        <v>0.20357</v>
      </c>
    </row>
    <row r="288" spans="16:20" x14ac:dyDescent="0.3">
      <c r="P288">
        <f t="shared" si="19"/>
        <v>2.85</v>
      </c>
      <c r="Q288">
        <v>-1.1499999999999999</v>
      </c>
      <c r="R288">
        <f t="shared" si="20"/>
        <v>0.12506999999999999</v>
      </c>
      <c r="S288" t="e">
        <f t="shared" si="18"/>
        <v>#N/A</v>
      </c>
      <c r="T288">
        <f t="shared" si="21"/>
        <v>0.20594000000000001</v>
      </c>
    </row>
    <row r="289" spans="16:20" x14ac:dyDescent="0.3">
      <c r="P289">
        <f t="shared" si="19"/>
        <v>2.8600000000000003</v>
      </c>
      <c r="Q289">
        <v>-1.1399999999999999</v>
      </c>
      <c r="R289">
        <f t="shared" si="20"/>
        <v>0.12714</v>
      </c>
      <c r="S289" t="e">
        <f t="shared" si="18"/>
        <v>#N/A</v>
      </c>
      <c r="T289">
        <f t="shared" si="21"/>
        <v>0.20831</v>
      </c>
    </row>
    <row r="290" spans="16:20" x14ac:dyDescent="0.3">
      <c r="P290">
        <f t="shared" si="19"/>
        <v>2.87</v>
      </c>
      <c r="Q290">
        <v>-1.1299999999999999</v>
      </c>
      <c r="R290">
        <f t="shared" si="20"/>
        <v>0.12923999999999999</v>
      </c>
      <c r="S290" t="e">
        <f t="shared" si="18"/>
        <v>#N/A</v>
      </c>
      <c r="T290">
        <f t="shared" si="21"/>
        <v>0.21068999999999999</v>
      </c>
    </row>
    <row r="291" spans="16:20" x14ac:dyDescent="0.3">
      <c r="P291">
        <f t="shared" si="19"/>
        <v>2.88</v>
      </c>
      <c r="Q291">
        <v>-1.1200000000000001</v>
      </c>
      <c r="R291">
        <f t="shared" si="20"/>
        <v>0.13136</v>
      </c>
      <c r="S291" t="e">
        <f t="shared" si="18"/>
        <v>#N/A</v>
      </c>
      <c r="T291">
        <f t="shared" si="21"/>
        <v>0.21307000000000001</v>
      </c>
    </row>
    <row r="292" spans="16:20" x14ac:dyDescent="0.3">
      <c r="P292">
        <f t="shared" si="19"/>
        <v>2.8899999999999997</v>
      </c>
      <c r="Q292">
        <v>-1.1100000000000001</v>
      </c>
      <c r="R292">
        <f t="shared" si="20"/>
        <v>0.13350000000000001</v>
      </c>
      <c r="S292" t="e">
        <f t="shared" si="18"/>
        <v>#N/A</v>
      </c>
      <c r="T292">
        <f t="shared" si="21"/>
        <v>0.21546000000000001</v>
      </c>
    </row>
    <row r="293" spans="16:20" x14ac:dyDescent="0.3">
      <c r="P293">
        <f t="shared" si="19"/>
        <v>2.9</v>
      </c>
      <c r="Q293">
        <v>-1.1000000000000001</v>
      </c>
      <c r="R293">
        <f t="shared" si="20"/>
        <v>0.13567000000000001</v>
      </c>
      <c r="S293" t="e">
        <f t="shared" si="18"/>
        <v>#N/A</v>
      </c>
      <c r="T293">
        <f t="shared" si="21"/>
        <v>0.21784999999999999</v>
      </c>
    </row>
    <row r="294" spans="16:20" x14ac:dyDescent="0.3">
      <c r="P294">
        <f t="shared" si="19"/>
        <v>2.91</v>
      </c>
      <c r="Q294">
        <v>-1.0900000000000001</v>
      </c>
      <c r="R294">
        <f t="shared" si="20"/>
        <v>0.13786000000000001</v>
      </c>
      <c r="S294" t="e">
        <f t="shared" si="18"/>
        <v>#N/A</v>
      </c>
      <c r="T294">
        <f t="shared" si="21"/>
        <v>0.22025</v>
      </c>
    </row>
    <row r="295" spans="16:20" x14ac:dyDescent="0.3">
      <c r="P295">
        <f t="shared" si="19"/>
        <v>2.92</v>
      </c>
      <c r="Q295">
        <v>-1.08</v>
      </c>
      <c r="R295">
        <f t="shared" si="20"/>
        <v>0.14007</v>
      </c>
      <c r="S295" t="e">
        <f t="shared" si="18"/>
        <v>#N/A</v>
      </c>
      <c r="T295">
        <f t="shared" si="21"/>
        <v>0.22264999999999999</v>
      </c>
    </row>
    <row r="296" spans="16:20" x14ac:dyDescent="0.3">
      <c r="P296">
        <f t="shared" si="19"/>
        <v>2.9299999999999997</v>
      </c>
      <c r="Q296">
        <v>-1.07</v>
      </c>
      <c r="R296">
        <f t="shared" si="20"/>
        <v>0.14230999999999999</v>
      </c>
      <c r="S296" t="e">
        <f t="shared" si="18"/>
        <v>#N/A</v>
      </c>
      <c r="T296">
        <f t="shared" si="21"/>
        <v>0.22506000000000001</v>
      </c>
    </row>
    <row r="297" spans="16:20" x14ac:dyDescent="0.3">
      <c r="P297">
        <f t="shared" si="19"/>
        <v>2.94</v>
      </c>
      <c r="Q297">
        <v>-1.06</v>
      </c>
      <c r="R297">
        <f t="shared" si="20"/>
        <v>0.14457</v>
      </c>
      <c r="S297" t="e">
        <f t="shared" si="18"/>
        <v>#N/A</v>
      </c>
      <c r="T297">
        <f t="shared" si="21"/>
        <v>0.22747000000000001</v>
      </c>
    </row>
    <row r="298" spans="16:20" x14ac:dyDescent="0.3">
      <c r="P298">
        <f t="shared" si="19"/>
        <v>2.95</v>
      </c>
      <c r="Q298">
        <v>-1.05</v>
      </c>
      <c r="R298">
        <f t="shared" si="20"/>
        <v>0.14685999999999999</v>
      </c>
      <c r="S298" t="e">
        <f t="shared" si="18"/>
        <v>#N/A</v>
      </c>
      <c r="T298">
        <f t="shared" si="21"/>
        <v>0.22988</v>
      </c>
    </row>
    <row r="299" spans="16:20" x14ac:dyDescent="0.3">
      <c r="P299">
        <f t="shared" si="19"/>
        <v>2.96</v>
      </c>
      <c r="Q299">
        <v>-1.04</v>
      </c>
      <c r="R299">
        <f t="shared" si="20"/>
        <v>0.14917</v>
      </c>
      <c r="S299">
        <f t="shared" si="18"/>
        <v>0.14917</v>
      </c>
      <c r="T299">
        <f t="shared" si="21"/>
        <v>0.23230000000000001</v>
      </c>
    </row>
    <row r="300" spans="16:20" x14ac:dyDescent="0.3">
      <c r="P300">
        <f t="shared" si="19"/>
        <v>2.9699999999999998</v>
      </c>
      <c r="Q300">
        <v>-1.03</v>
      </c>
      <c r="R300">
        <f t="shared" si="20"/>
        <v>0.15151000000000001</v>
      </c>
      <c r="S300" t="e">
        <f t="shared" si="18"/>
        <v>#N/A</v>
      </c>
      <c r="T300">
        <f t="shared" si="21"/>
        <v>0.23471</v>
      </c>
    </row>
    <row r="301" spans="16:20" x14ac:dyDescent="0.3">
      <c r="P301">
        <f t="shared" si="19"/>
        <v>2.98</v>
      </c>
      <c r="Q301">
        <v>-1.02</v>
      </c>
      <c r="R301">
        <f t="shared" si="20"/>
        <v>0.15386</v>
      </c>
      <c r="S301" t="e">
        <f t="shared" si="18"/>
        <v>#N/A</v>
      </c>
      <c r="T301">
        <f t="shared" si="21"/>
        <v>0.23713000000000001</v>
      </c>
    </row>
    <row r="302" spans="16:20" x14ac:dyDescent="0.3">
      <c r="P302">
        <f t="shared" si="19"/>
        <v>2.99</v>
      </c>
      <c r="Q302">
        <v>-1.01</v>
      </c>
      <c r="R302">
        <f t="shared" si="20"/>
        <v>0.15625</v>
      </c>
      <c r="S302" t="e">
        <f t="shared" si="18"/>
        <v>#N/A</v>
      </c>
      <c r="T302">
        <f t="shared" si="21"/>
        <v>0.23955000000000001</v>
      </c>
    </row>
    <row r="303" spans="16:20" x14ac:dyDescent="0.3">
      <c r="P303">
        <f t="shared" si="19"/>
        <v>3</v>
      </c>
      <c r="Q303">
        <v>-1</v>
      </c>
      <c r="R303">
        <f t="shared" si="20"/>
        <v>0.15866</v>
      </c>
      <c r="S303" t="e">
        <f t="shared" si="18"/>
        <v>#N/A</v>
      </c>
      <c r="T303">
        <f t="shared" si="21"/>
        <v>0.24196999999999999</v>
      </c>
    </row>
    <row r="304" spans="16:20" x14ac:dyDescent="0.3">
      <c r="P304">
        <f t="shared" si="19"/>
        <v>3.01</v>
      </c>
      <c r="Q304">
        <v>-0.99</v>
      </c>
      <c r="R304">
        <f t="shared" si="20"/>
        <v>0.16109000000000001</v>
      </c>
      <c r="S304" t="e">
        <f t="shared" si="18"/>
        <v>#N/A</v>
      </c>
      <c r="T304">
        <f t="shared" si="21"/>
        <v>0.24439</v>
      </c>
    </row>
    <row r="305" spans="16:20" x14ac:dyDescent="0.3">
      <c r="P305">
        <f t="shared" si="19"/>
        <v>3.02</v>
      </c>
      <c r="Q305">
        <v>-0.98</v>
      </c>
      <c r="R305">
        <f t="shared" si="20"/>
        <v>0.16353999999999999</v>
      </c>
      <c r="S305" t="e">
        <f t="shared" si="18"/>
        <v>#N/A</v>
      </c>
      <c r="T305">
        <f t="shared" si="21"/>
        <v>0.24681</v>
      </c>
    </row>
    <row r="306" spans="16:20" x14ac:dyDescent="0.3">
      <c r="P306">
        <f t="shared" si="19"/>
        <v>3.0300000000000002</v>
      </c>
      <c r="Q306">
        <v>-0.97</v>
      </c>
      <c r="R306">
        <f t="shared" si="20"/>
        <v>0.16602</v>
      </c>
      <c r="S306" t="e">
        <f t="shared" si="18"/>
        <v>#N/A</v>
      </c>
      <c r="T306">
        <f t="shared" si="21"/>
        <v>0.24923000000000001</v>
      </c>
    </row>
    <row r="307" spans="16:20" x14ac:dyDescent="0.3">
      <c r="P307">
        <f t="shared" si="19"/>
        <v>3.04</v>
      </c>
      <c r="Q307">
        <v>-0.96</v>
      </c>
      <c r="R307">
        <f t="shared" si="20"/>
        <v>0.16853000000000001</v>
      </c>
      <c r="S307" t="e">
        <f t="shared" si="18"/>
        <v>#N/A</v>
      </c>
      <c r="T307">
        <f t="shared" si="21"/>
        <v>0.25163999999999997</v>
      </c>
    </row>
    <row r="308" spans="16:20" x14ac:dyDescent="0.3">
      <c r="P308">
        <f t="shared" si="19"/>
        <v>3.05</v>
      </c>
      <c r="Q308">
        <v>-0.95</v>
      </c>
      <c r="R308">
        <f t="shared" si="20"/>
        <v>0.17105999999999999</v>
      </c>
      <c r="S308" t="e">
        <f t="shared" si="18"/>
        <v>#N/A</v>
      </c>
      <c r="T308">
        <f t="shared" si="21"/>
        <v>0.25406000000000001</v>
      </c>
    </row>
    <row r="309" spans="16:20" x14ac:dyDescent="0.3">
      <c r="P309">
        <f t="shared" si="19"/>
        <v>3.06</v>
      </c>
      <c r="Q309">
        <v>-0.94</v>
      </c>
      <c r="R309">
        <f t="shared" si="20"/>
        <v>0.17360999999999999</v>
      </c>
      <c r="S309">
        <f t="shared" si="18"/>
        <v>0.17360999999999999</v>
      </c>
      <c r="T309">
        <f t="shared" si="21"/>
        <v>0.25646999999999998</v>
      </c>
    </row>
    <row r="310" spans="16:20" x14ac:dyDescent="0.3">
      <c r="P310">
        <f t="shared" si="19"/>
        <v>3.07</v>
      </c>
      <c r="Q310">
        <v>-0.93</v>
      </c>
      <c r="R310">
        <f t="shared" si="20"/>
        <v>0.17619000000000001</v>
      </c>
      <c r="S310" t="e">
        <f t="shared" si="18"/>
        <v>#N/A</v>
      </c>
      <c r="T310">
        <f t="shared" si="21"/>
        <v>0.25888</v>
      </c>
    </row>
    <row r="311" spans="16:20" x14ac:dyDescent="0.3">
      <c r="P311">
        <f t="shared" si="19"/>
        <v>3.08</v>
      </c>
      <c r="Q311">
        <v>-0.92</v>
      </c>
      <c r="R311">
        <f t="shared" si="20"/>
        <v>0.17879</v>
      </c>
      <c r="S311" t="e">
        <f t="shared" si="18"/>
        <v>#N/A</v>
      </c>
      <c r="T311">
        <f t="shared" si="21"/>
        <v>0.26129000000000002</v>
      </c>
    </row>
    <row r="312" spans="16:20" x14ac:dyDescent="0.3">
      <c r="P312">
        <f t="shared" si="19"/>
        <v>3.09</v>
      </c>
      <c r="Q312">
        <v>-0.91</v>
      </c>
      <c r="R312">
        <f t="shared" si="20"/>
        <v>0.18140999999999999</v>
      </c>
      <c r="S312" t="e">
        <f t="shared" si="18"/>
        <v>#N/A</v>
      </c>
      <c r="T312">
        <f t="shared" si="21"/>
        <v>0.26368999999999998</v>
      </c>
    </row>
    <row r="313" spans="16:20" x14ac:dyDescent="0.3">
      <c r="P313">
        <f t="shared" si="19"/>
        <v>3.1</v>
      </c>
      <c r="Q313">
        <v>-0.9</v>
      </c>
      <c r="R313">
        <f t="shared" si="20"/>
        <v>0.18406</v>
      </c>
      <c r="S313" t="e">
        <f t="shared" si="18"/>
        <v>#N/A</v>
      </c>
      <c r="T313">
        <f t="shared" si="21"/>
        <v>0.26608999999999999</v>
      </c>
    </row>
    <row r="314" spans="16:20" x14ac:dyDescent="0.3">
      <c r="P314">
        <f t="shared" si="19"/>
        <v>3.11</v>
      </c>
      <c r="Q314">
        <v>-0.89</v>
      </c>
      <c r="R314">
        <f t="shared" si="20"/>
        <v>0.18673000000000001</v>
      </c>
      <c r="S314" t="e">
        <f t="shared" si="18"/>
        <v>#N/A</v>
      </c>
      <c r="T314">
        <f t="shared" si="21"/>
        <v>0.26848</v>
      </c>
    </row>
    <row r="315" spans="16:20" x14ac:dyDescent="0.3">
      <c r="P315">
        <f t="shared" si="19"/>
        <v>3.12</v>
      </c>
      <c r="Q315">
        <v>-0.88</v>
      </c>
      <c r="R315">
        <f t="shared" si="20"/>
        <v>0.18942999999999999</v>
      </c>
      <c r="S315" t="e">
        <f t="shared" si="18"/>
        <v>#N/A</v>
      </c>
      <c r="T315">
        <f t="shared" si="21"/>
        <v>0.27085999999999999</v>
      </c>
    </row>
    <row r="316" spans="16:20" x14ac:dyDescent="0.3">
      <c r="P316">
        <f t="shared" si="19"/>
        <v>3.13</v>
      </c>
      <c r="Q316">
        <v>-0.87</v>
      </c>
      <c r="R316">
        <f t="shared" si="20"/>
        <v>0.19214999999999999</v>
      </c>
      <c r="S316" t="e">
        <f t="shared" si="18"/>
        <v>#N/A</v>
      </c>
      <c r="T316">
        <f t="shared" si="21"/>
        <v>0.27323999999999998</v>
      </c>
    </row>
    <row r="317" spans="16:20" x14ac:dyDescent="0.3">
      <c r="P317">
        <f t="shared" si="19"/>
        <v>3.14</v>
      </c>
      <c r="Q317">
        <v>-0.86</v>
      </c>
      <c r="R317">
        <f t="shared" si="20"/>
        <v>0.19489000000000001</v>
      </c>
      <c r="S317" t="e">
        <f t="shared" si="18"/>
        <v>#N/A</v>
      </c>
      <c r="T317">
        <f t="shared" si="21"/>
        <v>0.27561999999999998</v>
      </c>
    </row>
    <row r="318" spans="16:20" x14ac:dyDescent="0.3">
      <c r="P318">
        <f t="shared" si="19"/>
        <v>3.15</v>
      </c>
      <c r="Q318">
        <v>-0.85</v>
      </c>
      <c r="R318">
        <f t="shared" si="20"/>
        <v>0.19766</v>
      </c>
      <c r="S318">
        <f t="shared" si="18"/>
        <v>0.19766</v>
      </c>
      <c r="T318">
        <f t="shared" si="21"/>
        <v>0.27798</v>
      </c>
    </row>
    <row r="319" spans="16:20" x14ac:dyDescent="0.3">
      <c r="P319">
        <f t="shared" si="19"/>
        <v>3.16</v>
      </c>
      <c r="Q319">
        <v>-0.84</v>
      </c>
      <c r="R319">
        <f t="shared" si="20"/>
        <v>0.20044999999999999</v>
      </c>
      <c r="S319" t="e">
        <f t="shared" si="18"/>
        <v>#N/A</v>
      </c>
      <c r="T319">
        <f t="shared" si="21"/>
        <v>0.28033999999999998</v>
      </c>
    </row>
    <row r="320" spans="16:20" x14ac:dyDescent="0.3">
      <c r="P320">
        <f t="shared" si="19"/>
        <v>3.17</v>
      </c>
      <c r="Q320">
        <v>-0.83</v>
      </c>
      <c r="R320">
        <f t="shared" si="20"/>
        <v>0.20327000000000001</v>
      </c>
      <c r="S320" t="e">
        <f t="shared" si="18"/>
        <v>#N/A</v>
      </c>
      <c r="T320">
        <f t="shared" si="21"/>
        <v>0.28269</v>
      </c>
    </row>
    <row r="321" spans="16:20" x14ac:dyDescent="0.3">
      <c r="P321">
        <f t="shared" si="19"/>
        <v>3.18</v>
      </c>
      <c r="Q321">
        <v>-0.82</v>
      </c>
      <c r="R321">
        <f t="shared" si="20"/>
        <v>0.20610999999999999</v>
      </c>
      <c r="S321" t="e">
        <f t="shared" si="18"/>
        <v>#N/A</v>
      </c>
      <c r="T321">
        <f t="shared" si="21"/>
        <v>0.28504000000000002</v>
      </c>
    </row>
    <row r="322" spans="16:20" x14ac:dyDescent="0.3">
      <c r="P322">
        <f t="shared" si="19"/>
        <v>3.19</v>
      </c>
      <c r="Q322">
        <v>-0.81</v>
      </c>
      <c r="R322">
        <f t="shared" si="20"/>
        <v>0.20896999999999999</v>
      </c>
      <c r="S322" t="e">
        <f t="shared" si="18"/>
        <v>#N/A</v>
      </c>
      <c r="T322">
        <f t="shared" si="21"/>
        <v>0.28737000000000001</v>
      </c>
    </row>
    <row r="323" spans="16:20" x14ac:dyDescent="0.3">
      <c r="P323">
        <f t="shared" si="19"/>
        <v>3.2</v>
      </c>
      <c r="Q323">
        <v>-0.8</v>
      </c>
      <c r="R323">
        <f t="shared" si="20"/>
        <v>0.21185999999999999</v>
      </c>
      <c r="S323" t="e">
        <f t="shared" ref="S323:S386" si="22">VLOOKUP(R323,$W$3:$W$42,1,0)</f>
        <v>#N/A</v>
      </c>
      <c r="T323">
        <f t="shared" si="21"/>
        <v>0.28969</v>
      </c>
    </row>
    <row r="324" spans="16:20" x14ac:dyDescent="0.3">
      <c r="P324">
        <f t="shared" ref="P324:P387" si="23">4+(Q324)</f>
        <v>3.21</v>
      </c>
      <c r="Q324">
        <v>-0.79</v>
      </c>
      <c r="R324">
        <f t="shared" ref="R324:R387" si="24">ROUND(_xlfn.NORM.S.DIST(Q324,1),5)</f>
        <v>0.21476000000000001</v>
      </c>
      <c r="S324" t="e">
        <f t="shared" si="22"/>
        <v>#N/A</v>
      </c>
      <c r="T324">
        <f t="shared" ref="T324:T387" si="25">ROUND(_xlfn.NORM.S.DIST(Q324,0),5)</f>
        <v>0.29199999999999998</v>
      </c>
    </row>
    <row r="325" spans="16:20" x14ac:dyDescent="0.3">
      <c r="P325">
        <f t="shared" si="23"/>
        <v>3.2199999999999998</v>
      </c>
      <c r="Q325">
        <v>-0.78</v>
      </c>
      <c r="R325">
        <f t="shared" si="24"/>
        <v>0.2177</v>
      </c>
      <c r="S325" t="e">
        <f t="shared" si="22"/>
        <v>#N/A</v>
      </c>
      <c r="T325">
        <f t="shared" si="25"/>
        <v>0.29431000000000002</v>
      </c>
    </row>
    <row r="326" spans="16:20" x14ac:dyDescent="0.3">
      <c r="P326">
        <f t="shared" si="23"/>
        <v>3.23</v>
      </c>
      <c r="Q326">
        <v>-0.77</v>
      </c>
      <c r="R326">
        <f t="shared" si="24"/>
        <v>0.22065000000000001</v>
      </c>
      <c r="S326" t="e">
        <f t="shared" si="22"/>
        <v>#N/A</v>
      </c>
      <c r="T326">
        <f t="shared" si="25"/>
        <v>0.29659000000000002</v>
      </c>
    </row>
    <row r="327" spans="16:20" x14ac:dyDescent="0.3">
      <c r="P327">
        <f t="shared" si="23"/>
        <v>3.24</v>
      </c>
      <c r="Q327">
        <v>-0.76</v>
      </c>
      <c r="R327">
        <f t="shared" si="24"/>
        <v>0.22363</v>
      </c>
      <c r="S327">
        <f t="shared" si="22"/>
        <v>0.22363</v>
      </c>
      <c r="T327">
        <f t="shared" si="25"/>
        <v>0.29887000000000002</v>
      </c>
    </row>
    <row r="328" spans="16:20" x14ac:dyDescent="0.3">
      <c r="P328">
        <f t="shared" si="23"/>
        <v>3.25</v>
      </c>
      <c r="Q328">
        <v>-0.75</v>
      </c>
      <c r="R328">
        <f t="shared" si="24"/>
        <v>0.22663</v>
      </c>
      <c r="S328" t="e">
        <f t="shared" si="22"/>
        <v>#N/A</v>
      </c>
      <c r="T328">
        <f t="shared" si="25"/>
        <v>0.30114000000000002</v>
      </c>
    </row>
    <row r="329" spans="16:20" x14ac:dyDescent="0.3">
      <c r="P329">
        <f t="shared" si="23"/>
        <v>3.26</v>
      </c>
      <c r="Q329">
        <v>-0.74</v>
      </c>
      <c r="R329">
        <f t="shared" si="24"/>
        <v>0.22964999999999999</v>
      </c>
      <c r="S329" t="e">
        <f t="shared" si="22"/>
        <v>#N/A</v>
      </c>
      <c r="T329">
        <f t="shared" si="25"/>
        <v>0.30338999999999999</v>
      </c>
    </row>
    <row r="330" spans="16:20" x14ac:dyDescent="0.3">
      <c r="P330">
        <f t="shared" si="23"/>
        <v>3.27</v>
      </c>
      <c r="Q330">
        <v>-0.73</v>
      </c>
      <c r="R330">
        <f t="shared" si="24"/>
        <v>0.23269999999999999</v>
      </c>
      <c r="S330" t="e">
        <f t="shared" si="22"/>
        <v>#N/A</v>
      </c>
      <c r="T330">
        <f t="shared" si="25"/>
        <v>0.30563000000000001</v>
      </c>
    </row>
    <row r="331" spans="16:20" x14ac:dyDescent="0.3">
      <c r="P331">
        <f t="shared" si="23"/>
        <v>3.2800000000000002</v>
      </c>
      <c r="Q331">
        <v>-0.72</v>
      </c>
      <c r="R331">
        <f t="shared" si="24"/>
        <v>0.23576</v>
      </c>
      <c r="S331" t="e">
        <f t="shared" si="22"/>
        <v>#N/A</v>
      </c>
      <c r="T331">
        <f t="shared" si="25"/>
        <v>0.30785000000000001</v>
      </c>
    </row>
    <row r="332" spans="16:20" x14ac:dyDescent="0.3">
      <c r="P332">
        <f t="shared" si="23"/>
        <v>3.29</v>
      </c>
      <c r="Q332">
        <v>-0.71</v>
      </c>
      <c r="R332">
        <f t="shared" si="24"/>
        <v>0.23885000000000001</v>
      </c>
      <c r="S332" t="e">
        <f t="shared" si="22"/>
        <v>#N/A</v>
      </c>
      <c r="T332">
        <f t="shared" si="25"/>
        <v>0.31006</v>
      </c>
    </row>
    <row r="333" spans="16:20" x14ac:dyDescent="0.3">
      <c r="P333">
        <f t="shared" si="23"/>
        <v>3.3</v>
      </c>
      <c r="Q333">
        <v>-0.7</v>
      </c>
      <c r="R333">
        <f t="shared" si="24"/>
        <v>0.24196000000000001</v>
      </c>
      <c r="S333" t="e">
        <f t="shared" si="22"/>
        <v>#N/A</v>
      </c>
      <c r="T333">
        <f t="shared" si="25"/>
        <v>0.31225000000000003</v>
      </c>
    </row>
    <row r="334" spans="16:20" x14ac:dyDescent="0.3">
      <c r="P334">
        <f t="shared" si="23"/>
        <v>3.31</v>
      </c>
      <c r="Q334">
        <v>-0.69</v>
      </c>
      <c r="R334">
        <f t="shared" si="24"/>
        <v>0.24510000000000001</v>
      </c>
      <c r="S334" t="e">
        <f t="shared" si="22"/>
        <v>#N/A</v>
      </c>
      <c r="T334">
        <f t="shared" si="25"/>
        <v>0.31442999999999999</v>
      </c>
    </row>
    <row r="335" spans="16:20" x14ac:dyDescent="0.3">
      <c r="P335">
        <f t="shared" si="23"/>
        <v>3.32</v>
      </c>
      <c r="Q335">
        <v>-0.68</v>
      </c>
      <c r="R335">
        <f t="shared" si="24"/>
        <v>0.24825</v>
      </c>
      <c r="S335">
        <f t="shared" si="22"/>
        <v>0.24825</v>
      </c>
      <c r="T335">
        <f t="shared" si="25"/>
        <v>0.31658999999999998</v>
      </c>
    </row>
    <row r="336" spans="16:20" x14ac:dyDescent="0.3">
      <c r="P336">
        <f t="shared" si="23"/>
        <v>3.33</v>
      </c>
      <c r="Q336">
        <v>-0.67</v>
      </c>
      <c r="R336">
        <f t="shared" si="24"/>
        <v>0.25142999999999999</v>
      </c>
      <c r="S336" t="e">
        <f t="shared" si="22"/>
        <v>#N/A</v>
      </c>
      <c r="T336">
        <f t="shared" si="25"/>
        <v>0.31874000000000002</v>
      </c>
    </row>
    <row r="337" spans="16:20" x14ac:dyDescent="0.3">
      <c r="P337">
        <f t="shared" si="23"/>
        <v>3.34</v>
      </c>
      <c r="Q337">
        <v>-0.66</v>
      </c>
      <c r="R337">
        <f t="shared" si="24"/>
        <v>0.25463000000000002</v>
      </c>
      <c r="S337" t="e">
        <f t="shared" si="22"/>
        <v>#N/A</v>
      </c>
      <c r="T337">
        <f t="shared" si="25"/>
        <v>0.32085999999999998</v>
      </c>
    </row>
    <row r="338" spans="16:20" x14ac:dyDescent="0.3">
      <c r="P338">
        <f t="shared" si="23"/>
        <v>3.35</v>
      </c>
      <c r="Q338">
        <v>-0.65</v>
      </c>
      <c r="R338">
        <f t="shared" si="24"/>
        <v>0.25785000000000002</v>
      </c>
      <c r="S338" t="e">
        <f t="shared" si="22"/>
        <v>#N/A</v>
      </c>
      <c r="T338">
        <f t="shared" si="25"/>
        <v>0.32296999999999998</v>
      </c>
    </row>
    <row r="339" spans="16:20" x14ac:dyDescent="0.3">
      <c r="P339">
        <f t="shared" si="23"/>
        <v>3.36</v>
      </c>
      <c r="Q339">
        <v>-0.64</v>
      </c>
      <c r="R339">
        <f t="shared" si="24"/>
        <v>0.26108999999999999</v>
      </c>
      <c r="S339" t="e">
        <f t="shared" si="22"/>
        <v>#N/A</v>
      </c>
      <c r="T339">
        <f t="shared" si="25"/>
        <v>0.32506000000000002</v>
      </c>
    </row>
    <row r="340" spans="16:20" x14ac:dyDescent="0.3">
      <c r="P340">
        <f t="shared" si="23"/>
        <v>3.37</v>
      </c>
      <c r="Q340">
        <v>-0.63</v>
      </c>
      <c r="R340">
        <f t="shared" si="24"/>
        <v>0.26434999999999997</v>
      </c>
      <c r="S340" t="e">
        <f t="shared" si="22"/>
        <v>#N/A</v>
      </c>
      <c r="T340">
        <f t="shared" si="25"/>
        <v>0.32712999999999998</v>
      </c>
    </row>
    <row r="341" spans="16:20" x14ac:dyDescent="0.3">
      <c r="P341">
        <f t="shared" si="23"/>
        <v>3.38</v>
      </c>
      <c r="Q341">
        <v>-0.62</v>
      </c>
      <c r="R341">
        <f t="shared" si="24"/>
        <v>0.26762999999999998</v>
      </c>
      <c r="S341" t="e">
        <f t="shared" si="22"/>
        <v>#N/A</v>
      </c>
      <c r="T341">
        <f t="shared" si="25"/>
        <v>0.32917999999999997</v>
      </c>
    </row>
    <row r="342" spans="16:20" x14ac:dyDescent="0.3">
      <c r="P342">
        <f t="shared" si="23"/>
        <v>3.39</v>
      </c>
      <c r="Q342">
        <v>-0.61</v>
      </c>
      <c r="R342">
        <f t="shared" si="24"/>
        <v>0.27093</v>
      </c>
      <c r="S342" t="e">
        <f t="shared" si="22"/>
        <v>#N/A</v>
      </c>
      <c r="T342">
        <f t="shared" si="25"/>
        <v>0.33121</v>
      </c>
    </row>
    <row r="343" spans="16:20" x14ac:dyDescent="0.3">
      <c r="P343">
        <f t="shared" si="23"/>
        <v>3.4</v>
      </c>
      <c r="Q343">
        <v>-0.6</v>
      </c>
      <c r="R343">
        <f t="shared" si="24"/>
        <v>0.27424999999999999</v>
      </c>
      <c r="S343">
        <f t="shared" si="22"/>
        <v>0.27424999999999999</v>
      </c>
      <c r="T343">
        <f t="shared" si="25"/>
        <v>0.33322000000000002</v>
      </c>
    </row>
    <row r="344" spans="16:20" x14ac:dyDescent="0.3">
      <c r="P344">
        <f t="shared" si="23"/>
        <v>3.41</v>
      </c>
      <c r="Q344">
        <v>-0.59</v>
      </c>
      <c r="R344">
        <f t="shared" si="24"/>
        <v>0.27760000000000001</v>
      </c>
      <c r="S344" t="e">
        <f t="shared" si="22"/>
        <v>#N/A</v>
      </c>
      <c r="T344">
        <f t="shared" si="25"/>
        <v>0.33521000000000001</v>
      </c>
    </row>
    <row r="345" spans="16:20" x14ac:dyDescent="0.3">
      <c r="P345">
        <f t="shared" si="23"/>
        <v>3.42</v>
      </c>
      <c r="Q345">
        <v>-0.57999999999999996</v>
      </c>
      <c r="R345">
        <f t="shared" si="24"/>
        <v>0.28095999999999999</v>
      </c>
      <c r="S345" t="e">
        <f t="shared" si="22"/>
        <v>#N/A</v>
      </c>
      <c r="T345">
        <f t="shared" si="25"/>
        <v>0.33717999999999998</v>
      </c>
    </row>
    <row r="346" spans="16:20" x14ac:dyDescent="0.3">
      <c r="P346">
        <f t="shared" si="23"/>
        <v>3.43</v>
      </c>
      <c r="Q346">
        <v>-0.56999999999999995</v>
      </c>
      <c r="R346">
        <f t="shared" si="24"/>
        <v>0.28433999999999998</v>
      </c>
      <c r="S346" t="e">
        <f t="shared" si="22"/>
        <v>#N/A</v>
      </c>
      <c r="T346">
        <f t="shared" si="25"/>
        <v>0.33911999999999998</v>
      </c>
    </row>
    <row r="347" spans="16:20" x14ac:dyDescent="0.3">
      <c r="P347">
        <f t="shared" si="23"/>
        <v>3.44</v>
      </c>
      <c r="Q347">
        <v>-0.56000000000000005</v>
      </c>
      <c r="R347">
        <f t="shared" si="24"/>
        <v>0.28774</v>
      </c>
      <c r="S347" t="e">
        <f t="shared" si="22"/>
        <v>#N/A</v>
      </c>
      <c r="T347">
        <f t="shared" si="25"/>
        <v>0.34105000000000002</v>
      </c>
    </row>
    <row r="348" spans="16:20" x14ac:dyDescent="0.3">
      <c r="P348">
        <f t="shared" si="23"/>
        <v>3.45</v>
      </c>
      <c r="Q348">
        <v>-0.55000000000000004</v>
      </c>
      <c r="R348">
        <f t="shared" si="24"/>
        <v>0.29115999999999997</v>
      </c>
      <c r="S348" t="e">
        <f t="shared" si="22"/>
        <v>#N/A</v>
      </c>
      <c r="T348">
        <f t="shared" si="25"/>
        <v>0.34294000000000002</v>
      </c>
    </row>
    <row r="349" spans="16:20" x14ac:dyDescent="0.3">
      <c r="P349">
        <f t="shared" si="23"/>
        <v>3.46</v>
      </c>
      <c r="Q349">
        <v>-0.54</v>
      </c>
      <c r="R349">
        <f t="shared" si="24"/>
        <v>0.29459999999999997</v>
      </c>
      <c r="S349" t="e">
        <f t="shared" si="22"/>
        <v>#N/A</v>
      </c>
      <c r="T349">
        <f t="shared" si="25"/>
        <v>0.34482000000000002</v>
      </c>
    </row>
    <row r="350" spans="16:20" x14ac:dyDescent="0.3">
      <c r="P350">
        <f t="shared" si="23"/>
        <v>3.4699999999999998</v>
      </c>
      <c r="Q350">
        <v>-0.53</v>
      </c>
      <c r="R350">
        <f t="shared" si="24"/>
        <v>0.29805999999999999</v>
      </c>
      <c r="S350">
        <f t="shared" si="22"/>
        <v>0.29805999999999999</v>
      </c>
      <c r="T350">
        <f t="shared" si="25"/>
        <v>0.34666999999999998</v>
      </c>
    </row>
    <row r="351" spans="16:20" x14ac:dyDescent="0.3">
      <c r="P351">
        <f t="shared" si="23"/>
        <v>3.48</v>
      </c>
      <c r="Q351">
        <v>-0.52</v>
      </c>
      <c r="R351">
        <f t="shared" si="24"/>
        <v>0.30153000000000002</v>
      </c>
      <c r="S351" t="e">
        <f t="shared" si="22"/>
        <v>#N/A</v>
      </c>
      <c r="T351">
        <f t="shared" si="25"/>
        <v>0.34849000000000002</v>
      </c>
    </row>
    <row r="352" spans="16:20" x14ac:dyDescent="0.3">
      <c r="P352">
        <f t="shared" si="23"/>
        <v>3.49</v>
      </c>
      <c r="Q352">
        <v>-0.51</v>
      </c>
      <c r="R352">
        <f t="shared" si="24"/>
        <v>0.30503000000000002</v>
      </c>
      <c r="S352" t="e">
        <f t="shared" si="22"/>
        <v>#N/A</v>
      </c>
      <c r="T352">
        <f t="shared" si="25"/>
        <v>0.35028999999999999</v>
      </c>
    </row>
    <row r="353" spans="16:20" x14ac:dyDescent="0.3">
      <c r="P353">
        <f t="shared" si="23"/>
        <v>3.5</v>
      </c>
      <c r="Q353">
        <v>-0.5</v>
      </c>
      <c r="R353">
        <f t="shared" si="24"/>
        <v>0.30853999999999998</v>
      </c>
      <c r="S353" t="e">
        <f t="shared" si="22"/>
        <v>#N/A</v>
      </c>
      <c r="T353">
        <f t="shared" si="25"/>
        <v>0.35206999999999999</v>
      </c>
    </row>
    <row r="354" spans="16:20" x14ac:dyDescent="0.3">
      <c r="P354">
        <f t="shared" si="23"/>
        <v>3.51</v>
      </c>
      <c r="Q354">
        <v>-0.49</v>
      </c>
      <c r="R354">
        <f t="shared" si="24"/>
        <v>0.31207000000000001</v>
      </c>
      <c r="S354" t="e">
        <f t="shared" si="22"/>
        <v>#N/A</v>
      </c>
      <c r="T354">
        <f t="shared" si="25"/>
        <v>0.35381000000000001</v>
      </c>
    </row>
    <row r="355" spans="16:20" x14ac:dyDescent="0.3">
      <c r="P355">
        <f t="shared" si="23"/>
        <v>3.52</v>
      </c>
      <c r="Q355">
        <v>-0.48</v>
      </c>
      <c r="R355">
        <f t="shared" si="24"/>
        <v>0.31561</v>
      </c>
      <c r="S355" t="e">
        <f t="shared" si="22"/>
        <v>#N/A</v>
      </c>
      <c r="T355">
        <f t="shared" si="25"/>
        <v>0.35553000000000001</v>
      </c>
    </row>
    <row r="356" spans="16:20" x14ac:dyDescent="0.3">
      <c r="P356">
        <f t="shared" si="23"/>
        <v>3.5300000000000002</v>
      </c>
      <c r="Q356">
        <v>-0.47</v>
      </c>
      <c r="R356">
        <f t="shared" si="24"/>
        <v>0.31918000000000002</v>
      </c>
      <c r="S356" t="e">
        <f t="shared" si="22"/>
        <v>#N/A</v>
      </c>
      <c r="T356">
        <f t="shared" si="25"/>
        <v>0.35722999999999999</v>
      </c>
    </row>
    <row r="357" spans="16:20" x14ac:dyDescent="0.3">
      <c r="P357">
        <f t="shared" si="23"/>
        <v>3.54</v>
      </c>
      <c r="Q357">
        <v>-0.46</v>
      </c>
      <c r="R357">
        <f t="shared" si="24"/>
        <v>0.32275999999999999</v>
      </c>
      <c r="S357">
        <f t="shared" si="22"/>
        <v>0.32275999999999999</v>
      </c>
      <c r="T357">
        <f t="shared" si="25"/>
        <v>0.35888999999999999</v>
      </c>
    </row>
    <row r="358" spans="16:20" x14ac:dyDescent="0.3">
      <c r="P358">
        <f t="shared" si="23"/>
        <v>3.55</v>
      </c>
      <c r="Q358">
        <v>-0.45</v>
      </c>
      <c r="R358">
        <f t="shared" si="24"/>
        <v>0.32635999999999998</v>
      </c>
      <c r="S358" t="e">
        <f t="shared" si="22"/>
        <v>#N/A</v>
      </c>
      <c r="T358">
        <f t="shared" si="25"/>
        <v>0.36053000000000002</v>
      </c>
    </row>
    <row r="359" spans="16:20" x14ac:dyDescent="0.3">
      <c r="P359">
        <f t="shared" si="23"/>
        <v>3.56</v>
      </c>
      <c r="Q359">
        <v>-0.44</v>
      </c>
      <c r="R359">
        <f t="shared" si="24"/>
        <v>0.32996999999999999</v>
      </c>
      <c r="S359" t="e">
        <f t="shared" si="22"/>
        <v>#N/A</v>
      </c>
      <c r="T359">
        <f t="shared" si="25"/>
        <v>0.36213000000000001</v>
      </c>
    </row>
    <row r="360" spans="16:20" x14ac:dyDescent="0.3">
      <c r="P360">
        <f t="shared" si="23"/>
        <v>3.57</v>
      </c>
      <c r="Q360">
        <v>-0.43</v>
      </c>
      <c r="R360">
        <f t="shared" si="24"/>
        <v>0.33360000000000001</v>
      </c>
      <c r="S360" t="e">
        <f t="shared" si="22"/>
        <v>#N/A</v>
      </c>
      <c r="T360">
        <f t="shared" si="25"/>
        <v>0.36370999999999998</v>
      </c>
    </row>
    <row r="361" spans="16:20" x14ac:dyDescent="0.3">
      <c r="P361">
        <f t="shared" si="23"/>
        <v>3.58</v>
      </c>
      <c r="Q361">
        <v>-0.42</v>
      </c>
      <c r="R361">
        <f t="shared" si="24"/>
        <v>0.33723999999999998</v>
      </c>
      <c r="S361" t="e">
        <f t="shared" si="22"/>
        <v>#N/A</v>
      </c>
      <c r="T361">
        <f t="shared" si="25"/>
        <v>0.36525999999999997</v>
      </c>
    </row>
    <row r="362" spans="16:20" x14ac:dyDescent="0.3">
      <c r="P362">
        <f t="shared" si="23"/>
        <v>3.59</v>
      </c>
      <c r="Q362">
        <v>-0.41</v>
      </c>
      <c r="R362">
        <f t="shared" si="24"/>
        <v>0.34089999999999998</v>
      </c>
      <c r="S362" t="e">
        <f t="shared" si="22"/>
        <v>#N/A</v>
      </c>
      <c r="T362">
        <f t="shared" si="25"/>
        <v>0.36677999999999999</v>
      </c>
    </row>
    <row r="363" spans="16:20" x14ac:dyDescent="0.3">
      <c r="P363">
        <f t="shared" si="23"/>
        <v>3.6</v>
      </c>
      <c r="Q363">
        <v>-0.4</v>
      </c>
      <c r="R363">
        <f t="shared" si="24"/>
        <v>0.34458</v>
      </c>
      <c r="S363" t="e">
        <f t="shared" si="22"/>
        <v>#N/A</v>
      </c>
      <c r="T363">
        <f t="shared" si="25"/>
        <v>0.36826999999999999</v>
      </c>
    </row>
    <row r="364" spans="16:20" x14ac:dyDescent="0.3">
      <c r="P364">
        <f t="shared" si="23"/>
        <v>3.61</v>
      </c>
      <c r="Q364">
        <v>-0.39</v>
      </c>
      <c r="R364">
        <f t="shared" si="24"/>
        <v>0.34827000000000002</v>
      </c>
      <c r="S364">
        <f t="shared" si="22"/>
        <v>0.34827000000000002</v>
      </c>
      <c r="T364">
        <f t="shared" si="25"/>
        <v>0.36973</v>
      </c>
    </row>
    <row r="365" spans="16:20" x14ac:dyDescent="0.3">
      <c r="P365">
        <f t="shared" si="23"/>
        <v>3.62</v>
      </c>
      <c r="Q365">
        <v>-0.38</v>
      </c>
      <c r="R365">
        <f t="shared" si="24"/>
        <v>0.35197000000000001</v>
      </c>
      <c r="S365" t="e">
        <f t="shared" si="22"/>
        <v>#N/A</v>
      </c>
      <c r="T365">
        <f t="shared" si="25"/>
        <v>0.37114999999999998</v>
      </c>
    </row>
    <row r="366" spans="16:20" x14ac:dyDescent="0.3">
      <c r="P366">
        <f t="shared" si="23"/>
        <v>3.63</v>
      </c>
      <c r="Q366">
        <v>-0.37</v>
      </c>
      <c r="R366">
        <f t="shared" si="24"/>
        <v>0.35569000000000001</v>
      </c>
      <c r="S366" t="e">
        <f t="shared" si="22"/>
        <v>#N/A</v>
      </c>
      <c r="T366">
        <f t="shared" si="25"/>
        <v>0.37254999999999999</v>
      </c>
    </row>
    <row r="367" spans="16:20" x14ac:dyDescent="0.3">
      <c r="P367">
        <f t="shared" si="23"/>
        <v>3.64</v>
      </c>
      <c r="Q367">
        <v>-0.36</v>
      </c>
      <c r="R367">
        <f t="shared" si="24"/>
        <v>0.35942000000000002</v>
      </c>
      <c r="S367" t="e">
        <f t="shared" si="22"/>
        <v>#N/A</v>
      </c>
      <c r="T367">
        <f t="shared" si="25"/>
        <v>0.37391000000000002</v>
      </c>
    </row>
    <row r="368" spans="16:20" x14ac:dyDescent="0.3">
      <c r="P368">
        <f t="shared" si="23"/>
        <v>3.65</v>
      </c>
      <c r="Q368">
        <v>-0.35</v>
      </c>
      <c r="R368">
        <f t="shared" si="24"/>
        <v>0.36316999999999999</v>
      </c>
      <c r="S368" t="e">
        <f t="shared" si="22"/>
        <v>#N/A</v>
      </c>
      <c r="T368">
        <f t="shared" si="25"/>
        <v>0.37524000000000002</v>
      </c>
    </row>
    <row r="369" spans="16:20" x14ac:dyDescent="0.3">
      <c r="P369">
        <f t="shared" si="23"/>
        <v>3.66</v>
      </c>
      <c r="Q369">
        <v>-0.34</v>
      </c>
      <c r="R369">
        <f t="shared" si="24"/>
        <v>0.36692999999999998</v>
      </c>
      <c r="S369" t="e">
        <f t="shared" si="22"/>
        <v>#N/A</v>
      </c>
      <c r="T369">
        <f t="shared" si="25"/>
        <v>0.37653999999999999</v>
      </c>
    </row>
    <row r="370" spans="16:20" x14ac:dyDescent="0.3">
      <c r="P370">
        <f t="shared" si="23"/>
        <v>3.67</v>
      </c>
      <c r="Q370">
        <v>-0.33</v>
      </c>
      <c r="R370">
        <f t="shared" si="24"/>
        <v>0.37069999999999997</v>
      </c>
      <c r="S370" t="e">
        <f t="shared" si="22"/>
        <v>#N/A</v>
      </c>
      <c r="T370">
        <f t="shared" si="25"/>
        <v>0.37780000000000002</v>
      </c>
    </row>
    <row r="371" spans="16:20" x14ac:dyDescent="0.3">
      <c r="P371">
        <f t="shared" si="23"/>
        <v>3.68</v>
      </c>
      <c r="Q371">
        <v>-0.32</v>
      </c>
      <c r="R371">
        <f t="shared" si="24"/>
        <v>0.37447999999999998</v>
      </c>
      <c r="S371">
        <f t="shared" si="22"/>
        <v>0.37447999999999998</v>
      </c>
      <c r="T371">
        <f t="shared" si="25"/>
        <v>0.37902999999999998</v>
      </c>
    </row>
    <row r="372" spans="16:20" x14ac:dyDescent="0.3">
      <c r="P372">
        <f t="shared" si="23"/>
        <v>3.69</v>
      </c>
      <c r="Q372">
        <v>-0.31</v>
      </c>
      <c r="R372">
        <f t="shared" si="24"/>
        <v>0.37828000000000001</v>
      </c>
      <c r="S372" t="e">
        <f t="shared" si="22"/>
        <v>#N/A</v>
      </c>
      <c r="T372">
        <f t="shared" si="25"/>
        <v>0.38023000000000001</v>
      </c>
    </row>
    <row r="373" spans="16:20" x14ac:dyDescent="0.3">
      <c r="P373">
        <f t="shared" si="23"/>
        <v>3.7</v>
      </c>
      <c r="Q373">
        <v>-0.3</v>
      </c>
      <c r="R373">
        <f t="shared" si="24"/>
        <v>0.38208999999999999</v>
      </c>
      <c r="S373" t="e">
        <f t="shared" si="22"/>
        <v>#N/A</v>
      </c>
      <c r="T373">
        <f t="shared" si="25"/>
        <v>0.38139000000000001</v>
      </c>
    </row>
    <row r="374" spans="16:20" x14ac:dyDescent="0.3">
      <c r="P374">
        <f t="shared" si="23"/>
        <v>3.71</v>
      </c>
      <c r="Q374">
        <v>-0.28999999999999998</v>
      </c>
      <c r="R374">
        <f t="shared" si="24"/>
        <v>0.38590999999999998</v>
      </c>
      <c r="S374" t="e">
        <f t="shared" si="22"/>
        <v>#N/A</v>
      </c>
      <c r="T374">
        <f t="shared" si="25"/>
        <v>0.38251000000000002</v>
      </c>
    </row>
    <row r="375" spans="16:20" x14ac:dyDescent="0.3">
      <c r="P375">
        <f t="shared" si="23"/>
        <v>3.7199999999999998</v>
      </c>
      <c r="Q375">
        <v>-0.28000000000000003</v>
      </c>
      <c r="R375">
        <f t="shared" si="24"/>
        <v>0.38973999999999998</v>
      </c>
      <c r="S375" t="e">
        <f t="shared" si="22"/>
        <v>#N/A</v>
      </c>
      <c r="T375">
        <f t="shared" si="25"/>
        <v>0.38361000000000001</v>
      </c>
    </row>
    <row r="376" spans="16:20" x14ac:dyDescent="0.3">
      <c r="P376">
        <f t="shared" si="23"/>
        <v>3.73</v>
      </c>
      <c r="Q376">
        <v>-0.27</v>
      </c>
      <c r="R376">
        <f t="shared" si="24"/>
        <v>0.39357999999999999</v>
      </c>
      <c r="S376" t="e">
        <f t="shared" si="22"/>
        <v>#N/A</v>
      </c>
      <c r="T376">
        <f t="shared" si="25"/>
        <v>0.38466</v>
      </c>
    </row>
    <row r="377" spans="16:20" x14ac:dyDescent="0.3">
      <c r="P377">
        <f t="shared" si="23"/>
        <v>3.74</v>
      </c>
      <c r="Q377">
        <v>-0.26</v>
      </c>
      <c r="R377">
        <f t="shared" si="24"/>
        <v>0.39743000000000001</v>
      </c>
      <c r="S377">
        <f t="shared" si="22"/>
        <v>0.39743000000000001</v>
      </c>
      <c r="T377">
        <f t="shared" si="25"/>
        <v>0.38568000000000002</v>
      </c>
    </row>
    <row r="378" spans="16:20" x14ac:dyDescent="0.3">
      <c r="P378">
        <f t="shared" si="23"/>
        <v>3.75</v>
      </c>
      <c r="Q378">
        <v>-0.25</v>
      </c>
      <c r="R378">
        <f t="shared" si="24"/>
        <v>0.40128999999999998</v>
      </c>
      <c r="S378" t="e">
        <f t="shared" si="22"/>
        <v>#N/A</v>
      </c>
      <c r="T378">
        <f t="shared" si="25"/>
        <v>0.38667000000000001</v>
      </c>
    </row>
    <row r="379" spans="16:20" x14ac:dyDescent="0.3">
      <c r="P379">
        <f t="shared" si="23"/>
        <v>3.76</v>
      </c>
      <c r="Q379">
        <v>-0.24</v>
      </c>
      <c r="R379">
        <f t="shared" si="24"/>
        <v>0.40516999999999997</v>
      </c>
      <c r="S379" t="e">
        <f t="shared" si="22"/>
        <v>#N/A</v>
      </c>
      <c r="T379">
        <f t="shared" si="25"/>
        <v>0.38762000000000002</v>
      </c>
    </row>
    <row r="380" spans="16:20" x14ac:dyDescent="0.3">
      <c r="P380">
        <f t="shared" si="23"/>
        <v>3.77</v>
      </c>
      <c r="Q380">
        <v>-0.23</v>
      </c>
      <c r="R380">
        <f t="shared" si="24"/>
        <v>0.40905000000000002</v>
      </c>
      <c r="S380" t="e">
        <f t="shared" si="22"/>
        <v>#N/A</v>
      </c>
      <c r="T380">
        <f t="shared" si="25"/>
        <v>0.38852999999999999</v>
      </c>
    </row>
    <row r="381" spans="16:20" x14ac:dyDescent="0.3">
      <c r="P381">
        <f t="shared" si="23"/>
        <v>3.78</v>
      </c>
      <c r="Q381">
        <v>-0.22</v>
      </c>
      <c r="R381">
        <f t="shared" si="24"/>
        <v>0.41293999999999997</v>
      </c>
      <c r="S381" t="e">
        <f t="shared" si="22"/>
        <v>#N/A</v>
      </c>
      <c r="T381">
        <f t="shared" si="25"/>
        <v>0.38940000000000002</v>
      </c>
    </row>
    <row r="382" spans="16:20" x14ac:dyDescent="0.3">
      <c r="P382">
        <f t="shared" si="23"/>
        <v>3.79</v>
      </c>
      <c r="Q382">
        <v>-0.21</v>
      </c>
      <c r="R382">
        <f t="shared" si="24"/>
        <v>0.41682999999999998</v>
      </c>
      <c r="S382" t="e">
        <f t="shared" si="22"/>
        <v>#N/A</v>
      </c>
      <c r="T382">
        <f t="shared" si="25"/>
        <v>0.39023999999999998</v>
      </c>
    </row>
    <row r="383" spans="16:20" x14ac:dyDescent="0.3">
      <c r="P383">
        <f t="shared" si="23"/>
        <v>3.8</v>
      </c>
      <c r="Q383">
        <v>-0.2</v>
      </c>
      <c r="R383">
        <f t="shared" si="24"/>
        <v>0.42074</v>
      </c>
      <c r="S383" t="e">
        <f t="shared" si="22"/>
        <v>#N/A</v>
      </c>
      <c r="T383">
        <f t="shared" si="25"/>
        <v>0.39104</v>
      </c>
    </row>
    <row r="384" spans="16:20" x14ac:dyDescent="0.3">
      <c r="P384">
        <f t="shared" si="23"/>
        <v>3.81</v>
      </c>
      <c r="Q384">
        <v>-0.19</v>
      </c>
      <c r="R384">
        <f t="shared" si="24"/>
        <v>0.42465000000000003</v>
      </c>
      <c r="S384">
        <f t="shared" si="22"/>
        <v>0.42465000000000003</v>
      </c>
      <c r="T384">
        <f t="shared" si="25"/>
        <v>0.39180999999999999</v>
      </c>
    </row>
    <row r="385" spans="16:20" x14ac:dyDescent="0.3">
      <c r="P385">
        <f t="shared" si="23"/>
        <v>3.82</v>
      </c>
      <c r="Q385">
        <v>-0.18</v>
      </c>
      <c r="R385">
        <f t="shared" si="24"/>
        <v>0.42858000000000002</v>
      </c>
      <c r="S385" t="e">
        <f t="shared" si="22"/>
        <v>#N/A</v>
      </c>
      <c r="T385">
        <f t="shared" si="25"/>
        <v>0.39252999999999999</v>
      </c>
    </row>
    <row r="386" spans="16:20" x14ac:dyDescent="0.3">
      <c r="P386">
        <f t="shared" si="23"/>
        <v>3.83</v>
      </c>
      <c r="Q386">
        <v>-0.17</v>
      </c>
      <c r="R386">
        <f t="shared" si="24"/>
        <v>0.43251000000000001</v>
      </c>
      <c r="S386" t="e">
        <f t="shared" si="22"/>
        <v>#N/A</v>
      </c>
      <c r="T386">
        <f t="shared" si="25"/>
        <v>0.39322000000000001</v>
      </c>
    </row>
    <row r="387" spans="16:20" x14ac:dyDescent="0.3">
      <c r="P387">
        <f t="shared" si="23"/>
        <v>3.84</v>
      </c>
      <c r="Q387">
        <v>-0.16</v>
      </c>
      <c r="R387">
        <f t="shared" si="24"/>
        <v>0.43643999999999999</v>
      </c>
      <c r="S387" t="e">
        <f t="shared" ref="S387:S450" si="26">VLOOKUP(R387,$W$3:$W$42,1,0)</f>
        <v>#N/A</v>
      </c>
      <c r="T387">
        <f t="shared" si="25"/>
        <v>0.39387</v>
      </c>
    </row>
    <row r="388" spans="16:20" x14ac:dyDescent="0.3">
      <c r="P388">
        <f t="shared" ref="P388:P451" si="27">4+(Q388)</f>
        <v>3.85</v>
      </c>
      <c r="Q388">
        <v>-0.15</v>
      </c>
      <c r="R388">
        <f t="shared" ref="R388:R451" si="28">ROUND(_xlfn.NORM.S.DIST(Q388,1),5)</f>
        <v>0.44037999999999999</v>
      </c>
      <c r="S388" t="e">
        <f t="shared" si="26"/>
        <v>#N/A</v>
      </c>
      <c r="T388">
        <f t="shared" ref="T388:T451" si="29">ROUND(_xlfn.NORM.S.DIST(Q388,0),5)</f>
        <v>0.39448</v>
      </c>
    </row>
    <row r="389" spans="16:20" x14ac:dyDescent="0.3">
      <c r="P389">
        <f t="shared" si="27"/>
        <v>3.86</v>
      </c>
      <c r="Q389">
        <v>-0.14000000000000001</v>
      </c>
      <c r="R389">
        <f t="shared" si="28"/>
        <v>0.44433</v>
      </c>
      <c r="S389" t="e">
        <f t="shared" si="26"/>
        <v>#N/A</v>
      </c>
      <c r="T389">
        <f t="shared" si="29"/>
        <v>0.39505000000000001</v>
      </c>
    </row>
    <row r="390" spans="16:20" x14ac:dyDescent="0.3">
      <c r="P390">
        <f t="shared" si="27"/>
        <v>3.87</v>
      </c>
      <c r="Q390">
        <v>-0.13</v>
      </c>
      <c r="R390">
        <f t="shared" si="28"/>
        <v>0.44828000000000001</v>
      </c>
      <c r="S390">
        <f t="shared" si="26"/>
        <v>0.44828000000000001</v>
      </c>
      <c r="T390">
        <f t="shared" si="29"/>
        <v>0.39559</v>
      </c>
    </row>
    <row r="391" spans="16:20" x14ac:dyDescent="0.3">
      <c r="P391">
        <f t="shared" si="27"/>
        <v>3.88</v>
      </c>
      <c r="Q391">
        <v>-0.12</v>
      </c>
      <c r="R391">
        <f t="shared" si="28"/>
        <v>0.45223999999999998</v>
      </c>
      <c r="S391" t="e">
        <f t="shared" si="26"/>
        <v>#N/A</v>
      </c>
      <c r="T391">
        <f t="shared" si="29"/>
        <v>0.39607999999999999</v>
      </c>
    </row>
    <row r="392" spans="16:20" x14ac:dyDescent="0.3">
      <c r="P392">
        <f t="shared" si="27"/>
        <v>3.89</v>
      </c>
      <c r="Q392">
        <v>-0.11</v>
      </c>
      <c r="R392">
        <f t="shared" si="28"/>
        <v>0.45619999999999999</v>
      </c>
      <c r="S392" t="e">
        <f t="shared" si="26"/>
        <v>#N/A</v>
      </c>
      <c r="T392">
        <f t="shared" si="29"/>
        <v>0.39654</v>
      </c>
    </row>
    <row r="393" spans="16:20" x14ac:dyDescent="0.3">
      <c r="P393">
        <f t="shared" si="27"/>
        <v>3.9</v>
      </c>
      <c r="Q393">
        <v>-0.1</v>
      </c>
      <c r="R393">
        <f t="shared" si="28"/>
        <v>0.46017000000000002</v>
      </c>
      <c r="S393" t="e">
        <f t="shared" si="26"/>
        <v>#N/A</v>
      </c>
      <c r="T393">
        <f t="shared" si="29"/>
        <v>0.39695000000000003</v>
      </c>
    </row>
    <row r="394" spans="16:20" x14ac:dyDescent="0.3">
      <c r="P394">
        <f t="shared" si="27"/>
        <v>3.91</v>
      </c>
      <c r="Q394">
        <v>-0.09</v>
      </c>
      <c r="R394">
        <f t="shared" si="28"/>
        <v>0.46414</v>
      </c>
      <c r="S394" t="e">
        <f t="shared" si="26"/>
        <v>#N/A</v>
      </c>
      <c r="T394">
        <f t="shared" si="29"/>
        <v>0.39733000000000002</v>
      </c>
    </row>
    <row r="395" spans="16:20" x14ac:dyDescent="0.3">
      <c r="P395">
        <f t="shared" si="27"/>
        <v>3.92</v>
      </c>
      <c r="Q395">
        <v>-0.08</v>
      </c>
      <c r="R395">
        <f t="shared" si="28"/>
        <v>0.46811999999999998</v>
      </c>
      <c r="S395" t="e">
        <f t="shared" si="26"/>
        <v>#N/A</v>
      </c>
      <c r="T395">
        <f t="shared" si="29"/>
        <v>0.39767000000000002</v>
      </c>
    </row>
    <row r="396" spans="16:20" x14ac:dyDescent="0.3">
      <c r="P396">
        <f t="shared" si="27"/>
        <v>3.93</v>
      </c>
      <c r="Q396">
        <v>-7.0000000000000007E-2</v>
      </c>
      <c r="R396">
        <f t="shared" si="28"/>
        <v>0.47210000000000002</v>
      </c>
      <c r="S396">
        <f t="shared" si="26"/>
        <v>0.47210000000000002</v>
      </c>
      <c r="T396">
        <f t="shared" si="29"/>
        <v>0.39796999999999999</v>
      </c>
    </row>
    <row r="397" spans="16:20" x14ac:dyDescent="0.3">
      <c r="P397">
        <f t="shared" si="27"/>
        <v>3.94</v>
      </c>
      <c r="Q397">
        <v>-0.06</v>
      </c>
      <c r="R397">
        <f t="shared" si="28"/>
        <v>0.47608</v>
      </c>
      <c r="S397" t="e">
        <f t="shared" si="26"/>
        <v>#N/A</v>
      </c>
      <c r="T397">
        <f t="shared" si="29"/>
        <v>0.39822000000000002</v>
      </c>
    </row>
    <row r="398" spans="16:20" x14ac:dyDescent="0.3">
      <c r="P398">
        <f t="shared" si="27"/>
        <v>3.95</v>
      </c>
      <c r="Q398">
        <v>-0.05</v>
      </c>
      <c r="R398">
        <f t="shared" si="28"/>
        <v>0.48005999999999999</v>
      </c>
      <c r="S398" t="e">
        <f t="shared" si="26"/>
        <v>#N/A</v>
      </c>
      <c r="T398">
        <f t="shared" si="29"/>
        <v>0.39844000000000002</v>
      </c>
    </row>
    <row r="399" spans="16:20" x14ac:dyDescent="0.3">
      <c r="P399">
        <f t="shared" si="27"/>
        <v>3.96</v>
      </c>
      <c r="Q399">
        <v>-0.04</v>
      </c>
      <c r="R399">
        <f t="shared" si="28"/>
        <v>0.48404999999999998</v>
      </c>
      <c r="S399" t="e">
        <f t="shared" si="26"/>
        <v>#N/A</v>
      </c>
      <c r="T399">
        <f t="shared" si="29"/>
        <v>0.39861999999999997</v>
      </c>
    </row>
    <row r="400" spans="16:20" x14ac:dyDescent="0.3">
      <c r="P400">
        <f t="shared" si="27"/>
        <v>3.97</v>
      </c>
      <c r="Q400">
        <v>-0.03</v>
      </c>
      <c r="R400">
        <f t="shared" si="28"/>
        <v>0.48803000000000002</v>
      </c>
      <c r="S400" t="e">
        <f t="shared" si="26"/>
        <v>#N/A</v>
      </c>
      <c r="T400">
        <f t="shared" si="29"/>
        <v>0.39876</v>
      </c>
    </row>
    <row r="401" spans="16:20" x14ac:dyDescent="0.3">
      <c r="P401">
        <f t="shared" si="27"/>
        <v>3.98</v>
      </c>
      <c r="Q401">
        <v>-0.02</v>
      </c>
      <c r="R401">
        <f t="shared" si="28"/>
        <v>0.49202000000000001</v>
      </c>
      <c r="S401" t="e">
        <f t="shared" si="26"/>
        <v>#N/A</v>
      </c>
      <c r="T401">
        <f t="shared" si="29"/>
        <v>0.39885999999999999</v>
      </c>
    </row>
    <row r="402" spans="16:20" x14ac:dyDescent="0.3">
      <c r="P402">
        <f t="shared" si="27"/>
        <v>3.99</v>
      </c>
      <c r="Q402">
        <v>-0.01</v>
      </c>
      <c r="R402">
        <f t="shared" si="28"/>
        <v>0.49601000000000001</v>
      </c>
      <c r="S402" t="e">
        <f t="shared" si="26"/>
        <v>#N/A</v>
      </c>
      <c r="T402">
        <f t="shared" si="29"/>
        <v>0.39892</v>
      </c>
    </row>
    <row r="403" spans="16:20" x14ac:dyDescent="0.3">
      <c r="P403">
        <f t="shared" si="27"/>
        <v>4</v>
      </c>
      <c r="Q403">
        <v>0</v>
      </c>
      <c r="R403">
        <f t="shared" si="28"/>
        <v>0.5</v>
      </c>
      <c r="S403">
        <f t="shared" si="26"/>
        <v>0.5</v>
      </c>
      <c r="T403">
        <f t="shared" si="29"/>
        <v>0.39894000000000002</v>
      </c>
    </row>
    <row r="404" spans="16:20" x14ac:dyDescent="0.3">
      <c r="P404">
        <f t="shared" si="27"/>
        <v>4.01</v>
      </c>
      <c r="Q404">
        <v>0.01</v>
      </c>
      <c r="R404">
        <f t="shared" si="28"/>
        <v>0.50399000000000005</v>
      </c>
      <c r="S404" t="e">
        <f t="shared" si="26"/>
        <v>#N/A</v>
      </c>
      <c r="T404">
        <f t="shared" si="29"/>
        <v>0.39892</v>
      </c>
    </row>
    <row r="405" spans="16:20" x14ac:dyDescent="0.3">
      <c r="P405">
        <f t="shared" si="27"/>
        <v>4.0199999999999996</v>
      </c>
      <c r="Q405">
        <v>0.02</v>
      </c>
      <c r="R405">
        <f t="shared" si="28"/>
        <v>0.50797999999999999</v>
      </c>
      <c r="S405" t="e">
        <f t="shared" si="26"/>
        <v>#N/A</v>
      </c>
      <c r="T405">
        <f t="shared" si="29"/>
        <v>0.39885999999999999</v>
      </c>
    </row>
    <row r="406" spans="16:20" x14ac:dyDescent="0.3">
      <c r="P406">
        <f t="shared" si="27"/>
        <v>4.03</v>
      </c>
      <c r="Q406">
        <v>0.03</v>
      </c>
      <c r="R406">
        <f t="shared" si="28"/>
        <v>0.51197000000000004</v>
      </c>
      <c r="S406" t="e">
        <f t="shared" si="26"/>
        <v>#N/A</v>
      </c>
      <c r="T406">
        <f t="shared" si="29"/>
        <v>0.39876</v>
      </c>
    </row>
    <row r="407" spans="16:20" x14ac:dyDescent="0.3">
      <c r="P407">
        <f t="shared" si="27"/>
        <v>4.04</v>
      </c>
      <c r="Q407">
        <v>0.04</v>
      </c>
      <c r="R407">
        <f t="shared" si="28"/>
        <v>0.51595000000000002</v>
      </c>
      <c r="S407" t="e">
        <f t="shared" si="26"/>
        <v>#N/A</v>
      </c>
      <c r="T407">
        <f t="shared" si="29"/>
        <v>0.39861999999999997</v>
      </c>
    </row>
    <row r="408" spans="16:20" x14ac:dyDescent="0.3">
      <c r="P408">
        <f t="shared" si="27"/>
        <v>4.05</v>
      </c>
      <c r="Q408">
        <v>0.05</v>
      </c>
      <c r="R408">
        <f t="shared" si="28"/>
        <v>0.51993999999999996</v>
      </c>
      <c r="S408" t="e">
        <f t="shared" si="26"/>
        <v>#N/A</v>
      </c>
      <c r="T408">
        <f t="shared" si="29"/>
        <v>0.39844000000000002</v>
      </c>
    </row>
    <row r="409" spans="16:20" x14ac:dyDescent="0.3">
      <c r="P409">
        <f t="shared" si="27"/>
        <v>4.0599999999999996</v>
      </c>
      <c r="Q409">
        <v>0.06</v>
      </c>
      <c r="R409">
        <f t="shared" si="28"/>
        <v>0.52392000000000005</v>
      </c>
      <c r="S409">
        <f t="shared" si="26"/>
        <v>0.52392000000000005</v>
      </c>
      <c r="T409">
        <f t="shared" si="29"/>
        <v>0.39822000000000002</v>
      </c>
    </row>
    <row r="410" spans="16:20" x14ac:dyDescent="0.3">
      <c r="P410">
        <f t="shared" si="27"/>
        <v>4.07</v>
      </c>
      <c r="Q410">
        <v>7.0000000000000007E-2</v>
      </c>
      <c r="R410">
        <f t="shared" si="28"/>
        <v>0.52790000000000004</v>
      </c>
      <c r="S410" t="e">
        <f t="shared" si="26"/>
        <v>#N/A</v>
      </c>
      <c r="T410">
        <f t="shared" si="29"/>
        <v>0.39796999999999999</v>
      </c>
    </row>
    <row r="411" spans="16:20" x14ac:dyDescent="0.3">
      <c r="P411">
        <f t="shared" si="27"/>
        <v>4.08</v>
      </c>
      <c r="Q411">
        <v>0.08</v>
      </c>
      <c r="R411">
        <f t="shared" si="28"/>
        <v>0.53188000000000002</v>
      </c>
      <c r="S411" t="e">
        <f t="shared" si="26"/>
        <v>#N/A</v>
      </c>
      <c r="T411">
        <f t="shared" si="29"/>
        <v>0.39767000000000002</v>
      </c>
    </row>
    <row r="412" spans="16:20" x14ac:dyDescent="0.3">
      <c r="P412">
        <f t="shared" si="27"/>
        <v>4.09</v>
      </c>
      <c r="Q412">
        <v>0.09</v>
      </c>
      <c r="R412">
        <f t="shared" si="28"/>
        <v>0.53586</v>
      </c>
      <c r="S412" t="e">
        <f t="shared" si="26"/>
        <v>#N/A</v>
      </c>
      <c r="T412">
        <f t="shared" si="29"/>
        <v>0.39733000000000002</v>
      </c>
    </row>
    <row r="413" spans="16:20" x14ac:dyDescent="0.3">
      <c r="P413">
        <f t="shared" si="27"/>
        <v>4.0999999999999996</v>
      </c>
      <c r="Q413">
        <v>0.1</v>
      </c>
      <c r="R413">
        <f t="shared" si="28"/>
        <v>0.53983000000000003</v>
      </c>
      <c r="S413" t="e">
        <f t="shared" si="26"/>
        <v>#N/A</v>
      </c>
      <c r="T413">
        <f t="shared" si="29"/>
        <v>0.39695000000000003</v>
      </c>
    </row>
    <row r="414" spans="16:20" x14ac:dyDescent="0.3">
      <c r="P414">
        <f t="shared" si="27"/>
        <v>4.1100000000000003</v>
      </c>
      <c r="Q414">
        <v>0.11</v>
      </c>
      <c r="R414">
        <f t="shared" si="28"/>
        <v>0.54379999999999995</v>
      </c>
      <c r="S414" t="e">
        <f t="shared" si="26"/>
        <v>#N/A</v>
      </c>
      <c r="T414">
        <f t="shared" si="29"/>
        <v>0.39654</v>
      </c>
    </row>
    <row r="415" spans="16:20" x14ac:dyDescent="0.3">
      <c r="P415">
        <f t="shared" si="27"/>
        <v>4.12</v>
      </c>
      <c r="Q415">
        <v>0.12</v>
      </c>
      <c r="R415">
        <f t="shared" si="28"/>
        <v>0.54776000000000002</v>
      </c>
      <c r="S415">
        <f t="shared" si="26"/>
        <v>0.54776000000000002</v>
      </c>
      <c r="T415">
        <f t="shared" si="29"/>
        <v>0.39607999999999999</v>
      </c>
    </row>
    <row r="416" spans="16:20" x14ac:dyDescent="0.3">
      <c r="P416">
        <f t="shared" si="27"/>
        <v>4.13</v>
      </c>
      <c r="Q416">
        <v>0.13</v>
      </c>
      <c r="R416">
        <f t="shared" si="28"/>
        <v>0.55171999999999999</v>
      </c>
      <c r="S416" t="e">
        <f t="shared" si="26"/>
        <v>#N/A</v>
      </c>
      <c r="T416">
        <f t="shared" si="29"/>
        <v>0.39559</v>
      </c>
    </row>
    <row r="417" spans="16:20" x14ac:dyDescent="0.3">
      <c r="P417">
        <f t="shared" si="27"/>
        <v>4.1399999999999997</v>
      </c>
      <c r="Q417">
        <v>0.14000000000000001</v>
      </c>
      <c r="R417">
        <f t="shared" si="28"/>
        <v>0.55567</v>
      </c>
      <c r="S417" t="e">
        <f t="shared" si="26"/>
        <v>#N/A</v>
      </c>
      <c r="T417">
        <f t="shared" si="29"/>
        <v>0.39505000000000001</v>
      </c>
    </row>
    <row r="418" spans="16:20" x14ac:dyDescent="0.3">
      <c r="P418">
        <f t="shared" si="27"/>
        <v>4.1500000000000004</v>
      </c>
      <c r="Q418">
        <v>0.15</v>
      </c>
      <c r="R418">
        <f t="shared" si="28"/>
        <v>0.55962000000000001</v>
      </c>
      <c r="S418" t="e">
        <f t="shared" si="26"/>
        <v>#N/A</v>
      </c>
      <c r="T418">
        <f t="shared" si="29"/>
        <v>0.39448</v>
      </c>
    </row>
    <row r="419" spans="16:20" x14ac:dyDescent="0.3">
      <c r="P419">
        <f t="shared" si="27"/>
        <v>4.16</v>
      </c>
      <c r="Q419">
        <v>0.16</v>
      </c>
      <c r="R419">
        <f t="shared" si="28"/>
        <v>0.56355999999999995</v>
      </c>
      <c r="S419" t="e">
        <f t="shared" si="26"/>
        <v>#N/A</v>
      </c>
      <c r="T419">
        <f t="shared" si="29"/>
        <v>0.39387</v>
      </c>
    </row>
    <row r="420" spans="16:20" x14ac:dyDescent="0.3">
      <c r="P420">
        <f t="shared" si="27"/>
        <v>4.17</v>
      </c>
      <c r="Q420">
        <v>0.17</v>
      </c>
      <c r="R420">
        <f t="shared" si="28"/>
        <v>0.56749000000000005</v>
      </c>
      <c r="S420" t="e">
        <f t="shared" si="26"/>
        <v>#N/A</v>
      </c>
      <c r="T420">
        <f t="shared" si="29"/>
        <v>0.39322000000000001</v>
      </c>
    </row>
    <row r="421" spans="16:20" x14ac:dyDescent="0.3">
      <c r="P421">
        <f t="shared" si="27"/>
        <v>4.18</v>
      </c>
      <c r="Q421">
        <v>0.18</v>
      </c>
      <c r="R421">
        <f t="shared" si="28"/>
        <v>0.57142000000000004</v>
      </c>
      <c r="S421">
        <f t="shared" si="26"/>
        <v>0.57142000000000004</v>
      </c>
      <c r="T421">
        <f t="shared" si="29"/>
        <v>0.39252999999999999</v>
      </c>
    </row>
    <row r="422" spans="16:20" x14ac:dyDescent="0.3">
      <c r="P422">
        <f t="shared" si="27"/>
        <v>4.1900000000000004</v>
      </c>
      <c r="Q422">
        <v>0.19</v>
      </c>
      <c r="R422">
        <f t="shared" si="28"/>
        <v>0.57535000000000003</v>
      </c>
      <c r="S422" t="e">
        <f t="shared" si="26"/>
        <v>#N/A</v>
      </c>
      <c r="T422">
        <f t="shared" si="29"/>
        <v>0.39180999999999999</v>
      </c>
    </row>
    <row r="423" spans="16:20" x14ac:dyDescent="0.3">
      <c r="P423">
        <f t="shared" si="27"/>
        <v>4.2</v>
      </c>
      <c r="Q423">
        <v>0.2</v>
      </c>
      <c r="R423">
        <f t="shared" si="28"/>
        <v>0.57926</v>
      </c>
      <c r="S423" t="e">
        <f t="shared" si="26"/>
        <v>#N/A</v>
      </c>
      <c r="T423">
        <f t="shared" si="29"/>
        <v>0.39104</v>
      </c>
    </row>
    <row r="424" spans="16:20" x14ac:dyDescent="0.3">
      <c r="P424">
        <f t="shared" si="27"/>
        <v>4.21</v>
      </c>
      <c r="Q424">
        <v>0.21</v>
      </c>
      <c r="R424">
        <f t="shared" si="28"/>
        <v>0.58316999999999997</v>
      </c>
      <c r="S424" t="e">
        <f t="shared" si="26"/>
        <v>#N/A</v>
      </c>
      <c r="T424">
        <f t="shared" si="29"/>
        <v>0.39023999999999998</v>
      </c>
    </row>
    <row r="425" spans="16:20" x14ac:dyDescent="0.3">
      <c r="P425">
        <f t="shared" si="27"/>
        <v>4.22</v>
      </c>
      <c r="Q425">
        <v>0.22</v>
      </c>
      <c r="R425">
        <f t="shared" si="28"/>
        <v>0.58706000000000003</v>
      </c>
      <c r="S425" t="e">
        <f t="shared" si="26"/>
        <v>#N/A</v>
      </c>
      <c r="T425">
        <f t="shared" si="29"/>
        <v>0.38940000000000002</v>
      </c>
    </row>
    <row r="426" spans="16:20" x14ac:dyDescent="0.3">
      <c r="P426">
        <f t="shared" si="27"/>
        <v>4.2300000000000004</v>
      </c>
      <c r="Q426">
        <v>0.23</v>
      </c>
      <c r="R426">
        <f t="shared" si="28"/>
        <v>0.59094999999999998</v>
      </c>
      <c r="S426" t="e">
        <f t="shared" si="26"/>
        <v>#N/A</v>
      </c>
      <c r="T426">
        <f t="shared" si="29"/>
        <v>0.38852999999999999</v>
      </c>
    </row>
    <row r="427" spans="16:20" x14ac:dyDescent="0.3">
      <c r="P427">
        <f t="shared" si="27"/>
        <v>4.24</v>
      </c>
      <c r="Q427">
        <v>0.24</v>
      </c>
      <c r="R427">
        <f t="shared" si="28"/>
        <v>0.59482999999999997</v>
      </c>
      <c r="S427" t="e">
        <f t="shared" si="26"/>
        <v>#N/A</v>
      </c>
      <c r="T427">
        <f t="shared" si="29"/>
        <v>0.38762000000000002</v>
      </c>
    </row>
    <row r="428" spans="16:20" x14ac:dyDescent="0.3">
      <c r="P428">
        <f t="shared" si="27"/>
        <v>4.25</v>
      </c>
      <c r="Q428">
        <v>0.25</v>
      </c>
      <c r="R428">
        <f t="shared" si="28"/>
        <v>0.59870999999999996</v>
      </c>
      <c r="S428">
        <f t="shared" si="26"/>
        <v>0.59870999999999996</v>
      </c>
      <c r="T428">
        <f t="shared" si="29"/>
        <v>0.38667000000000001</v>
      </c>
    </row>
    <row r="429" spans="16:20" x14ac:dyDescent="0.3">
      <c r="P429">
        <f t="shared" si="27"/>
        <v>4.26</v>
      </c>
      <c r="Q429">
        <v>0.26</v>
      </c>
      <c r="R429">
        <f t="shared" si="28"/>
        <v>0.60257000000000005</v>
      </c>
      <c r="S429" t="e">
        <f t="shared" si="26"/>
        <v>#N/A</v>
      </c>
      <c r="T429">
        <f t="shared" si="29"/>
        <v>0.38568000000000002</v>
      </c>
    </row>
    <row r="430" spans="16:20" x14ac:dyDescent="0.3">
      <c r="P430">
        <f t="shared" si="27"/>
        <v>4.2699999999999996</v>
      </c>
      <c r="Q430">
        <v>0.27</v>
      </c>
      <c r="R430">
        <f t="shared" si="28"/>
        <v>0.60641999999999996</v>
      </c>
      <c r="S430" t="e">
        <f t="shared" si="26"/>
        <v>#N/A</v>
      </c>
      <c r="T430">
        <f t="shared" si="29"/>
        <v>0.38466</v>
      </c>
    </row>
    <row r="431" spans="16:20" x14ac:dyDescent="0.3">
      <c r="P431">
        <f t="shared" si="27"/>
        <v>4.28</v>
      </c>
      <c r="Q431">
        <v>0.28000000000000003</v>
      </c>
      <c r="R431">
        <f t="shared" si="28"/>
        <v>0.61026000000000002</v>
      </c>
      <c r="S431" t="e">
        <f t="shared" si="26"/>
        <v>#N/A</v>
      </c>
      <c r="T431">
        <f t="shared" si="29"/>
        <v>0.38361000000000001</v>
      </c>
    </row>
    <row r="432" spans="16:20" x14ac:dyDescent="0.3">
      <c r="P432">
        <f t="shared" si="27"/>
        <v>4.29</v>
      </c>
      <c r="Q432">
        <v>0.28999999999999998</v>
      </c>
      <c r="R432">
        <f t="shared" si="28"/>
        <v>0.61409000000000002</v>
      </c>
      <c r="S432" t="e">
        <f t="shared" si="26"/>
        <v>#N/A</v>
      </c>
      <c r="T432">
        <f t="shared" si="29"/>
        <v>0.38251000000000002</v>
      </c>
    </row>
    <row r="433" spans="16:20" x14ac:dyDescent="0.3">
      <c r="P433">
        <f t="shared" si="27"/>
        <v>4.3</v>
      </c>
      <c r="Q433">
        <v>0.3</v>
      </c>
      <c r="R433">
        <f t="shared" si="28"/>
        <v>0.61790999999999996</v>
      </c>
      <c r="S433" t="e">
        <f t="shared" si="26"/>
        <v>#N/A</v>
      </c>
      <c r="T433">
        <f t="shared" si="29"/>
        <v>0.38139000000000001</v>
      </c>
    </row>
    <row r="434" spans="16:20" x14ac:dyDescent="0.3">
      <c r="P434">
        <f t="shared" si="27"/>
        <v>4.3099999999999996</v>
      </c>
      <c r="Q434">
        <v>0.31</v>
      </c>
      <c r="R434">
        <f t="shared" si="28"/>
        <v>0.62172000000000005</v>
      </c>
      <c r="S434">
        <f t="shared" si="26"/>
        <v>0.62172000000000005</v>
      </c>
      <c r="T434">
        <f t="shared" si="29"/>
        <v>0.38023000000000001</v>
      </c>
    </row>
    <row r="435" spans="16:20" x14ac:dyDescent="0.3">
      <c r="P435">
        <f t="shared" si="27"/>
        <v>4.32</v>
      </c>
      <c r="Q435">
        <v>0.32</v>
      </c>
      <c r="R435">
        <f t="shared" si="28"/>
        <v>0.62551999999999996</v>
      </c>
      <c r="S435" t="e">
        <f t="shared" si="26"/>
        <v>#N/A</v>
      </c>
      <c r="T435">
        <f t="shared" si="29"/>
        <v>0.37902999999999998</v>
      </c>
    </row>
    <row r="436" spans="16:20" x14ac:dyDescent="0.3">
      <c r="P436">
        <f t="shared" si="27"/>
        <v>4.33</v>
      </c>
      <c r="Q436">
        <v>0.33</v>
      </c>
      <c r="R436">
        <f t="shared" si="28"/>
        <v>0.62929999999999997</v>
      </c>
      <c r="S436" t="e">
        <f t="shared" si="26"/>
        <v>#N/A</v>
      </c>
      <c r="T436">
        <f t="shared" si="29"/>
        <v>0.37780000000000002</v>
      </c>
    </row>
    <row r="437" spans="16:20" x14ac:dyDescent="0.3">
      <c r="P437">
        <f t="shared" si="27"/>
        <v>4.34</v>
      </c>
      <c r="Q437">
        <v>0.34</v>
      </c>
      <c r="R437">
        <f t="shared" si="28"/>
        <v>0.63307000000000002</v>
      </c>
      <c r="S437" t="e">
        <f t="shared" si="26"/>
        <v>#N/A</v>
      </c>
      <c r="T437">
        <f t="shared" si="29"/>
        <v>0.37653999999999999</v>
      </c>
    </row>
    <row r="438" spans="16:20" x14ac:dyDescent="0.3">
      <c r="P438">
        <f t="shared" si="27"/>
        <v>4.3499999999999996</v>
      </c>
      <c r="Q438">
        <v>0.35</v>
      </c>
      <c r="R438">
        <f t="shared" si="28"/>
        <v>0.63683000000000001</v>
      </c>
      <c r="S438" t="e">
        <f t="shared" si="26"/>
        <v>#N/A</v>
      </c>
      <c r="T438">
        <f t="shared" si="29"/>
        <v>0.37524000000000002</v>
      </c>
    </row>
    <row r="439" spans="16:20" x14ac:dyDescent="0.3">
      <c r="P439">
        <f t="shared" si="27"/>
        <v>4.3600000000000003</v>
      </c>
      <c r="Q439">
        <v>0.36</v>
      </c>
      <c r="R439">
        <f t="shared" si="28"/>
        <v>0.64058000000000004</v>
      </c>
      <c r="S439" t="e">
        <f t="shared" si="26"/>
        <v>#N/A</v>
      </c>
      <c r="T439">
        <f t="shared" si="29"/>
        <v>0.37391000000000002</v>
      </c>
    </row>
    <row r="440" spans="16:20" x14ac:dyDescent="0.3">
      <c r="P440">
        <f t="shared" si="27"/>
        <v>4.37</v>
      </c>
      <c r="Q440">
        <v>0.37</v>
      </c>
      <c r="R440">
        <f t="shared" si="28"/>
        <v>0.64431000000000005</v>
      </c>
      <c r="S440" t="e">
        <f t="shared" si="26"/>
        <v>#N/A</v>
      </c>
      <c r="T440">
        <f t="shared" si="29"/>
        <v>0.37254999999999999</v>
      </c>
    </row>
    <row r="441" spans="16:20" x14ac:dyDescent="0.3">
      <c r="P441">
        <f t="shared" si="27"/>
        <v>4.38</v>
      </c>
      <c r="Q441">
        <v>0.38</v>
      </c>
      <c r="R441">
        <f t="shared" si="28"/>
        <v>0.64802999999999999</v>
      </c>
      <c r="S441">
        <f t="shared" si="26"/>
        <v>0.64802999999999999</v>
      </c>
      <c r="T441">
        <f t="shared" si="29"/>
        <v>0.37114999999999998</v>
      </c>
    </row>
    <row r="442" spans="16:20" x14ac:dyDescent="0.3">
      <c r="P442">
        <f t="shared" si="27"/>
        <v>4.3899999999999997</v>
      </c>
      <c r="Q442">
        <v>0.39</v>
      </c>
      <c r="R442">
        <f t="shared" si="28"/>
        <v>0.65173000000000003</v>
      </c>
      <c r="S442" t="e">
        <f t="shared" si="26"/>
        <v>#N/A</v>
      </c>
      <c r="T442">
        <f t="shared" si="29"/>
        <v>0.36973</v>
      </c>
    </row>
    <row r="443" spans="16:20" x14ac:dyDescent="0.3">
      <c r="P443">
        <f t="shared" si="27"/>
        <v>4.4000000000000004</v>
      </c>
      <c r="Q443">
        <v>0.4</v>
      </c>
      <c r="R443">
        <f t="shared" si="28"/>
        <v>0.65542</v>
      </c>
      <c r="S443" t="e">
        <f t="shared" si="26"/>
        <v>#N/A</v>
      </c>
      <c r="T443">
        <f t="shared" si="29"/>
        <v>0.36826999999999999</v>
      </c>
    </row>
    <row r="444" spans="16:20" x14ac:dyDescent="0.3">
      <c r="P444">
        <f t="shared" si="27"/>
        <v>4.41</v>
      </c>
      <c r="Q444">
        <v>0.41</v>
      </c>
      <c r="R444">
        <f t="shared" si="28"/>
        <v>0.65910000000000002</v>
      </c>
      <c r="S444" t="e">
        <f t="shared" si="26"/>
        <v>#N/A</v>
      </c>
      <c r="T444">
        <f t="shared" si="29"/>
        <v>0.36677999999999999</v>
      </c>
    </row>
    <row r="445" spans="16:20" x14ac:dyDescent="0.3">
      <c r="P445">
        <f t="shared" si="27"/>
        <v>4.42</v>
      </c>
      <c r="Q445">
        <v>0.42</v>
      </c>
      <c r="R445">
        <f t="shared" si="28"/>
        <v>0.66276000000000002</v>
      </c>
      <c r="S445" t="e">
        <f t="shared" si="26"/>
        <v>#N/A</v>
      </c>
      <c r="T445">
        <f t="shared" si="29"/>
        <v>0.36525999999999997</v>
      </c>
    </row>
    <row r="446" spans="16:20" x14ac:dyDescent="0.3">
      <c r="P446">
        <f t="shared" si="27"/>
        <v>4.43</v>
      </c>
      <c r="Q446">
        <v>0.43</v>
      </c>
      <c r="R446">
        <f t="shared" si="28"/>
        <v>0.66639999999999999</v>
      </c>
      <c r="S446" t="e">
        <f t="shared" si="26"/>
        <v>#N/A</v>
      </c>
      <c r="T446">
        <f t="shared" si="29"/>
        <v>0.36370999999999998</v>
      </c>
    </row>
    <row r="447" spans="16:20" x14ac:dyDescent="0.3">
      <c r="P447">
        <f t="shared" si="27"/>
        <v>4.4400000000000004</v>
      </c>
      <c r="Q447">
        <v>0.44</v>
      </c>
      <c r="R447">
        <f t="shared" si="28"/>
        <v>0.67003000000000001</v>
      </c>
      <c r="S447" t="e">
        <f t="shared" si="26"/>
        <v>#N/A</v>
      </c>
      <c r="T447">
        <f t="shared" si="29"/>
        <v>0.36213000000000001</v>
      </c>
    </row>
    <row r="448" spans="16:20" x14ac:dyDescent="0.3">
      <c r="P448">
        <f t="shared" si="27"/>
        <v>4.45</v>
      </c>
      <c r="Q448">
        <v>0.45</v>
      </c>
      <c r="R448">
        <f t="shared" si="28"/>
        <v>0.67364000000000002</v>
      </c>
      <c r="S448">
        <f t="shared" si="26"/>
        <v>0.67364000000000002</v>
      </c>
      <c r="T448">
        <f t="shared" si="29"/>
        <v>0.36053000000000002</v>
      </c>
    </row>
    <row r="449" spans="16:20" x14ac:dyDescent="0.3">
      <c r="P449">
        <f t="shared" si="27"/>
        <v>4.46</v>
      </c>
      <c r="Q449">
        <v>0.46</v>
      </c>
      <c r="R449">
        <f t="shared" si="28"/>
        <v>0.67723999999999995</v>
      </c>
      <c r="S449" t="e">
        <f t="shared" si="26"/>
        <v>#N/A</v>
      </c>
      <c r="T449">
        <f t="shared" si="29"/>
        <v>0.35888999999999999</v>
      </c>
    </row>
    <row r="450" spans="16:20" x14ac:dyDescent="0.3">
      <c r="P450">
        <f t="shared" si="27"/>
        <v>4.47</v>
      </c>
      <c r="Q450">
        <v>0.47</v>
      </c>
      <c r="R450">
        <f t="shared" si="28"/>
        <v>0.68081999999999998</v>
      </c>
      <c r="S450" t="e">
        <f t="shared" si="26"/>
        <v>#N/A</v>
      </c>
      <c r="T450">
        <f t="shared" si="29"/>
        <v>0.35722999999999999</v>
      </c>
    </row>
    <row r="451" spans="16:20" x14ac:dyDescent="0.3">
      <c r="P451">
        <f t="shared" si="27"/>
        <v>4.4800000000000004</v>
      </c>
      <c r="Q451">
        <v>0.48</v>
      </c>
      <c r="R451">
        <f t="shared" si="28"/>
        <v>0.68439000000000005</v>
      </c>
      <c r="S451" t="e">
        <f t="shared" ref="S451:S514" si="30">VLOOKUP(R451,$W$3:$W$42,1,0)</f>
        <v>#N/A</v>
      </c>
      <c r="T451">
        <f t="shared" si="29"/>
        <v>0.35553000000000001</v>
      </c>
    </row>
    <row r="452" spans="16:20" x14ac:dyDescent="0.3">
      <c r="P452">
        <f t="shared" ref="P452:P515" si="31">4+(Q452)</f>
        <v>4.49</v>
      </c>
      <c r="Q452">
        <v>0.49</v>
      </c>
      <c r="R452">
        <f t="shared" ref="R452:R515" si="32">ROUND(_xlfn.NORM.S.DIST(Q452,1),5)</f>
        <v>0.68793000000000004</v>
      </c>
      <c r="S452" t="e">
        <f t="shared" si="30"/>
        <v>#N/A</v>
      </c>
      <c r="T452">
        <f t="shared" ref="T452:T515" si="33">ROUND(_xlfn.NORM.S.DIST(Q452,0),5)</f>
        <v>0.35381000000000001</v>
      </c>
    </row>
    <row r="453" spans="16:20" x14ac:dyDescent="0.3">
      <c r="P453">
        <f t="shared" si="31"/>
        <v>4.5</v>
      </c>
      <c r="Q453">
        <v>0.5</v>
      </c>
      <c r="R453">
        <f t="shared" si="32"/>
        <v>0.69145999999999996</v>
      </c>
      <c r="S453" t="e">
        <f t="shared" si="30"/>
        <v>#N/A</v>
      </c>
      <c r="T453">
        <f t="shared" si="33"/>
        <v>0.35206999999999999</v>
      </c>
    </row>
    <row r="454" spans="16:20" x14ac:dyDescent="0.3">
      <c r="P454">
        <f t="shared" si="31"/>
        <v>4.51</v>
      </c>
      <c r="Q454">
        <v>0.51</v>
      </c>
      <c r="R454">
        <f t="shared" si="32"/>
        <v>0.69496999999999998</v>
      </c>
      <c r="S454" t="e">
        <f t="shared" si="30"/>
        <v>#N/A</v>
      </c>
      <c r="T454">
        <f t="shared" si="33"/>
        <v>0.35028999999999999</v>
      </c>
    </row>
    <row r="455" spans="16:20" x14ac:dyDescent="0.3">
      <c r="P455">
        <f t="shared" si="31"/>
        <v>4.5199999999999996</v>
      </c>
      <c r="Q455">
        <v>0.52</v>
      </c>
      <c r="R455">
        <f t="shared" si="32"/>
        <v>0.69847000000000004</v>
      </c>
      <c r="S455">
        <f t="shared" si="30"/>
        <v>0.69847000000000004</v>
      </c>
      <c r="T455">
        <f t="shared" si="33"/>
        <v>0.34849000000000002</v>
      </c>
    </row>
    <row r="456" spans="16:20" x14ac:dyDescent="0.3">
      <c r="P456">
        <f t="shared" si="31"/>
        <v>4.53</v>
      </c>
      <c r="Q456">
        <v>0.53</v>
      </c>
      <c r="R456">
        <f t="shared" si="32"/>
        <v>0.70194000000000001</v>
      </c>
      <c r="S456" t="e">
        <f t="shared" si="30"/>
        <v>#N/A</v>
      </c>
      <c r="T456">
        <f t="shared" si="33"/>
        <v>0.34666999999999998</v>
      </c>
    </row>
    <row r="457" spans="16:20" x14ac:dyDescent="0.3">
      <c r="P457">
        <f t="shared" si="31"/>
        <v>4.54</v>
      </c>
      <c r="Q457">
        <v>0.54</v>
      </c>
      <c r="R457">
        <f t="shared" si="32"/>
        <v>0.70540000000000003</v>
      </c>
      <c r="S457" t="e">
        <f t="shared" si="30"/>
        <v>#N/A</v>
      </c>
      <c r="T457">
        <f t="shared" si="33"/>
        <v>0.34482000000000002</v>
      </c>
    </row>
    <row r="458" spans="16:20" x14ac:dyDescent="0.3">
      <c r="P458">
        <f t="shared" si="31"/>
        <v>4.55</v>
      </c>
      <c r="Q458">
        <v>0.55000000000000004</v>
      </c>
      <c r="R458">
        <f t="shared" si="32"/>
        <v>0.70884000000000003</v>
      </c>
      <c r="S458" t="e">
        <f t="shared" si="30"/>
        <v>#N/A</v>
      </c>
      <c r="T458">
        <f t="shared" si="33"/>
        <v>0.34294000000000002</v>
      </c>
    </row>
    <row r="459" spans="16:20" x14ac:dyDescent="0.3">
      <c r="P459">
        <f t="shared" si="31"/>
        <v>4.5600000000000005</v>
      </c>
      <c r="Q459">
        <v>0.56000000000000005</v>
      </c>
      <c r="R459">
        <f t="shared" si="32"/>
        <v>0.71226</v>
      </c>
      <c r="S459" t="e">
        <f t="shared" si="30"/>
        <v>#N/A</v>
      </c>
      <c r="T459">
        <f t="shared" si="33"/>
        <v>0.34105000000000002</v>
      </c>
    </row>
    <row r="460" spans="16:20" x14ac:dyDescent="0.3">
      <c r="P460">
        <f t="shared" si="31"/>
        <v>4.57</v>
      </c>
      <c r="Q460">
        <v>0.56999999999999995</v>
      </c>
      <c r="R460">
        <f t="shared" si="32"/>
        <v>0.71565999999999996</v>
      </c>
      <c r="S460" t="e">
        <f t="shared" si="30"/>
        <v>#N/A</v>
      </c>
      <c r="T460">
        <f t="shared" si="33"/>
        <v>0.33911999999999998</v>
      </c>
    </row>
    <row r="461" spans="16:20" x14ac:dyDescent="0.3">
      <c r="P461">
        <f t="shared" si="31"/>
        <v>4.58</v>
      </c>
      <c r="Q461">
        <v>0.57999999999999996</v>
      </c>
      <c r="R461">
        <f t="shared" si="32"/>
        <v>0.71904000000000001</v>
      </c>
      <c r="S461" t="e">
        <f t="shared" si="30"/>
        <v>#N/A</v>
      </c>
      <c r="T461">
        <f t="shared" si="33"/>
        <v>0.33717999999999998</v>
      </c>
    </row>
    <row r="462" spans="16:20" x14ac:dyDescent="0.3">
      <c r="P462">
        <f t="shared" si="31"/>
        <v>4.59</v>
      </c>
      <c r="Q462">
        <v>0.59</v>
      </c>
      <c r="R462">
        <f t="shared" si="32"/>
        <v>0.72240000000000004</v>
      </c>
      <c r="S462">
        <f t="shared" si="30"/>
        <v>0.72240000000000004</v>
      </c>
      <c r="T462">
        <f t="shared" si="33"/>
        <v>0.33521000000000001</v>
      </c>
    </row>
    <row r="463" spans="16:20" x14ac:dyDescent="0.3">
      <c r="P463">
        <f t="shared" si="31"/>
        <v>4.5999999999999996</v>
      </c>
      <c r="Q463">
        <v>0.6</v>
      </c>
      <c r="R463">
        <f t="shared" si="32"/>
        <v>0.72575000000000001</v>
      </c>
      <c r="S463" t="e">
        <f t="shared" si="30"/>
        <v>#N/A</v>
      </c>
      <c r="T463">
        <f t="shared" si="33"/>
        <v>0.33322000000000002</v>
      </c>
    </row>
    <row r="464" spans="16:20" x14ac:dyDescent="0.3">
      <c r="P464">
        <f t="shared" si="31"/>
        <v>4.6100000000000003</v>
      </c>
      <c r="Q464">
        <v>0.61</v>
      </c>
      <c r="R464">
        <f t="shared" si="32"/>
        <v>0.72907</v>
      </c>
      <c r="S464" t="e">
        <f t="shared" si="30"/>
        <v>#N/A</v>
      </c>
      <c r="T464">
        <f t="shared" si="33"/>
        <v>0.33121</v>
      </c>
    </row>
    <row r="465" spans="16:20" x14ac:dyDescent="0.3">
      <c r="P465">
        <f t="shared" si="31"/>
        <v>4.62</v>
      </c>
      <c r="Q465">
        <v>0.62</v>
      </c>
      <c r="R465">
        <f t="shared" si="32"/>
        <v>0.73236999999999997</v>
      </c>
      <c r="S465" t="e">
        <f t="shared" si="30"/>
        <v>#N/A</v>
      </c>
      <c r="T465">
        <f t="shared" si="33"/>
        <v>0.32917999999999997</v>
      </c>
    </row>
    <row r="466" spans="16:20" x14ac:dyDescent="0.3">
      <c r="P466">
        <f t="shared" si="31"/>
        <v>4.63</v>
      </c>
      <c r="Q466">
        <v>0.63</v>
      </c>
      <c r="R466">
        <f t="shared" si="32"/>
        <v>0.73565000000000003</v>
      </c>
      <c r="S466" t="e">
        <f t="shared" si="30"/>
        <v>#N/A</v>
      </c>
      <c r="T466">
        <f t="shared" si="33"/>
        <v>0.32712999999999998</v>
      </c>
    </row>
    <row r="467" spans="16:20" x14ac:dyDescent="0.3">
      <c r="P467">
        <f t="shared" si="31"/>
        <v>4.6399999999999997</v>
      </c>
      <c r="Q467">
        <v>0.64</v>
      </c>
      <c r="R467">
        <f t="shared" si="32"/>
        <v>0.73890999999999996</v>
      </c>
      <c r="S467" t="e">
        <f t="shared" si="30"/>
        <v>#N/A</v>
      </c>
      <c r="T467">
        <f t="shared" si="33"/>
        <v>0.32506000000000002</v>
      </c>
    </row>
    <row r="468" spans="16:20" x14ac:dyDescent="0.3">
      <c r="P468">
        <f t="shared" si="31"/>
        <v>4.6500000000000004</v>
      </c>
      <c r="Q468">
        <v>0.65</v>
      </c>
      <c r="R468">
        <f t="shared" si="32"/>
        <v>0.74214999999999998</v>
      </c>
      <c r="S468" t="e">
        <f t="shared" si="30"/>
        <v>#N/A</v>
      </c>
      <c r="T468">
        <f t="shared" si="33"/>
        <v>0.32296999999999998</v>
      </c>
    </row>
    <row r="469" spans="16:20" x14ac:dyDescent="0.3">
      <c r="P469">
        <f t="shared" si="31"/>
        <v>4.66</v>
      </c>
      <c r="Q469">
        <v>0.66</v>
      </c>
      <c r="R469">
        <f t="shared" si="32"/>
        <v>0.74536999999999998</v>
      </c>
      <c r="S469" t="e">
        <f t="shared" si="30"/>
        <v>#N/A</v>
      </c>
      <c r="T469">
        <f t="shared" si="33"/>
        <v>0.32085999999999998</v>
      </c>
    </row>
    <row r="470" spans="16:20" x14ac:dyDescent="0.3">
      <c r="P470">
        <f t="shared" si="31"/>
        <v>4.67</v>
      </c>
      <c r="Q470">
        <v>0.67</v>
      </c>
      <c r="R470">
        <f t="shared" si="32"/>
        <v>0.74856999999999996</v>
      </c>
      <c r="S470">
        <f t="shared" si="30"/>
        <v>0.74856999999999996</v>
      </c>
      <c r="T470">
        <f t="shared" si="33"/>
        <v>0.31874000000000002</v>
      </c>
    </row>
    <row r="471" spans="16:20" x14ac:dyDescent="0.3">
      <c r="P471">
        <f t="shared" si="31"/>
        <v>4.68</v>
      </c>
      <c r="Q471">
        <v>0.68</v>
      </c>
      <c r="R471">
        <f t="shared" si="32"/>
        <v>0.75175000000000003</v>
      </c>
      <c r="S471" t="e">
        <f t="shared" si="30"/>
        <v>#N/A</v>
      </c>
      <c r="T471">
        <f t="shared" si="33"/>
        <v>0.31658999999999998</v>
      </c>
    </row>
    <row r="472" spans="16:20" x14ac:dyDescent="0.3">
      <c r="P472">
        <f t="shared" si="31"/>
        <v>4.6899999999999995</v>
      </c>
      <c r="Q472">
        <v>0.69</v>
      </c>
      <c r="R472">
        <f t="shared" si="32"/>
        <v>0.75490000000000002</v>
      </c>
      <c r="S472" t="e">
        <f t="shared" si="30"/>
        <v>#N/A</v>
      </c>
      <c r="T472">
        <f t="shared" si="33"/>
        <v>0.31442999999999999</v>
      </c>
    </row>
    <row r="473" spans="16:20" x14ac:dyDescent="0.3">
      <c r="P473">
        <f t="shared" si="31"/>
        <v>4.7</v>
      </c>
      <c r="Q473">
        <v>0.7</v>
      </c>
      <c r="R473">
        <f t="shared" si="32"/>
        <v>0.75804000000000005</v>
      </c>
      <c r="S473" t="e">
        <f t="shared" si="30"/>
        <v>#N/A</v>
      </c>
      <c r="T473">
        <f t="shared" si="33"/>
        <v>0.31225000000000003</v>
      </c>
    </row>
    <row r="474" spans="16:20" x14ac:dyDescent="0.3">
      <c r="P474">
        <f t="shared" si="31"/>
        <v>4.71</v>
      </c>
      <c r="Q474">
        <v>0.71</v>
      </c>
      <c r="R474">
        <f t="shared" si="32"/>
        <v>0.76114999999999999</v>
      </c>
      <c r="S474" t="e">
        <f t="shared" si="30"/>
        <v>#N/A</v>
      </c>
      <c r="T474">
        <f t="shared" si="33"/>
        <v>0.31006</v>
      </c>
    </row>
    <row r="475" spans="16:20" x14ac:dyDescent="0.3">
      <c r="P475">
        <f t="shared" si="31"/>
        <v>4.72</v>
      </c>
      <c r="Q475">
        <v>0.72</v>
      </c>
      <c r="R475">
        <f t="shared" si="32"/>
        <v>0.76424000000000003</v>
      </c>
      <c r="S475" t="e">
        <f t="shared" si="30"/>
        <v>#N/A</v>
      </c>
      <c r="T475">
        <f t="shared" si="33"/>
        <v>0.30785000000000001</v>
      </c>
    </row>
    <row r="476" spans="16:20" x14ac:dyDescent="0.3">
      <c r="P476">
        <f t="shared" si="31"/>
        <v>4.7300000000000004</v>
      </c>
      <c r="Q476">
        <v>0.73</v>
      </c>
      <c r="R476">
        <f t="shared" si="32"/>
        <v>0.76729999999999998</v>
      </c>
      <c r="S476" t="e">
        <f t="shared" si="30"/>
        <v>#N/A</v>
      </c>
      <c r="T476">
        <f t="shared" si="33"/>
        <v>0.30563000000000001</v>
      </c>
    </row>
    <row r="477" spans="16:20" x14ac:dyDescent="0.3">
      <c r="P477">
        <f t="shared" si="31"/>
        <v>4.74</v>
      </c>
      <c r="Q477">
        <v>0.74</v>
      </c>
      <c r="R477">
        <f t="shared" si="32"/>
        <v>0.77034999999999998</v>
      </c>
      <c r="S477" t="e">
        <f t="shared" si="30"/>
        <v>#N/A</v>
      </c>
      <c r="T477">
        <f t="shared" si="33"/>
        <v>0.30338999999999999</v>
      </c>
    </row>
    <row r="478" spans="16:20" x14ac:dyDescent="0.3">
      <c r="P478">
        <f t="shared" si="31"/>
        <v>4.75</v>
      </c>
      <c r="Q478">
        <v>0.75</v>
      </c>
      <c r="R478">
        <f t="shared" si="32"/>
        <v>0.77337</v>
      </c>
      <c r="S478">
        <f t="shared" si="30"/>
        <v>0.77337</v>
      </c>
      <c r="T478">
        <f t="shared" si="33"/>
        <v>0.30114000000000002</v>
      </c>
    </row>
    <row r="479" spans="16:20" x14ac:dyDescent="0.3">
      <c r="P479">
        <f t="shared" si="31"/>
        <v>4.76</v>
      </c>
      <c r="Q479">
        <v>0.76</v>
      </c>
      <c r="R479">
        <f t="shared" si="32"/>
        <v>0.77637</v>
      </c>
      <c r="S479" t="e">
        <f t="shared" si="30"/>
        <v>#N/A</v>
      </c>
      <c r="T479">
        <f t="shared" si="33"/>
        <v>0.29887000000000002</v>
      </c>
    </row>
    <row r="480" spans="16:20" x14ac:dyDescent="0.3">
      <c r="P480">
        <f t="shared" si="31"/>
        <v>4.7699999999999996</v>
      </c>
      <c r="Q480">
        <v>0.77</v>
      </c>
      <c r="R480">
        <f t="shared" si="32"/>
        <v>0.77934999999999999</v>
      </c>
      <c r="S480" t="e">
        <f t="shared" si="30"/>
        <v>#N/A</v>
      </c>
      <c r="T480">
        <f t="shared" si="33"/>
        <v>0.29659000000000002</v>
      </c>
    </row>
    <row r="481" spans="16:20" x14ac:dyDescent="0.3">
      <c r="P481">
        <f t="shared" si="31"/>
        <v>4.78</v>
      </c>
      <c r="Q481">
        <v>0.78</v>
      </c>
      <c r="R481">
        <f t="shared" si="32"/>
        <v>0.7823</v>
      </c>
      <c r="S481" t="e">
        <f t="shared" si="30"/>
        <v>#N/A</v>
      </c>
      <c r="T481">
        <f t="shared" si="33"/>
        <v>0.29431000000000002</v>
      </c>
    </row>
    <row r="482" spans="16:20" x14ac:dyDescent="0.3">
      <c r="P482">
        <f t="shared" si="31"/>
        <v>4.79</v>
      </c>
      <c r="Q482">
        <v>0.79</v>
      </c>
      <c r="R482">
        <f t="shared" si="32"/>
        <v>0.78524000000000005</v>
      </c>
      <c r="S482" t="e">
        <f t="shared" si="30"/>
        <v>#N/A</v>
      </c>
      <c r="T482">
        <f t="shared" si="33"/>
        <v>0.29199999999999998</v>
      </c>
    </row>
    <row r="483" spans="16:20" x14ac:dyDescent="0.3">
      <c r="P483">
        <f t="shared" si="31"/>
        <v>4.8</v>
      </c>
      <c r="Q483">
        <v>0.8</v>
      </c>
      <c r="R483">
        <f t="shared" si="32"/>
        <v>0.78813999999999995</v>
      </c>
      <c r="S483" t="e">
        <f t="shared" si="30"/>
        <v>#N/A</v>
      </c>
      <c r="T483">
        <f t="shared" si="33"/>
        <v>0.28969</v>
      </c>
    </row>
    <row r="484" spans="16:20" x14ac:dyDescent="0.3">
      <c r="P484">
        <f t="shared" si="31"/>
        <v>4.8100000000000005</v>
      </c>
      <c r="Q484">
        <v>0.81</v>
      </c>
      <c r="R484">
        <f t="shared" si="32"/>
        <v>0.79103000000000001</v>
      </c>
      <c r="S484" t="e">
        <f t="shared" si="30"/>
        <v>#N/A</v>
      </c>
      <c r="T484">
        <f t="shared" si="33"/>
        <v>0.28737000000000001</v>
      </c>
    </row>
    <row r="485" spans="16:20" x14ac:dyDescent="0.3">
      <c r="P485">
        <f t="shared" si="31"/>
        <v>4.82</v>
      </c>
      <c r="Q485">
        <v>0.82</v>
      </c>
      <c r="R485">
        <f t="shared" si="32"/>
        <v>0.79388999999999998</v>
      </c>
      <c r="S485" t="e">
        <f t="shared" si="30"/>
        <v>#N/A</v>
      </c>
      <c r="T485">
        <f t="shared" si="33"/>
        <v>0.28504000000000002</v>
      </c>
    </row>
    <row r="486" spans="16:20" x14ac:dyDescent="0.3">
      <c r="P486">
        <f t="shared" si="31"/>
        <v>4.83</v>
      </c>
      <c r="Q486">
        <v>0.83</v>
      </c>
      <c r="R486">
        <f t="shared" si="32"/>
        <v>0.79673000000000005</v>
      </c>
      <c r="S486" t="e">
        <f t="shared" si="30"/>
        <v>#N/A</v>
      </c>
      <c r="T486">
        <f t="shared" si="33"/>
        <v>0.28269</v>
      </c>
    </row>
    <row r="487" spans="16:20" x14ac:dyDescent="0.3">
      <c r="P487">
        <f t="shared" si="31"/>
        <v>4.84</v>
      </c>
      <c r="Q487">
        <v>0.84</v>
      </c>
      <c r="R487">
        <f t="shared" si="32"/>
        <v>0.79954999999999998</v>
      </c>
      <c r="S487">
        <f t="shared" si="30"/>
        <v>0.79954999999999998</v>
      </c>
      <c r="T487">
        <f t="shared" si="33"/>
        <v>0.28033999999999998</v>
      </c>
    </row>
    <row r="488" spans="16:20" x14ac:dyDescent="0.3">
      <c r="P488">
        <f t="shared" si="31"/>
        <v>4.8499999999999996</v>
      </c>
      <c r="Q488">
        <v>0.85</v>
      </c>
      <c r="R488">
        <f t="shared" si="32"/>
        <v>0.80234000000000005</v>
      </c>
      <c r="S488" t="e">
        <f t="shared" si="30"/>
        <v>#N/A</v>
      </c>
      <c r="T488">
        <f t="shared" si="33"/>
        <v>0.27798</v>
      </c>
    </row>
    <row r="489" spans="16:20" x14ac:dyDescent="0.3">
      <c r="P489">
        <f t="shared" si="31"/>
        <v>4.8600000000000003</v>
      </c>
      <c r="Q489">
        <v>0.86</v>
      </c>
      <c r="R489">
        <f t="shared" si="32"/>
        <v>0.80510999999999999</v>
      </c>
      <c r="S489" t="e">
        <f t="shared" si="30"/>
        <v>#N/A</v>
      </c>
      <c r="T489">
        <f t="shared" si="33"/>
        <v>0.27561999999999998</v>
      </c>
    </row>
    <row r="490" spans="16:20" x14ac:dyDescent="0.3">
      <c r="P490">
        <f t="shared" si="31"/>
        <v>4.87</v>
      </c>
      <c r="Q490">
        <v>0.87</v>
      </c>
      <c r="R490">
        <f t="shared" si="32"/>
        <v>0.80784999999999996</v>
      </c>
      <c r="S490" t="e">
        <f t="shared" si="30"/>
        <v>#N/A</v>
      </c>
      <c r="T490">
        <f t="shared" si="33"/>
        <v>0.27323999999999998</v>
      </c>
    </row>
    <row r="491" spans="16:20" x14ac:dyDescent="0.3">
      <c r="P491">
        <f t="shared" si="31"/>
        <v>4.88</v>
      </c>
      <c r="Q491">
        <v>0.88</v>
      </c>
      <c r="R491">
        <f t="shared" si="32"/>
        <v>0.81057000000000001</v>
      </c>
      <c r="S491" t="e">
        <f t="shared" si="30"/>
        <v>#N/A</v>
      </c>
      <c r="T491">
        <f t="shared" si="33"/>
        <v>0.27085999999999999</v>
      </c>
    </row>
    <row r="492" spans="16:20" x14ac:dyDescent="0.3">
      <c r="P492">
        <f t="shared" si="31"/>
        <v>4.8899999999999997</v>
      </c>
      <c r="Q492">
        <v>0.89</v>
      </c>
      <c r="R492">
        <f t="shared" si="32"/>
        <v>0.81327000000000005</v>
      </c>
      <c r="S492" t="e">
        <f t="shared" si="30"/>
        <v>#N/A</v>
      </c>
      <c r="T492">
        <f t="shared" si="33"/>
        <v>0.26848</v>
      </c>
    </row>
    <row r="493" spans="16:20" x14ac:dyDescent="0.3">
      <c r="P493">
        <f t="shared" si="31"/>
        <v>4.9000000000000004</v>
      </c>
      <c r="Q493">
        <v>0.9</v>
      </c>
      <c r="R493">
        <f t="shared" si="32"/>
        <v>0.81594</v>
      </c>
      <c r="S493" t="e">
        <f t="shared" si="30"/>
        <v>#N/A</v>
      </c>
      <c r="T493">
        <f t="shared" si="33"/>
        <v>0.26608999999999999</v>
      </c>
    </row>
    <row r="494" spans="16:20" x14ac:dyDescent="0.3">
      <c r="P494">
        <f t="shared" si="31"/>
        <v>4.91</v>
      </c>
      <c r="Q494">
        <v>0.91</v>
      </c>
      <c r="R494">
        <f t="shared" si="32"/>
        <v>0.81859000000000004</v>
      </c>
      <c r="S494" t="e">
        <f t="shared" si="30"/>
        <v>#N/A</v>
      </c>
      <c r="T494">
        <f t="shared" si="33"/>
        <v>0.26368999999999998</v>
      </c>
    </row>
    <row r="495" spans="16:20" x14ac:dyDescent="0.3">
      <c r="P495">
        <f t="shared" si="31"/>
        <v>4.92</v>
      </c>
      <c r="Q495">
        <v>0.92</v>
      </c>
      <c r="R495">
        <f t="shared" si="32"/>
        <v>0.82121</v>
      </c>
      <c r="S495" t="e">
        <f t="shared" si="30"/>
        <v>#N/A</v>
      </c>
      <c r="T495">
        <f t="shared" si="33"/>
        <v>0.26129000000000002</v>
      </c>
    </row>
    <row r="496" spans="16:20" x14ac:dyDescent="0.3">
      <c r="P496">
        <f t="shared" si="31"/>
        <v>4.93</v>
      </c>
      <c r="Q496">
        <v>0.93</v>
      </c>
      <c r="R496">
        <f t="shared" si="32"/>
        <v>0.82381000000000004</v>
      </c>
      <c r="S496">
        <f t="shared" si="30"/>
        <v>0.82381000000000004</v>
      </c>
      <c r="T496">
        <f t="shared" si="33"/>
        <v>0.25888</v>
      </c>
    </row>
    <row r="497" spans="16:20" x14ac:dyDescent="0.3">
      <c r="P497">
        <f t="shared" si="31"/>
        <v>4.9399999999999995</v>
      </c>
      <c r="Q497">
        <v>0.94</v>
      </c>
      <c r="R497">
        <f t="shared" si="32"/>
        <v>0.82638999999999996</v>
      </c>
      <c r="S497" t="e">
        <f t="shared" si="30"/>
        <v>#N/A</v>
      </c>
      <c r="T497">
        <f t="shared" si="33"/>
        <v>0.25646999999999998</v>
      </c>
    </row>
    <row r="498" spans="16:20" x14ac:dyDescent="0.3">
      <c r="P498">
        <f t="shared" si="31"/>
        <v>4.95</v>
      </c>
      <c r="Q498">
        <v>0.95</v>
      </c>
      <c r="R498">
        <f t="shared" si="32"/>
        <v>0.82894000000000001</v>
      </c>
      <c r="S498" t="e">
        <f t="shared" si="30"/>
        <v>#N/A</v>
      </c>
      <c r="T498">
        <f t="shared" si="33"/>
        <v>0.25406000000000001</v>
      </c>
    </row>
    <row r="499" spans="16:20" x14ac:dyDescent="0.3">
      <c r="P499">
        <f t="shared" si="31"/>
        <v>4.96</v>
      </c>
      <c r="Q499">
        <v>0.96</v>
      </c>
      <c r="R499">
        <f t="shared" si="32"/>
        <v>0.83147000000000004</v>
      </c>
      <c r="S499" t="e">
        <f t="shared" si="30"/>
        <v>#N/A</v>
      </c>
      <c r="T499">
        <f t="shared" si="33"/>
        <v>0.25163999999999997</v>
      </c>
    </row>
    <row r="500" spans="16:20" x14ac:dyDescent="0.3">
      <c r="P500">
        <f t="shared" si="31"/>
        <v>4.97</v>
      </c>
      <c r="Q500">
        <v>0.97</v>
      </c>
      <c r="R500">
        <f t="shared" si="32"/>
        <v>0.83398000000000005</v>
      </c>
      <c r="S500" t="e">
        <f t="shared" si="30"/>
        <v>#N/A</v>
      </c>
      <c r="T500">
        <f t="shared" si="33"/>
        <v>0.24923000000000001</v>
      </c>
    </row>
    <row r="501" spans="16:20" x14ac:dyDescent="0.3">
      <c r="P501">
        <f t="shared" si="31"/>
        <v>4.9800000000000004</v>
      </c>
      <c r="Q501">
        <v>0.98</v>
      </c>
      <c r="R501">
        <f t="shared" si="32"/>
        <v>0.83645999999999998</v>
      </c>
      <c r="S501" t="e">
        <f t="shared" si="30"/>
        <v>#N/A</v>
      </c>
      <c r="T501">
        <f t="shared" si="33"/>
        <v>0.24681</v>
      </c>
    </row>
    <row r="502" spans="16:20" x14ac:dyDescent="0.3">
      <c r="P502">
        <f t="shared" si="31"/>
        <v>4.99</v>
      </c>
      <c r="Q502">
        <v>0.99</v>
      </c>
      <c r="R502">
        <f t="shared" si="32"/>
        <v>0.83891000000000004</v>
      </c>
      <c r="S502" t="e">
        <f t="shared" si="30"/>
        <v>#N/A</v>
      </c>
      <c r="T502">
        <f t="shared" si="33"/>
        <v>0.24439</v>
      </c>
    </row>
    <row r="503" spans="16:20" x14ac:dyDescent="0.3">
      <c r="P503">
        <f t="shared" si="31"/>
        <v>5</v>
      </c>
      <c r="Q503">
        <v>1</v>
      </c>
      <c r="R503">
        <f t="shared" si="32"/>
        <v>0.84133999999999998</v>
      </c>
      <c r="S503" t="e">
        <f t="shared" si="30"/>
        <v>#N/A</v>
      </c>
      <c r="T503">
        <f t="shared" si="33"/>
        <v>0.24196999999999999</v>
      </c>
    </row>
    <row r="504" spans="16:20" x14ac:dyDescent="0.3">
      <c r="P504">
        <f t="shared" si="31"/>
        <v>5.01</v>
      </c>
      <c r="Q504">
        <v>1.01</v>
      </c>
      <c r="R504">
        <f t="shared" si="32"/>
        <v>0.84375</v>
      </c>
      <c r="S504" t="e">
        <f t="shared" si="30"/>
        <v>#N/A</v>
      </c>
      <c r="T504">
        <f t="shared" si="33"/>
        <v>0.23955000000000001</v>
      </c>
    </row>
    <row r="505" spans="16:20" x14ac:dyDescent="0.3">
      <c r="P505">
        <f t="shared" si="31"/>
        <v>5.0199999999999996</v>
      </c>
      <c r="Q505">
        <v>1.02</v>
      </c>
      <c r="R505">
        <f t="shared" si="32"/>
        <v>0.84614</v>
      </c>
      <c r="S505" t="e">
        <f t="shared" si="30"/>
        <v>#N/A</v>
      </c>
      <c r="T505">
        <f t="shared" si="33"/>
        <v>0.23713000000000001</v>
      </c>
    </row>
    <row r="506" spans="16:20" x14ac:dyDescent="0.3">
      <c r="P506">
        <f t="shared" si="31"/>
        <v>5.03</v>
      </c>
      <c r="Q506">
        <v>1.03</v>
      </c>
      <c r="R506">
        <f t="shared" si="32"/>
        <v>0.84848999999999997</v>
      </c>
      <c r="S506">
        <f t="shared" si="30"/>
        <v>0.84848999999999997</v>
      </c>
      <c r="T506">
        <f t="shared" si="33"/>
        <v>0.23471</v>
      </c>
    </row>
    <row r="507" spans="16:20" x14ac:dyDescent="0.3">
      <c r="P507">
        <f t="shared" si="31"/>
        <v>5.04</v>
      </c>
      <c r="Q507">
        <v>1.04</v>
      </c>
      <c r="R507">
        <f t="shared" si="32"/>
        <v>0.85082999999999998</v>
      </c>
      <c r="S507" t="e">
        <f t="shared" si="30"/>
        <v>#N/A</v>
      </c>
      <c r="T507">
        <f t="shared" si="33"/>
        <v>0.23230000000000001</v>
      </c>
    </row>
    <row r="508" spans="16:20" x14ac:dyDescent="0.3">
      <c r="P508">
        <f t="shared" si="31"/>
        <v>5.05</v>
      </c>
      <c r="Q508">
        <v>1.05</v>
      </c>
      <c r="R508">
        <f t="shared" si="32"/>
        <v>0.85314000000000001</v>
      </c>
      <c r="S508" t="e">
        <f t="shared" si="30"/>
        <v>#N/A</v>
      </c>
      <c r="T508">
        <f t="shared" si="33"/>
        <v>0.22988</v>
      </c>
    </row>
    <row r="509" spans="16:20" x14ac:dyDescent="0.3">
      <c r="P509">
        <f t="shared" si="31"/>
        <v>5.0600000000000005</v>
      </c>
      <c r="Q509">
        <v>1.06</v>
      </c>
      <c r="R509">
        <f t="shared" si="32"/>
        <v>0.85543000000000002</v>
      </c>
      <c r="S509" t="e">
        <f t="shared" si="30"/>
        <v>#N/A</v>
      </c>
      <c r="T509">
        <f t="shared" si="33"/>
        <v>0.22747000000000001</v>
      </c>
    </row>
    <row r="510" spans="16:20" x14ac:dyDescent="0.3">
      <c r="P510">
        <f t="shared" si="31"/>
        <v>5.07</v>
      </c>
      <c r="Q510">
        <v>1.07</v>
      </c>
      <c r="R510">
        <f t="shared" si="32"/>
        <v>0.85768999999999995</v>
      </c>
      <c r="S510" t="e">
        <f t="shared" si="30"/>
        <v>#N/A</v>
      </c>
      <c r="T510">
        <f t="shared" si="33"/>
        <v>0.22506000000000001</v>
      </c>
    </row>
    <row r="511" spans="16:20" x14ac:dyDescent="0.3">
      <c r="P511">
        <f t="shared" si="31"/>
        <v>5.08</v>
      </c>
      <c r="Q511">
        <v>1.08</v>
      </c>
      <c r="R511">
        <f t="shared" si="32"/>
        <v>0.85992999999999997</v>
      </c>
      <c r="S511" t="e">
        <f t="shared" si="30"/>
        <v>#N/A</v>
      </c>
      <c r="T511">
        <f t="shared" si="33"/>
        <v>0.22264999999999999</v>
      </c>
    </row>
    <row r="512" spans="16:20" x14ac:dyDescent="0.3">
      <c r="P512">
        <f t="shared" si="31"/>
        <v>5.09</v>
      </c>
      <c r="Q512">
        <v>1.0900000000000001</v>
      </c>
      <c r="R512">
        <f t="shared" si="32"/>
        <v>0.86214000000000002</v>
      </c>
      <c r="S512" t="e">
        <f t="shared" si="30"/>
        <v>#N/A</v>
      </c>
      <c r="T512">
        <f t="shared" si="33"/>
        <v>0.22025</v>
      </c>
    </row>
    <row r="513" spans="16:20" x14ac:dyDescent="0.3">
      <c r="P513">
        <f t="shared" si="31"/>
        <v>5.0999999999999996</v>
      </c>
      <c r="Q513">
        <v>1.1000000000000001</v>
      </c>
      <c r="R513">
        <f t="shared" si="32"/>
        <v>0.86433000000000004</v>
      </c>
      <c r="S513" t="e">
        <f t="shared" si="30"/>
        <v>#N/A</v>
      </c>
      <c r="T513">
        <f t="shared" si="33"/>
        <v>0.21784999999999999</v>
      </c>
    </row>
    <row r="514" spans="16:20" x14ac:dyDescent="0.3">
      <c r="P514">
        <f t="shared" si="31"/>
        <v>5.1100000000000003</v>
      </c>
      <c r="Q514">
        <v>1.1100000000000001</v>
      </c>
      <c r="R514">
        <f t="shared" si="32"/>
        <v>0.86650000000000005</v>
      </c>
      <c r="S514" t="e">
        <f t="shared" si="30"/>
        <v>#N/A</v>
      </c>
      <c r="T514">
        <f t="shared" si="33"/>
        <v>0.21546000000000001</v>
      </c>
    </row>
    <row r="515" spans="16:20" x14ac:dyDescent="0.3">
      <c r="P515">
        <f t="shared" si="31"/>
        <v>5.12</v>
      </c>
      <c r="Q515">
        <v>1.1200000000000001</v>
      </c>
      <c r="R515">
        <f t="shared" si="32"/>
        <v>0.86863999999999997</v>
      </c>
      <c r="S515" t="e">
        <f t="shared" ref="S515:S578" si="34">VLOOKUP(R515,$W$3:$W$42,1,0)</f>
        <v>#N/A</v>
      </c>
      <c r="T515">
        <f t="shared" si="33"/>
        <v>0.21307000000000001</v>
      </c>
    </row>
    <row r="516" spans="16:20" x14ac:dyDescent="0.3">
      <c r="P516">
        <f t="shared" ref="P516:P579" si="35">4+(Q516)</f>
        <v>5.13</v>
      </c>
      <c r="Q516">
        <v>1.1299999999999999</v>
      </c>
      <c r="R516">
        <f t="shared" ref="R516:R579" si="36">ROUND(_xlfn.NORM.S.DIST(Q516,1),5)</f>
        <v>0.87075999999999998</v>
      </c>
      <c r="S516" t="e">
        <f t="shared" si="34"/>
        <v>#N/A</v>
      </c>
      <c r="T516">
        <f t="shared" ref="T516:T579" si="37">ROUND(_xlfn.NORM.S.DIST(Q516,0),5)</f>
        <v>0.21068999999999999</v>
      </c>
    </row>
    <row r="517" spans="16:20" x14ac:dyDescent="0.3">
      <c r="P517">
        <f t="shared" si="35"/>
        <v>5.14</v>
      </c>
      <c r="Q517">
        <v>1.1399999999999999</v>
      </c>
      <c r="R517">
        <f t="shared" si="36"/>
        <v>0.87285999999999997</v>
      </c>
      <c r="S517" t="e">
        <f t="shared" si="34"/>
        <v>#N/A</v>
      </c>
      <c r="T517">
        <f t="shared" si="37"/>
        <v>0.20831</v>
      </c>
    </row>
    <row r="518" spans="16:20" x14ac:dyDescent="0.3">
      <c r="P518">
        <f t="shared" si="35"/>
        <v>5.15</v>
      </c>
      <c r="Q518">
        <v>1.1499999999999999</v>
      </c>
      <c r="R518">
        <f t="shared" si="36"/>
        <v>0.87492999999999999</v>
      </c>
      <c r="S518">
        <f t="shared" si="34"/>
        <v>0.87492999999999999</v>
      </c>
      <c r="T518">
        <f t="shared" si="37"/>
        <v>0.20594000000000001</v>
      </c>
    </row>
    <row r="519" spans="16:20" x14ac:dyDescent="0.3">
      <c r="P519">
        <f t="shared" si="35"/>
        <v>5.16</v>
      </c>
      <c r="Q519">
        <v>1.1599999999999999</v>
      </c>
      <c r="R519">
        <f t="shared" si="36"/>
        <v>0.87697999999999998</v>
      </c>
      <c r="S519" t="e">
        <f t="shared" si="34"/>
        <v>#N/A</v>
      </c>
      <c r="T519">
        <f t="shared" si="37"/>
        <v>0.20357</v>
      </c>
    </row>
    <row r="520" spans="16:20" x14ac:dyDescent="0.3">
      <c r="P520">
        <f t="shared" si="35"/>
        <v>5.17</v>
      </c>
      <c r="Q520">
        <v>1.17</v>
      </c>
      <c r="R520">
        <f t="shared" si="36"/>
        <v>0.879</v>
      </c>
      <c r="S520" t="e">
        <f t="shared" si="34"/>
        <v>#N/A</v>
      </c>
      <c r="T520">
        <f t="shared" si="37"/>
        <v>0.20121</v>
      </c>
    </row>
    <row r="521" spans="16:20" x14ac:dyDescent="0.3">
      <c r="P521">
        <f t="shared" si="35"/>
        <v>5.18</v>
      </c>
      <c r="Q521">
        <v>1.18</v>
      </c>
      <c r="R521">
        <f t="shared" si="36"/>
        <v>0.88100000000000001</v>
      </c>
      <c r="S521" t="e">
        <f t="shared" si="34"/>
        <v>#N/A</v>
      </c>
      <c r="T521">
        <f t="shared" si="37"/>
        <v>0.19886000000000001</v>
      </c>
    </row>
    <row r="522" spans="16:20" x14ac:dyDescent="0.3">
      <c r="P522">
        <f t="shared" si="35"/>
        <v>5.1899999999999995</v>
      </c>
      <c r="Q522">
        <v>1.19</v>
      </c>
      <c r="R522">
        <f t="shared" si="36"/>
        <v>0.88297999999999999</v>
      </c>
      <c r="S522" t="e">
        <f t="shared" si="34"/>
        <v>#N/A</v>
      </c>
      <c r="T522">
        <f t="shared" si="37"/>
        <v>0.19652</v>
      </c>
    </row>
    <row r="523" spans="16:20" x14ac:dyDescent="0.3">
      <c r="P523">
        <f t="shared" si="35"/>
        <v>5.2</v>
      </c>
      <c r="Q523">
        <v>1.2</v>
      </c>
      <c r="R523">
        <f t="shared" si="36"/>
        <v>0.88492999999999999</v>
      </c>
      <c r="S523" t="e">
        <f t="shared" si="34"/>
        <v>#N/A</v>
      </c>
      <c r="T523">
        <f t="shared" si="37"/>
        <v>0.19419</v>
      </c>
    </row>
    <row r="524" spans="16:20" x14ac:dyDescent="0.3">
      <c r="P524">
        <f t="shared" si="35"/>
        <v>5.21</v>
      </c>
      <c r="Q524">
        <v>1.21</v>
      </c>
      <c r="R524">
        <f t="shared" si="36"/>
        <v>0.88685999999999998</v>
      </c>
      <c r="S524" t="e">
        <f t="shared" si="34"/>
        <v>#N/A</v>
      </c>
      <c r="T524">
        <f t="shared" si="37"/>
        <v>0.19186</v>
      </c>
    </row>
    <row r="525" spans="16:20" x14ac:dyDescent="0.3">
      <c r="P525">
        <f t="shared" si="35"/>
        <v>5.22</v>
      </c>
      <c r="Q525">
        <v>1.22</v>
      </c>
      <c r="R525">
        <f t="shared" si="36"/>
        <v>0.88876999999999995</v>
      </c>
      <c r="S525" t="e">
        <f t="shared" si="34"/>
        <v>#N/A</v>
      </c>
      <c r="T525">
        <f t="shared" si="37"/>
        <v>0.18953999999999999</v>
      </c>
    </row>
    <row r="526" spans="16:20" x14ac:dyDescent="0.3">
      <c r="P526">
        <f t="shared" si="35"/>
        <v>5.23</v>
      </c>
      <c r="Q526">
        <v>1.23</v>
      </c>
      <c r="R526">
        <f t="shared" si="36"/>
        <v>0.89065000000000005</v>
      </c>
      <c r="S526" t="e">
        <f t="shared" si="34"/>
        <v>#N/A</v>
      </c>
      <c r="T526">
        <f t="shared" si="37"/>
        <v>0.18723999999999999</v>
      </c>
    </row>
    <row r="527" spans="16:20" x14ac:dyDescent="0.3">
      <c r="P527">
        <f t="shared" si="35"/>
        <v>5.24</v>
      </c>
      <c r="Q527">
        <v>1.24</v>
      </c>
      <c r="R527">
        <f t="shared" si="36"/>
        <v>0.89251000000000003</v>
      </c>
      <c r="S527" t="e">
        <f t="shared" si="34"/>
        <v>#N/A</v>
      </c>
      <c r="T527">
        <f t="shared" si="37"/>
        <v>0.18493999999999999</v>
      </c>
    </row>
    <row r="528" spans="16:20" x14ac:dyDescent="0.3">
      <c r="P528">
        <f t="shared" si="35"/>
        <v>5.25</v>
      </c>
      <c r="Q528">
        <v>1.25</v>
      </c>
      <c r="R528">
        <f t="shared" si="36"/>
        <v>0.89434999999999998</v>
      </c>
      <c r="S528" t="e">
        <f t="shared" si="34"/>
        <v>#N/A</v>
      </c>
      <c r="T528">
        <f t="shared" si="37"/>
        <v>0.18265000000000001</v>
      </c>
    </row>
    <row r="529" spans="16:20" x14ac:dyDescent="0.3">
      <c r="P529">
        <f t="shared" si="35"/>
        <v>5.26</v>
      </c>
      <c r="Q529">
        <v>1.26</v>
      </c>
      <c r="R529">
        <f t="shared" si="36"/>
        <v>0.89617000000000002</v>
      </c>
      <c r="S529" t="e">
        <f t="shared" si="34"/>
        <v>#N/A</v>
      </c>
      <c r="T529">
        <f t="shared" si="37"/>
        <v>0.18037</v>
      </c>
    </row>
    <row r="530" spans="16:20" x14ac:dyDescent="0.3">
      <c r="P530">
        <f t="shared" si="35"/>
        <v>5.27</v>
      </c>
      <c r="Q530">
        <v>1.27</v>
      </c>
      <c r="R530">
        <f t="shared" si="36"/>
        <v>0.89795999999999998</v>
      </c>
      <c r="S530" t="e">
        <f t="shared" si="34"/>
        <v>#N/A</v>
      </c>
      <c r="T530">
        <f t="shared" si="37"/>
        <v>0.17810000000000001</v>
      </c>
    </row>
    <row r="531" spans="16:20" x14ac:dyDescent="0.3">
      <c r="P531">
        <f t="shared" si="35"/>
        <v>5.28</v>
      </c>
      <c r="Q531">
        <v>1.28</v>
      </c>
      <c r="R531">
        <f t="shared" si="36"/>
        <v>0.89973000000000003</v>
      </c>
      <c r="S531">
        <f t="shared" si="34"/>
        <v>0.89973000000000003</v>
      </c>
      <c r="T531">
        <f t="shared" si="37"/>
        <v>0.17585000000000001</v>
      </c>
    </row>
    <row r="532" spans="16:20" x14ac:dyDescent="0.3">
      <c r="P532">
        <f t="shared" si="35"/>
        <v>5.29</v>
      </c>
      <c r="Q532">
        <v>1.29</v>
      </c>
      <c r="R532">
        <f t="shared" si="36"/>
        <v>0.90146999999999999</v>
      </c>
      <c r="S532" t="e">
        <f t="shared" si="34"/>
        <v>#N/A</v>
      </c>
      <c r="T532">
        <f t="shared" si="37"/>
        <v>0.1736</v>
      </c>
    </row>
    <row r="533" spans="16:20" x14ac:dyDescent="0.3">
      <c r="P533">
        <f t="shared" si="35"/>
        <v>5.3</v>
      </c>
      <c r="Q533">
        <v>1.3</v>
      </c>
      <c r="R533">
        <f t="shared" si="36"/>
        <v>0.9032</v>
      </c>
      <c r="S533" t="e">
        <f t="shared" si="34"/>
        <v>#N/A</v>
      </c>
      <c r="T533">
        <f t="shared" si="37"/>
        <v>0.17136999999999999</v>
      </c>
    </row>
    <row r="534" spans="16:20" x14ac:dyDescent="0.3">
      <c r="P534">
        <f t="shared" si="35"/>
        <v>5.3100000000000005</v>
      </c>
      <c r="Q534">
        <v>1.31</v>
      </c>
      <c r="R534">
        <f t="shared" si="36"/>
        <v>0.90490000000000004</v>
      </c>
      <c r="S534" t="e">
        <f t="shared" si="34"/>
        <v>#N/A</v>
      </c>
      <c r="T534">
        <f t="shared" si="37"/>
        <v>0.16914999999999999</v>
      </c>
    </row>
    <row r="535" spans="16:20" x14ac:dyDescent="0.3">
      <c r="P535">
        <f t="shared" si="35"/>
        <v>5.32</v>
      </c>
      <c r="Q535">
        <v>1.32</v>
      </c>
      <c r="R535">
        <f t="shared" si="36"/>
        <v>0.90658000000000005</v>
      </c>
      <c r="S535" t="e">
        <f t="shared" si="34"/>
        <v>#N/A</v>
      </c>
      <c r="T535">
        <f t="shared" si="37"/>
        <v>0.16694000000000001</v>
      </c>
    </row>
    <row r="536" spans="16:20" x14ac:dyDescent="0.3">
      <c r="P536">
        <f t="shared" si="35"/>
        <v>5.33</v>
      </c>
      <c r="Q536">
        <v>1.33</v>
      </c>
      <c r="R536">
        <f t="shared" si="36"/>
        <v>0.90824000000000005</v>
      </c>
      <c r="S536" t="e">
        <f t="shared" si="34"/>
        <v>#N/A</v>
      </c>
      <c r="T536">
        <f t="shared" si="37"/>
        <v>0.16474</v>
      </c>
    </row>
    <row r="537" spans="16:20" x14ac:dyDescent="0.3">
      <c r="P537">
        <f t="shared" si="35"/>
        <v>5.34</v>
      </c>
      <c r="Q537">
        <v>1.34</v>
      </c>
      <c r="R537">
        <f t="shared" si="36"/>
        <v>0.90988000000000002</v>
      </c>
      <c r="S537" t="e">
        <f t="shared" si="34"/>
        <v>#N/A</v>
      </c>
      <c r="T537">
        <f t="shared" si="37"/>
        <v>0.16256000000000001</v>
      </c>
    </row>
    <row r="538" spans="16:20" x14ac:dyDescent="0.3">
      <c r="P538">
        <f t="shared" si="35"/>
        <v>5.35</v>
      </c>
      <c r="Q538">
        <v>1.35</v>
      </c>
      <c r="R538">
        <f t="shared" si="36"/>
        <v>0.91149000000000002</v>
      </c>
      <c r="S538" t="e">
        <f t="shared" si="34"/>
        <v>#N/A</v>
      </c>
      <c r="T538">
        <f t="shared" si="37"/>
        <v>0.16037999999999999</v>
      </c>
    </row>
    <row r="539" spans="16:20" x14ac:dyDescent="0.3">
      <c r="P539">
        <f t="shared" si="35"/>
        <v>5.36</v>
      </c>
      <c r="Q539">
        <v>1.36</v>
      </c>
      <c r="R539">
        <f t="shared" si="36"/>
        <v>0.91308999999999996</v>
      </c>
      <c r="S539" t="e">
        <f t="shared" si="34"/>
        <v>#N/A</v>
      </c>
      <c r="T539">
        <f t="shared" si="37"/>
        <v>0.15822</v>
      </c>
    </row>
    <row r="540" spans="16:20" x14ac:dyDescent="0.3">
      <c r="P540">
        <f t="shared" si="35"/>
        <v>5.37</v>
      </c>
      <c r="Q540">
        <v>1.37</v>
      </c>
      <c r="R540">
        <f t="shared" si="36"/>
        <v>0.91466000000000003</v>
      </c>
      <c r="S540" t="e">
        <f t="shared" si="34"/>
        <v>#N/A</v>
      </c>
      <c r="T540">
        <f t="shared" si="37"/>
        <v>0.15608</v>
      </c>
    </row>
    <row r="541" spans="16:20" x14ac:dyDescent="0.3">
      <c r="P541">
        <f t="shared" si="35"/>
        <v>5.38</v>
      </c>
      <c r="Q541">
        <v>1.38</v>
      </c>
      <c r="R541">
        <f t="shared" si="36"/>
        <v>0.91620999999999997</v>
      </c>
      <c r="S541" t="e">
        <f t="shared" si="34"/>
        <v>#N/A</v>
      </c>
      <c r="T541">
        <f t="shared" si="37"/>
        <v>0.15395</v>
      </c>
    </row>
    <row r="542" spans="16:20" x14ac:dyDescent="0.3">
      <c r="P542">
        <f t="shared" si="35"/>
        <v>5.39</v>
      </c>
      <c r="Q542">
        <v>1.39</v>
      </c>
      <c r="R542">
        <f t="shared" si="36"/>
        <v>0.91774</v>
      </c>
      <c r="S542" t="e">
        <f t="shared" si="34"/>
        <v>#N/A</v>
      </c>
      <c r="T542">
        <f t="shared" si="37"/>
        <v>0.15182999999999999</v>
      </c>
    </row>
    <row r="543" spans="16:20" x14ac:dyDescent="0.3">
      <c r="P543">
        <f t="shared" si="35"/>
        <v>5.4</v>
      </c>
      <c r="Q543">
        <v>1.4</v>
      </c>
      <c r="R543">
        <f t="shared" si="36"/>
        <v>0.91923999999999995</v>
      </c>
      <c r="S543" t="e">
        <f t="shared" si="34"/>
        <v>#N/A</v>
      </c>
      <c r="T543">
        <f t="shared" si="37"/>
        <v>0.14973</v>
      </c>
    </row>
    <row r="544" spans="16:20" x14ac:dyDescent="0.3">
      <c r="P544">
        <f t="shared" si="35"/>
        <v>5.41</v>
      </c>
      <c r="Q544">
        <v>1.41</v>
      </c>
      <c r="R544">
        <f t="shared" si="36"/>
        <v>0.92073000000000005</v>
      </c>
      <c r="S544" t="e">
        <f t="shared" si="34"/>
        <v>#N/A</v>
      </c>
      <c r="T544">
        <f t="shared" si="37"/>
        <v>0.14763999999999999</v>
      </c>
    </row>
    <row r="545" spans="16:20" x14ac:dyDescent="0.3">
      <c r="P545">
        <f t="shared" si="35"/>
        <v>5.42</v>
      </c>
      <c r="Q545">
        <v>1.42</v>
      </c>
      <c r="R545">
        <f t="shared" si="36"/>
        <v>0.92220000000000002</v>
      </c>
      <c r="S545" t="e">
        <f t="shared" si="34"/>
        <v>#N/A</v>
      </c>
      <c r="T545">
        <f t="shared" si="37"/>
        <v>0.14555999999999999</v>
      </c>
    </row>
    <row r="546" spans="16:20" x14ac:dyDescent="0.3">
      <c r="P546">
        <f t="shared" si="35"/>
        <v>5.43</v>
      </c>
      <c r="Q546">
        <v>1.43</v>
      </c>
      <c r="R546">
        <f t="shared" si="36"/>
        <v>0.92364000000000002</v>
      </c>
      <c r="S546">
        <f t="shared" si="34"/>
        <v>0.92364000000000002</v>
      </c>
      <c r="T546">
        <f t="shared" si="37"/>
        <v>0.14349999999999999</v>
      </c>
    </row>
    <row r="547" spans="16:20" x14ac:dyDescent="0.3">
      <c r="P547">
        <f t="shared" si="35"/>
        <v>5.4399999999999995</v>
      </c>
      <c r="Q547">
        <v>1.44</v>
      </c>
      <c r="R547">
        <f t="shared" si="36"/>
        <v>0.92506999999999995</v>
      </c>
      <c r="S547" t="e">
        <f t="shared" si="34"/>
        <v>#N/A</v>
      </c>
      <c r="T547">
        <f t="shared" si="37"/>
        <v>0.14146</v>
      </c>
    </row>
    <row r="548" spans="16:20" x14ac:dyDescent="0.3">
      <c r="P548">
        <f t="shared" si="35"/>
        <v>5.45</v>
      </c>
      <c r="Q548">
        <v>1.45</v>
      </c>
      <c r="R548">
        <f t="shared" si="36"/>
        <v>0.92647000000000002</v>
      </c>
      <c r="S548" t="e">
        <f t="shared" si="34"/>
        <v>#N/A</v>
      </c>
      <c r="T548">
        <f t="shared" si="37"/>
        <v>0.13943</v>
      </c>
    </row>
    <row r="549" spans="16:20" x14ac:dyDescent="0.3">
      <c r="P549">
        <f t="shared" si="35"/>
        <v>5.46</v>
      </c>
      <c r="Q549">
        <v>1.46</v>
      </c>
      <c r="R549">
        <f t="shared" si="36"/>
        <v>0.92784999999999995</v>
      </c>
      <c r="S549" t="e">
        <f t="shared" si="34"/>
        <v>#N/A</v>
      </c>
      <c r="T549">
        <f t="shared" si="37"/>
        <v>0.13741999999999999</v>
      </c>
    </row>
    <row r="550" spans="16:20" x14ac:dyDescent="0.3">
      <c r="P550">
        <f t="shared" si="35"/>
        <v>5.47</v>
      </c>
      <c r="Q550">
        <v>1.47</v>
      </c>
      <c r="R550">
        <f t="shared" si="36"/>
        <v>0.92922000000000005</v>
      </c>
      <c r="S550" t="e">
        <f t="shared" si="34"/>
        <v>#N/A</v>
      </c>
      <c r="T550">
        <f t="shared" si="37"/>
        <v>0.13542000000000001</v>
      </c>
    </row>
    <row r="551" spans="16:20" x14ac:dyDescent="0.3">
      <c r="P551">
        <f t="shared" si="35"/>
        <v>5.48</v>
      </c>
      <c r="Q551">
        <v>1.48</v>
      </c>
      <c r="R551">
        <f t="shared" si="36"/>
        <v>0.93056000000000005</v>
      </c>
      <c r="S551" t="e">
        <f t="shared" si="34"/>
        <v>#N/A</v>
      </c>
      <c r="T551">
        <f t="shared" si="37"/>
        <v>0.13344</v>
      </c>
    </row>
    <row r="552" spans="16:20" x14ac:dyDescent="0.3">
      <c r="P552">
        <f t="shared" si="35"/>
        <v>5.49</v>
      </c>
      <c r="Q552">
        <v>1.49</v>
      </c>
      <c r="R552">
        <f t="shared" si="36"/>
        <v>0.93189</v>
      </c>
      <c r="S552" t="e">
        <f t="shared" si="34"/>
        <v>#N/A</v>
      </c>
      <c r="T552">
        <f t="shared" si="37"/>
        <v>0.13147</v>
      </c>
    </row>
    <row r="553" spans="16:20" x14ac:dyDescent="0.3">
      <c r="P553">
        <f t="shared" si="35"/>
        <v>5.5</v>
      </c>
      <c r="Q553">
        <v>1.5</v>
      </c>
      <c r="R553">
        <f t="shared" si="36"/>
        <v>0.93318999999999996</v>
      </c>
      <c r="S553" t="e">
        <f t="shared" si="34"/>
        <v>#N/A</v>
      </c>
      <c r="T553">
        <f t="shared" si="37"/>
        <v>0.12952</v>
      </c>
    </row>
    <row r="554" spans="16:20" x14ac:dyDescent="0.3">
      <c r="P554">
        <f t="shared" si="35"/>
        <v>5.51</v>
      </c>
      <c r="Q554">
        <v>1.51</v>
      </c>
      <c r="R554">
        <f t="shared" si="36"/>
        <v>0.93447999999999998</v>
      </c>
      <c r="S554" t="e">
        <f t="shared" si="34"/>
        <v>#N/A</v>
      </c>
      <c r="T554">
        <f t="shared" si="37"/>
        <v>0.12758</v>
      </c>
    </row>
    <row r="555" spans="16:20" x14ac:dyDescent="0.3">
      <c r="P555">
        <f t="shared" si="35"/>
        <v>5.52</v>
      </c>
      <c r="Q555">
        <v>1.52</v>
      </c>
      <c r="R555">
        <f t="shared" si="36"/>
        <v>0.93574000000000002</v>
      </c>
      <c r="S555" t="e">
        <f t="shared" si="34"/>
        <v>#N/A</v>
      </c>
      <c r="T555">
        <f t="shared" si="37"/>
        <v>0.12565999999999999</v>
      </c>
    </row>
    <row r="556" spans="16:20" x14ac:dyDescent="0.3">
      <c r="P556">
        <f t="shared" si="35"/>
        <v>5.53</v>
      </c>
      <c r="Q556">
        <v>1.53</v>
      </c>
      <c r="R556">
        <f t="shared" si="36"/>
        <v>0.93698999999999999</v>
      </c>
      <c r="S556" t="e">
        <f t="shared" si="34"/>
        <v>#N/A</v>
      </c>
      <c r="T556">
        <f t="shared" si="37"/>
        <v>0.12376</v>
      </c>
    </row>
    <row r="557" spans="16:20" x14ac:dyDescent="0.3">
      <c r="P557">
        <f t="shared" si="35"/>
        <v>5.54</v>
      </c>
      <c r="Q557">
        <v>1.54</v>
      </c>
      <c r="R557">
        <f t="shared" si="36"/>
        <v>0.93822000000000005</v>
      </c>
      <c r="S557" t="e">
        <f t="shared" si="34"/>
        <v>#N/A</v>
      </c>
      <c r="T557">
        <f t="shared" si="37"/>
        <v>0.12188</v>
      </c>
    </row>
    <row r="558" spans="16:20" x14ac:dyDescent="0.3">
      <c r="P558">
        <f t="shared" si="35"/>
        <v>5.55</v>
      </c>
      <c r="Q558">
        <v>1.55</v>
      </c>
      <c r="R558">
        <f t="shared" si="36"/>
        <v>0.93942999999999999</v>
      </c>
      <c r="S558" t="e">
        <f t="shared" si="34"/>
        <v>#N/A</v>
      </c>
      <c r="T558">
        <f t="shared" si="37"/>
        <v>0.12001000000000001</v>
      </c>
    </row>
    <row r="559" spans="16:20" x14ac:dyDescent="0.3">
      <c r="P559">
        <f t="shared" si="35"/>
        <v>5.5600000000000005</v>
      </c>
      <c r="Q559">
        <v>1.56</v>
      </c>
      <c r="R559">
        <f t="shared" si="36"/>
        <v>0.94062000000000001</v>
      </c>
      <c r="S559" t="e">
        <f t="shared" si="34"/>
        <v>#N/A</v>
      </c>
      <c r="T559">
        <f t="shared" si="37"/>
        <v>0.11816</v>
      </c>
    </row>
    <row r="560" spans="16:20" x14ac:dyDescent="0.3">
      <c r="P560">
        <f t="shared" si="35"/>
        <v>5.57</v>
      </c>
      <c r="Q560">
        <v>1.57</v>
      </c>
      <c r="R560">
        <f t="shared" si="36"/>
        <v>0.94179000000000002</v>
      </c>
      <c r="S560" t="e">
        <f t="shared" si="34"/>
        <v>#N/A</v>
      </c>
      <c r="T560">
        <f t="shared" si="37"/>
        <v>0.11632000000000001</v>
      </c>
    </row>
    <row r="561" spans="16:20" x14ac:dyDescent="0.3">
      <c r="P561">
        <f t="shared" si="35"/>
        <v>5.58</v>
      </c>
      <c r="Q561">
        <v>1.58</v>
      </c>
      <c r="R561">
        <f t="shared" si="36"/>
        <v>0.94294999999999995</v>
      </c>
      <c r="S561" t="e">
        <f t="shared" si="34"/>
        <v>#N/A</v>
      </c>
      <c r="T561">
        <f t="shared" si="37"/>
        <v>0.1145</v>
      </c>
    </row>
    <row r="562" spans="16:20" x14ac:dyDescent="0.3">
      <c r="P562">
        <f t="shared" si="35"/>
        <v>5.59</v>
      </c>
      <c r="Q562">
        <v>1.59</v>
      </c>
      <c r="R562">
        <f t="shared" si="36"/>
        <v>0.94408000000000003</v>
      </c>
      <c r="S562" t="e">
        <f t="shared" si="34"/>
        <v>#N/A</v>
      </c>
      <c r="T562">
        <f t="shared" si="37"/>
        <v>0.11269999999999999</v>
      </c>
    </row>
    <row r="563" spans="16:20" x14ac:dyDescent="0.3">
      <c r="P563">
        <f t="shared" si="35"/>
        <v>5.6</v>
      </c>
      <c r="Q563">
        <v>1.6</v>
      </c>
      <c r="R563">
        <f t="shared" si="36"/>
        <v>0.94520000000000004</v>
      </c>
      <c r="S563" t="e">
        <f t="shared" si="34"/>
        <v>#N/A</v>
      </c>
      <c r="T563">
        <f t="shared" si="37"/>
        <v>0.11092</v>
      </c>
    </row>
    <row r="564" spans="16:20" x14ac:dyDescent="0.3">
      <c r="P564">
        <f t="shared" si="35"/>
        <v>5.61</v>
      </c>
      <c r="Q564">
        <v>1.61</v>
      </c>
      <c r="R564">
        <f t="shared" si="36"/>
        <v>0.94630000000000003</v>
      </c>
      <c r="S564" t="e">
        <f t="shared" si="34"/>
        <v>#N/A</v>
      </c>
      <c r="T564">
        <f t="shared" si="37"/>
        <v>0.10915</v>
      </c>
    </row>
    <row r="565" spans="16:20" x14ac:dyDescent="0.3">
      <c r="P565">
        <f t="shared" si="35"/>
        <v>5.62</v>
      </c>
      <c r="Q565">
        <v>1.62</v>
      </c>
      <c r="R565">
        <f t="shared" si="36"/>
        <v>0.94738</v>
      </c>
      <c r="S565" t="e">
        <f t="shared" si="34"/>
        <v>#N/A</v>
      </c>
      <c r="T565">
        <f t="shared" si="37"/>
        <v>0.10741000000000001</v>
      </c>
    </row>
    <row r="566" spans="16:20" x14ac:dyDescent="0.3">
      <c r="P566">
        <f t="shared" si="35"/>
        <v>5.63</v>
      </c>
      <c r="Q566">
        <v>1.63</v>
      </c>
      <c r="R566">
        <f t="shared" si="36"/>
        <v>0.94845000000000002</v>
      </c>
      <c r="S566" t="e">
        <f t="shared" si="34"/>
        <v>#N/A</v>
      </c>
      <c r="T566">
        <f t="shared" si="37"/>
        <v>0.10567</v>
      </c>
    </row>
    <row r="567" spans="16:20" x14ac:dyDescent="0.3">
      <c r="P567">
        <f t="shared" si="35"/>
        <v>5.64</v>
      </c>
      <c r="Q567">
        <v>1.64</v>
      </c>
      <c r="R567">
        <f t="shared" si="36"/>
        <v>0.94950000000000001</v>
      </c>
      <c r="S567">
        <f t="shared" si="34"/>
        <v>0.94950000000000001</v>
      </c>
      <c r="T567">
        <f t="shared" si="37"/>
        <v>0.10396</v>
      </c>
    </row>
    <row r="568" spans="16:20" x14ac:dyDescent="0.3">
      <c r="P568">
        <f t="shared" si="35"/>
        <v>5.65</v>
      </c>
      <c r="Q568">
        <v>1.65</v>
      </c>
      <c r="R568">
        <f t="shared" si="36"/>
        <v>0.95052999999999999</v>
      </c>
      <c r="S568" t="e">
        <f t="shared" si="34"/>
        <v>#N/A</v>
      </c>
      <c r="T568">
        <f t="shared" si="37"/>
        <v>0.10226</v>
      </c>
    </row>
    <row r="569" spans="16:20" x14ac:dyDescent="0.3">
      <c r="P569">
        <f t="shared" si="35"/>
        <v>5.66</v>
      </c>
      <c r="Q569">
        <v>1.66</v>
      </c>
      <c r="R569">
        <f t="shared" si="36"/>
        <v>0.95154000000000005</v>
      </c>
      <c r="S569" t="e">
        <f t="shared" si="34"/>
        <v>#N/A</v>
      </c>
      <c r="T569">
        <f t="shared" si="37"/>
        <v>0.10059</v>
      </c>
    </row>
    <row r="570" spans="16:20" x14ac:dyDescent="0.3">
      <c r="P570">
        <f t="shared" si="35"/>
        <v>5.67</v>
      </c>
      <c r="Q570">
        <v>1.67</v>
      </c>
      <c r="R570">
        <f t="shared" si="36"/>
        <v>0.95254000000000005</v>
      </c>
      <c r="S570" t="e">
        <f t="shared" si="34"/>
        <v>#N/A</v>
      </c>
      <c r="T570">
        <f t="shared" si="37"/>
        <v>9.8930000000000004E-2</v>
      </c>
    </row>
    <row r="571" spans="16:20" x14ac:dyDescent="0.3">
      <c r="P571">
        <f t="shared" si="35"/>
        <v>5.68</v>
      </c>
      <c r="Q571">
        <v>1.68</v>
      </c>
      <c r="R571">
        <f t="shared" si="36"/>
        <v>0.95352000000000003</v>
      </c>
      <c r="S571" t="e">
        <f t="shared" si="34"/>
        <v>#N/A</v>
      </c>
      <c r="T571">
        <f t="shared" si="37"/>
        <v>9.7280000000000005E-2</v>
      </c>
    </row>
    <row r="572" spans="16:20" x14ac:dyDescent="0.3">
      <c r="P572">
        <f t="shared" si="35"/>
        <v>5.6899999999999995</v>
      </c>
      <c r="Q572">
        <v>1.69</v>
      </c>
      <c r="R572">
        <f t="shared" si="36"/>
        <v>0.95448999999999995</v>
      </c>
      <c r="S572" t="e">
        <f t="shared" si="34"/>
        <v>#N/A</v>
      </c>
      <c r="T572">
        <f t="shared" si="37"/>
        <v>9.5659999999999995E-2</v>
      </c>
    </row>
    <row r="573" spans="16:20" x14ac:dyDescent="0.3">
      <c r="P573">
        <f t="shared" si="35"/>
        <v>5.7</v>
      </c>
      <c r="Q573">
        <v>1.7</v>
      </c>
      <c r="R573">
        <f t="shared" si="36"/>
        <v>0.95543</v>
      </c>
      <c r="S573" t="e">
        <f t="shared" si="34"/>
        <v>#N/A</v>
      </c>
      <c r="T573">
        <f t="shared" si="37"/>
        <v>9.4049999999999995E-2</v>
      </c>
    </row>
    <row r="574" spans="16:20" x14ac:dyDescent="0.3">
      <c r="P574">
        <f t="shared" si="35"/>
        <v>5.71</v>
      </c>
      <c r="Q574">
        <v>1.71</v>
      </c>
      <c r="R574">
        <f t="shared" si="36"/>
        <v>0.95637000000000005</v>
      </c>
      <c r="S574" t="e">
        <f t="shared" si="34"/>
        <v>#N/A</v>
      </c>
      <c r="T574">
        <f t="shared" si="37"/>
        <v>9.2460000000000001E-2</v>
      </c>
    </row>
    <row r="575" spans="16:20" x14ac:dyDescent="0.3">
      <c r="P575">
        <f t="shared" si="35"/>
        <v>5.72</v>
      </c>
      <c r="Q575">
        <v>1.72</v>
      </c>
      <c r="R575">
        <f t="shared" si="36"/>
        <v>0.95728000000000002</v>
      </c>
      <c r="S575" t="e">
        <f t="shared" si="34"/>
        <v>#N/A</v>
      </c>
      <c r="T575">
        <f t="shared" si="37"/>
        <v>9.0889999999999999E-2</v>
      </c>
    </row>
    <row r="576" spans="16:20" x14ac:dyDescent="0.3">
      <c r="P576">
        <f t="shared" si="35"/>
        <v>5.73</v>
      </c>
      <c r="Q576">
        <v>1.73</v>
      </c>
      <c r="R576">
        <f t="shared" si="36"/>
        <v>0.95818000000000003</v>
      </c>
      <c r="S576" t="e">
        <f t="shared" si="34"/>
        <v>#N/A</v>
      </c>
      <c r="T576">
        <f t="shared" si="37"/>
        <v>8.9330000000000007E-2</v>
      </c>
    </row>
    <row r="577" spans="16:20" x14ac:dyDescent="0.3">
      <c r="P577">
        <f t="shared" si="35"/>
        <v>5.74</v>
      </c>
      <c r="Q577">
        <v>1.74</v>
      </c>
      <c r="R577">
        <f t="shared" si="36"/>
        <v>0.95906999999999998</v>
      </c>
      <c r="S577" t="e">
        <f t="shared" si="34"/>
        <v>#N/A</v>
      </c>
      <c r="T577">
        <f t="shared" si="37"/>
        <v>8.7800000000000003E-2</v>
      </c>
    </row>
    <row r="578" spans="16:20" x14ac:dyDescent="0.3">
      <c r="P578">
        <f t="shared" si="35"/>
        <v>5.75</v>
      </c>
      <c r="Q578">
        <v>1.75</v>
      </c>
      <c r="R578">
        <f t="shared" si="36"/>
        <v>0.95994000000000002</v>
      </c>
      <c r="S578" t="e">
        <f t="shared" si="34"/>
        <v>#N/A</v>
      </c>
      <c r="T578">
        <f t="shared" si="37"/>
        <v>8.6279999999999996E-2</v>
      </c>
    </row>
    <row r="579" spans="16:20" x14ac:dyDescent="0.3">
      <c r="P579">
        <f t="shared" si="35"/>
        <v>5.76</v>
      </c>
      <c r="Q579">
        <v>1.76</v>
      </c>
      <c r="R579">
        <f t="shared" si="36"/>
        <v>0.96079999999999999</v>
      </c>
      <c r="S579" t="e">
        <f t="shared" ref="S579:S642" si="38">VLOOKUP(R579,$W$3:$W$42,1,0)</f>
        <v>#N/A</v>
      </c>
      <c r="T579">
        <f t="shared" si="37"/>
        <v>8.4779999999999994E-2</v>
      </c>
    </row>
    <row r="580" spans="16:20" x14ac:dyDescent="0.3">
      <c r="P580">
        <f t="shared" ref="P580:P643" si="39">4+(Q580)</f>
        <v>5.77</v>
      </c>
      <c r="Q580">
        <v>1.77</v>
      </c>
      <c r="R580">
        <f t="shared" ref="R580:R643" si="40">ROUND(_xlfn.NORM.S.DIST(Q580,1),5)</f>
        <v>0.96164000000000005</v>
      </c>
      <c r="S580" t="e">
        <f t="shared" si="38"/>
        <v>#N/A</v>
      </c>
      <c r="T580">
        <f t="shared" ref="T580:T643" si="41">ROUND(_xlfn.NORM.S.DIST(Q580,0),5)</f>
        <v>8.3290000000000003E-2</v>
      </c>
    </row>
    <row r="581" spans="16:20" x14ac:dyDescent="0.3">
      <c r="P581">
        <f t="shared" si="39"/>
        <v>5.78</v>
      </c>
      <c r="Q581">
        <v>1.78</v>
      </c>
      <c r="R581">
        <f t="shared" si="40"/>
        <v>0.96245999999999998</v>
      </c>
      <c r="S581" t="e">
        <f t="shared" si="38"/>
        <v>#N/A</v>
      </c>
      <c r="T581">
        <f t="shared" si="41"/>
        <v>8.183E-2</v>
      </c>
    </row>
    <row r="582" spans="16:20" x14ac:dyDescent="0.3">
      <c r="P582">
        <f t="shared" si="39"/>
        <v>5.79</v>
      </c>
      <c r="Q582">
        <v>1.79</v>
      </c>
      <c r="R582">
        <f t="shared" si="40"/>
        <v>0.96326999999999996</v>
      </c>
      <c r="S582" t="e">
        <f t="shared" si="38"/>
        <v>#N/A</v>
      </c>
      <c r="T582">
        <f t="shared" si="41"/>
        <v>8.0379999999999993E-2</v>
      </c>
    </row>
    <row r="583" spans="16:20" x14ac:dyDescent="0.3">
      <c r="P583">
        <f t="shared" si="39"/>
        <v>5.8</v>
      </c>
      <c r="Q583">
        <v>1.8</v>
      </c>
      <c r="R583">
        <f t="shared" si="40"/>
        <v>0.96406999999999998</v>
      </c>
      <c r="S583" t="e">
        <f t="shared" si="38"/>
        <v>#N/A</v>
      </c>
      <c r="T583">
        <f t="shared" si="41"/>
        <v>7.8950000000000006E-2</v>
      </c>
    </row>
    <row r="584" spans="16:20" x14ac:dyDescent="0.3">
      <c r="P584">
        <f t="shared" si="39"/>
        <v>5.8100000000000005</v>
      </c>
      <c r="Q584">
        <v>1.81</v>
      </c>
      <c r="R584">
        <f t="shared" si="40"/>
        <v>0.96484999999999999</v>
      </c>
      <c r="S584" t="e">
        <f t="shared" si="38"/>
        <v>#N/A</v>
      </c>
      <c r="T584">
        <f t="shared" si="41"/>
        <v>7.7539999999999998E-2</v>
      </c>
    </row>
    <row r="585" spans="16:20" x14ac:dyDescent="0.3">
      <c r="P585">
        <f t="shared" si="39"/>
        <v>5.82</v>
      </c>
      <c r="Q585">
        <v>1.82</v>
      </c>
      <c r="R585">
        <f t="shared" si="40"/>
        <v>0.96562000000000003</v>
      </c>
      <c r="S585" t="e">
        <f t="shared" si="38"/>
        <v>#N/A</v>
      </c>
      <c r="T585">
        <f t="shared" si="41"/>
        <v>7.6139999999999999E-2</v>
      </c>
    </row>
    <row r="586" spans="16:20" x14ac:dyDescent="0.3">
      <c r="P586">
        <f t="shared" si="39"/>
        <v>5.83</v>
      </c>
      <c r="Q586">
        <v>1.83</v>
      </c>
      <c r="R586">
        <f t="shared" si="40"/>
        <v>0.96638000000000002</v>
      </c>
      <c r="S586" t="e">
        <f t="shared" si="38"/>
        <v>#N/A</v>
      </c>
      <c r="T586">
        <f t="shared" si="41"/>
        <v>7.4770000000000003E-2</v>
      </c>
    </row>
    <row r="587" spans="16:20" x14ac:dyDescent="0.3">
      <c r="P587">
        <f t="shared" si="39"/>
        <v>5.84</v>
      </c>
      <c r="Q587">
        <v>1.84</v>
      </c>
      <c r="R587">
        <f t="shared" si="40"/>
        <v>0.96711999999999998</v>
      </c>
      <c r="S587" t="e">
        <f t="shared" si="38"/>
        <v>#N/A</v>
      </c>
      <c r="T587">
        <f t="shared" si="41"/>
        <v>7.3410000000000003E-2</v>
      </c>
    </row>
    <row r="588" spans="16:20" x14ac:dyDescent="0.3">
      <c r="P588">
        <f t="shared" si="39"/>
        <v>5.85</v>
      </c>
      <c r="Q588">
        <v>1.85</v>
      </c>
      <c r="R588">
        <f t="shared" si="40"/>
        <v>0.96784000000000003</v>
      </c>
      <c r="S588" t="e">
        <f t="shared" si="38"/>
        <v>#N/A</v>
      </c>
      <c r="T588">
        <f t="shared" si="41"/>
        <v>7.2059999999999999E-2</v>
      </c>
    </row>
    <row r="589" spans="16:20" x14ac:dyDescent="0.3">
      <c r="P589">
        <f t="shared" si="39"/>
        <v>5.86</v>
      </c>
      <c r="Q589">
        <v>1.86</v>
      </c>
      <c r="R589">
        <f t="shared" si="40"/>
        <v>0.96855999999999998</v>
      </c>
      <c r="S589" t="e">
        <f t="shared" si="38"/>
        <v>#N/A</v>
      </c>
      <c r="T589">
        <f t="shared" si="41"/>
        <v>7.0739999999999997E-2</v>
      </c>
    </row>
    <row r="590" spans="16:20" x14ac:dyDescent="0.3">
      <c r="P590">
        <f t="shared" si="39"/>
        <v>5.87</v>
      </c>
      <c r="Q590">
        <v>1.87</v>
      </c>
      <c r="R590">
        <f t="shared" si="40"/>
        <v>0.96926000000000001</v>
      </c>
      <c r="S590" t="e">
        <f t="shared" si="38"/>
        <v>#N/A</v>
      </c>
      <c r="T590">
        <f t="shared" si="41"/>
        <v>6.9430000000000006E-2</v>
      </c>
    </row>
    <row r="591" spans="16:20" x14ac:dyDescent="0.3">
      <c r="P591">
        <f t="shared" si="39"/>
        <v>5.88</v>
      </c>
      <c r="Q591">
        <v>1.88</v>
      </c>
      <c r="R591">
        <f t="shared" si="40"/>
        <v>0.96994999999999998</v>
      </c>
      <c r="S591" t="e">
        <f t="shared" si="38"/>
        <v>#N/A</v>
      </c>
      <c r="T591">
        <f t="shared" si="41"/>
        <v>6.8140000000000006E-2</v>
      </c>
    </row>
    <row r="592" spans="16:20" x14ac:dyDescent="0.3">
      <c r="P592">
        <f t="shared" si="39"/>
        <v>5.89</v>
      </c>
      <c r="Q592">
        <v>1.89</v>
      </c>
      <c r="R592">
        <f t="shared" si="40"/>
        <v>0.97062000000000004</v>
      </c>
      <c r="S592" t="e">
        <f t="shared" si="38"/>
        <v>#N/A</v>
      </c>
      <c r="T592">
        <f t="shared" si="41"/>
        <v>6.6869999999999999E-2</v>
      </c>
    </row>
    <row r="593" spans="16:20" x14ac:dyDescent="0.3">
      <c r="P593">
        <f t="shared" si="39"/>
        <v>5.9</v>
      </c>
      <c r="Q593">
        <v>1.9</v>
      </c>
      <c r="R593">
        <f t="shared" si="40"/>
        <v>0.97128000000000003</v>
      </c>
      <c r="S593" t="e">
        <f t="shared" si="38"/>
        <v>#N/A</v>
      </c>
      <c r="T593">
        <f t="shared" si="41"/>
        <v>6.5619999999999998E-2</v>
      </c>
    </row>
    <row r="594" spans="16:20" x14ac:dyDescent="0.3">
      <c r="P594">
        <f t="shared" si="39"/>
        <v>5.91</v>
      </c>
      <c r="Q594">
        <v>1.91</v>
      </c>
      <c r="R594">
        <f t="shared" si="40"/>
        <v>0.97192999999999996</v>
      </c>
      <c r="S594" t="e">
        <f t="shared" si="38"/>
        <v>#N/A</v>
      </c>
      <c r="T594">
        <f t="shared" si="41"/>
        <v>6.4380000000000007E-2</v>
      </c>
    </row>
    <row r="595" spans="16:20" x14ac:dyDescent="0.3">
      <c r="P595">
        <f t="shared" si="39"/>
        <v>5.92</v>
      </c>
      <c r="Q595">
        <v>1.92</v>
      </c>
      <c r="R595">
        <f t="shared" si="40"/>
        <v>0.97257000000000005</v>
      </c>
      <c r="S595" t="e">
        <f t="shared" si="38"/>
        <v>#N/A</v>
      </c>
      <c r="T595">
        <f t="shared" si="41"/>
        <v>6.3159999999999994E-2</v>
      </c>
    </row>
    <row r="596" spans="16:20" x14ac:dyDescent="0.3">
      <c r="P596">
        <f t="shared" si="39"/>
        <v>5.93</v>
      </c>
      <c r="Q596">
        <v>1.93</v>
      </c>
      <c r="R596">
        <f t="shared" si="40"/>
        <v>0.97319999999999995</v>
      </c>
      <c r="S596" t="e">
        <f t="shared" si="38"/>
        <v>#N/A</v>
      </c>
      <c r="T596">
        <f t="shared" si="41"/>
        <v>6.1949999999999998E-2</v>
      </c>
    </row>
    <row r="597" spans="16:20" x14ac:dyDescent="0.3">
      <c r="P597">
        <f t="shared" si="39"/>
        <v>5.9399999999999995</v>
      </c>
      <c r="Q597">
        <v>1.94</v>
      </c>
      <c r="R597">
        <f t="shared" si="40"/>
        <v>0.97380999999999995</v>
      </c>
      <c r="S597" t="e">
        <f t="shared" si="38"/>
        <v>#N/A</v>
      </c>
      <c r="T597">
        <f t="shared" si="41"/>
        <v>6.0769999999999998E-2</v>
      </c>
    </row>
    <row r="598" spans="16:20" x14ac:dyDescent="0.3">
      <c r="P598">
        <f t="shared" si="39"/>
        <v>5.95</v>
      </c>
      <c r="Q598">
        <v>1.95</v>
      </c>
      <c r="R598">
        <f t="shared" si="40"/>
        <v>0.97441</v>
      </c>
      <c r="S598" t="e">
        <f t="shared" si="38"/>
        <v>#N/A</v>
      </c>
      <c r="T598">
        <f t="shared" si="41"/>
        <v>5.9589999999999997E-2</v>
      </c>
    </row>
    <row r="599" spans="16:20" x14ac:dyDescent="0.3">
      <c r="P599">
        <f t="shared" si="39"/>
        <v>5.96</v>
      </c>
      <c r="Q599">
        <v>1.96</v>
      </c>
      <c r="R599">
        <f t="shared" si="40"/>
        <v>0.97499999999999998</v>
      </c>
      <c r="S599">
        <f t="shared" si="38"/>
        <v>0.97499999999999998</v>
      </c>
      <c r="T599">
        <f t="shared" si="41"/>
        <v>5.8439999999999999E-2</v>
      </c>
    </row>
    <row r="600" spans="16:20" x14ac:dyDescent="0.3">
      <c r="P600">
        <f t="shared" si="39"/>
        <v>5.97</v>
      </c>
      <c r="Q600">
        <v>1.97</v>
      </c>
      <c r="R600">
        <f t="shared" si="40"/>
        <v>0.97558</v>
      </c>
      <c r="S600" t="e">
        <f t="shared" si="38"/>
        <v>#N/A</v>
      </c>
      <c r="T600">
        <f t="shared" si="41"/>
        <v>5.7299999999999997E-2</v>
      </c>
    </row>
    <row r="601" spans="16:20" x14ac:dyDescent="0.3">
      <c r="P601">
        <f t="shared" si="39"/>
        <v>5.98</v>
      </c>
      <c r="Q601">
        <v>1.98</v>
      </c>
      <c r="R601">
        <f t="shared" si="40"/>
        <v>0.97614999999999996</v>
      </c>
      <c r="S601" t="e">
        <f t="shared" si="38"/>
        <v>#N/A</v>
      </c>
      <c r="T601">
        <f t="shared" si="41"/>
        <v>5.6180000000000001E-2</v>
      </c>
    </row>
    <row r="602" spans="16:20" x14ac:dyDescent="0.3">
      <c r="P602">
        <f t="shared" si="39"/>
        <v>5.99</v>
      </c>
      <c r="Q602">
        <v>1.99</v>
      </c>
      <c r="R602">
        <f t="shared" si="40"/>
        <v>0.97670000000000001</v>
      </c>
      <c r="S602" t="e">
        <f t="shared" si="38"/>
        <v>#N/A</v>
      </c>
      <c r="T602">
        <f t="shared" si="41"/>
        <v>5.5079999999999997E-2</v>
      </c>
    </row>
    <row r="603" spans="16:20" x14ac:dyDescent="0.3">
      <c r="P603">
        <f t="shared" si="39"/>
        <v>6</v>
      </c>
      <c r="Q603">
        <v>2</v>
      </c>
      <c r="R603">
        <f t="shared" si="40"/>
        <v>0.97724999999999995</v>
      </c>
      <c r="S603" t="e">
        <f t="shared" si="38"/>
        <v>#N/A</v>
      </c>
      <c r="T603">
        <f t="shared" si="41"/>
        <v>5.3990000000000003E-2</v>
      </c>
    </row>
    <row r="604" spans="16:20" x14ac:dyDescent="0.3">
      <c r="P604">
        <f t="shared" si="39"/>
        <v>6.01</v>
      </c>
      <c r="Q604">
        <v>2.0099999999999998</v>
      </c>
      <c r="R604">
        <f t="shared" si="40"/>
        <v>0.97777999999999998</v>
      </c>
      <c r="S604" t="e">
        <f t="shared" si="38"/>
        <v>#N/A</v>
      </c>
      <c r="T604">
        <f t="shared" si="41"/>
        <v>5.2920000000000002E-2</v>
      </c>
    </row>
    <row r="605" spans="16:20" x14ac:dyDescent="0.3">
      <c r="P605">
        <f t="shared" si="39"/>
        <v>6.02</v>
      </c>
      <c r="Q605">
        <v>2.02</v>
      </c>
      <c r="R605">
        <f t="shared" si="40"/>
        <v>0.97831000000000001</v>
      </c>
      <c r="S605" t="e">
        <f t="shared" si="38"/>
        <v>#N/A</v>
      </c>
      <c r="T605">
        <f t="shared" si="41"/>
        <v>5.1860000000000003E-2</v>
      </c>
    </row>
    <row r="606" spans="16:20" x14ac:dyDescent="0.3">
      <c r="P606">
        <f t="shared" si="39"/>
        <v>6.0299999999999994</v>
      </c>
      <c r="Q606">
        <v>2.0299999999999998</v>
      </c>
      <c r="R606">
        <f t="shared" si="40"/>
        <v>0.97882000000000002</v>
      </c>
      <c r="S606" t="e">
        <f t="shared" si="38"/>
        <v>#N/A</v>
      </c>
      <c r="T606">
        <f t="shared" si="41"/>
        <v>5.0819999999999997E-2</v>
      </c>
    </row>
    <row r="607" spans="16:20" x14ac:dyDescent="0.3">
      <c r="P607">
        <f t="shared" si="39"/>
        <v>6.04</v>
      </c>
      <c r="Q607">
        <v>2.04</v>
      </c>
      <c r="R607">
        <f t="shared" si="40"/>
        <v>0.97931999999999997</v>
      </c>
      <c r="S607" t="e">
        <f t="shared" si="38"/>
        <v>#N/A</v>
      </c>
      <c r="T607">
        <f t="shared" si="41"/>
        <v>4.9799999999999997E-2</v>
      </c>
    </row>
    <row r="608" spans="16:20" x14ac:dyDescent="0.3">
      <c r="P608">
        <f t="shared" si="39"/>
        <v>6.05</v>
      </c>
      <c r="Q608">
        <v>2.0499999999999998</v>
      </c>
      <c r="R608">
        <f t="shared" si="40"/>
        <v>0.97982000000000002</v>
      </c>
      <c r="S608" t="e">
        <f t="shared" si="38"/>
        <v>#N/A</v>
      </c>
      <c r="T608">
        <f t="shared" si="41"/>
        <v>4.879E-2</v>
      </c>
    </row>
    <row r="609" spans="16:20" x14ac:dyDescent="0.3">
      <c r="P609">
        <f t="shared" si="39"/>
        <v>6.0600000000000005</v>
      </c>
      <c r="Q609">
        <v>2.06</v>
      </c>
      <c r="R609">
        <f t="shared" si="40"/>
        <v>0.98029999999999995</v>
      </c>
      <c r="S609" t="e">
        <f t="shared" si="38"/>
        <v>#N/A</v>
      </c>
      <c r="T609">
        <f t="shared" si="41"/>
        <v>4.7800000000000002E-2</v>
      </c>
    </row>
    <row r="610" spans="16:20" x14ac:dyDescent="0.3">
      <c r="P610">
        <f t="shared" si="39"/>
        <v>6.07</v>
      </c>
      <c r="Q610">
        <v>2.0699999999999998</v>
      </c>
      <c r="R610">
        <f t="shared" si="40"/>
        <v>0.98077000000000003</v>
      </c>
      <c r="S610" t="e">
        <f t="shared" si="38"/>
        <v>#N/A</v>
      </c>
      <c r="T610">
        <f t="shared" si="41"/>
        <v>4.6820000000000001E-2</v>
      </c>
    </row>
    <row r="611" spans="16:20" x14ac:dyDescent="0.3">
      <c r="P611">
        <f t="shared" si="39"/>
        <v>6.08</v>
      </c>
      <c r="Q611">
        <v>2.08</v>
      </c>
      <c r="R611">
        <f t="shared" si="40"/>
        <v>0.98124</v>
      </c>
      <c r="S611" t="e">
        <f t="shared" si="38"/>
        <v>#N/A</v>
      </c>
      <c r="T611">
        <f t="shared" si="41"/>
        <v>4.5859999999999998E-2</v>
      </c>
    </row>
    <row r="612" spans="16:20" x14ac:dyDescent="0.3">
      <c r="P612">
        <f t="shared" si="39"/>
        <v>6.09</v>
      </c>
      <c r="Q612">
        <v>2.09</v>
      </c>
      <c r="R612">
        <f t="shared" si="40"/>
        <v>0.98168999999999995</v>
      </c>
      <c r="S612" t="e">
        <f t="shared" si="38"/>
        <v>#N/A</v>
      </c>
      <c r="T612">
        <f t="shared" si="41"/>
        <v>4.4909999999999999E-2</v>
      </c>
    </row>
    <row r="613" spans="16:20" x14ac:dyDescent="0.3">
      <c r="P613">
        <f t="shared" si="39"/>
        <v>6.1</v>
      </c>
      <c r="Q613">
        <v>2.1</v>
      </c>
      <c r="R613">
        <f t="shared" si="40"/>
        <v>0.98214000000000001</v>
      </c>
      <c r="S613" t="e">
        <f t="shared" si="38"/>
        <v>#N/A</v>
      </c>
      <c r="T613">
        <f t="shared" si="41"/>
        <v>4.3979999999999998E-2</v>
      </c>
    </row>
    <row r="614" spans="16:20" x14ac:dyDescent="0.3">
      <c r="P614">
        <f t="shared" si="39"/>
        <v>6.1099999999999994</v>
      </c>
      <c r="Q614">
        <v>2.11</v>
      </c>
      <c r="R614">
        <f t="shared" si="40"/>
        <v>0.98257000000000005</v>
      </c>
      <c r="S614" t="e">
        <f t="shared" si="38"/>
        <v>#N/A</v>
      </c>
      <c r="T614">
        <f t="shared" si="41"/>
        <v>4.3069999999999997E-2</v>
      </c>
    </row>
    <row r="615" spans="16:20" x14ac:dyDescent="0.3">
      <c r="P615">
        <f t="shared" si="39"/>
        <v>6.12</v>
      </c>
      <c r="Q615">
        <v>2.12</v>
      </c>
      <c r="R615">
        <f t="shared" si="40"/>
        <v>0.98299999999999998</v>
      </c>
      <c r="S615" t="e">
        <f t="shared" si="38"/>
        <v>#N/A</v>
      </c>
      <c r="T615">
        <f t="shared" si="41"/>
        <v>4.2169999999999999E-2</v>
      </c>
    </row>
    <row r="616" spans="16:20" x14ac:dyDescent="0.3">
      <c r="P616">
        <f t="shared" si="39"/>
        <v>6.13</v>
      </c>
      <c r="Q616">
        <v>2.13</v>
      </c>
      <c r="R616">
        <f t="shared" si="40"/>
        <v>0.98341000000000001</v>
      </c>
      <c r="S616" t="e">
        <f t="shared" si="38"/>
        <v>#N/A</v>
      </c>
      <c r="T616">
        <f t="shared" si="41"/>
        <v>4.1279999999999997E-2</v>
      </c>
    </row>
    <row r="617" spans="16:20" x14ac:dyDescent="0.3">
      <c r="P617">
        <f t="shared" si="39"/>
        <v>6.1400000000000006</v>
      </c>
      <c r="Q617">
        <v>2.14</v>
      </c>
      <c r="R617">
        <f t="shared" si="40"/>
        <v>0.98382000000000003</v>
      </c>
      <c r="S617" t="e">
        <f t="shared" si="38"/>
        <v>#N/A</v>
      </c>
      <c r="T617">
        <f t="shared" si="41"/>
        <v>4.0410000000000001E-2</v>
      </c>
    </row>
    <row r="618" spans="16:20" x14ac:dyDescent="0.3">
      <c r="P618">
        <f t="shared" si="39"/>
        <v>6.15</v>
      </c>
      <c r="Q618">
        <v>2.15</v>
      </c>
      <c r="R618">
        <f t="shared" si="40"/>
        <v>0.98421999999999998</v>
      </c>
      <c r="S618" t="e">
        <f t="shared" si="38"/>
        <v>#N/A</v>
      </c>
      <c r="T618">
        <f t="shared" si="41"/>
        <v>3.9550000000000002E-2</v>
      </c>
    </row>
    <row r="619" spans="16:20" x14ac:dyDescent="0.3">
      <c r="P619">
        <f t="shared" si="39"/>
        <v>6.16</v>
      </c>
      <c r="Q619">
        <v>2.16</v>
      </c>
      <c r="R619">
        <f t="shared" si="40"/>
        <v>0.98460999999999999</v>
      </c>
      <c r="S619" t="e">
        <f t="shared" si="38"/>
        <v>#N/A</v>
      </c>
      <c r="T619">
        <f t="shared" si="41"/>
        <v>3.8710000000000001E-2</v>
      </c>
    </row>
    <row r="620" spans="16:20" x14ac:dyDescent="0.3">
      <c r="P620">
        <f t="shared" si="39"/>
        <v>6.17</v>
      </c>
      <c r="Q620">
        <v>2.17</v>
      </c>
      <c r="R620">
        <f t="shared" si="40"/>
        <v>0.98499999999999999</v>
      </c>
      <c r="S620" t="e">
        <f t="shared" si="38"/>
        <v>#N/A</v>
      </c>
      <c r="T620">
        <f t="shared" si="41"/>
        <v>3.7879999999999997E-2</v>
      </c>
    </row>
    <row r="621" spans="16:20" x14ac:dyDescent="0.3">
      <c r="P621">
        <f t="shared" si="39"/>
        <v>6.18</v>
      </c>
      <c r="Q621">
        <v>2.1800000000000002</v>
      </c>
      <c r="R621">
        <f t="shared" si="40"/>
        <v>0.98536999999999997</v>
      </c>
      <c r="S621" t="e">
        <f t="shared" si="38"/>
        <v>#N/A</v>
      </c>
      <c r="T621">
        <f t="shared" si="41"/>
        <v>3.7060000000000003E-2</v>
      </c>
    </row>
    <row r="622" spans="16:20" x14ac:dyDescent="0.3">
      <c r="P622">
        <f t="shared" si="39"/>
        <v>6.1899999999999995</v>
      </c>
      <c r="Q622">
        <v>2.19</v>
      </c>
      <c r="R622">
        <f t="shared" si="40"/>
        <v>0.98573999999999995</v>
      </c>
      <c r="S622" t="e">
        <f t="shared" si="38"/>
        <v>#N/A</v>
      </c>
      <c r="T622">
        <f t="shared" si="41"/>
        <v>3.6260000000000001E-2</v>
      </c>
    </row>
    <row r="623" spans="16:20" x14ac:dyDescent="0.3">
      <c r="P623">
        <f t="shared" si="39"/>
        <v>6.2</v>
      </c>
      <c r="Q623">
        <v>2.2000000000000002</v>
      </c>
      <c r="R623">
        <f t="shared" si="40"/>
        <v>0.98609999999999998</v>
      </c>
      <c r="S623" t="e">
        <f t="shared" si="38"/>
        <v>#N/A</v>
      </c>
      <c r="T623">
        <f t="shared" si="41"/>
        <v>3.5470000000000002E-2</v>
      </c>
    </row>
    <row r="624" spans="16:20" x14ac:dyDescent="0.3">
      <c r="P624">
        <f t="shared" si="39"/>
        <v>6.21</v>
      </c>
      <c r="Q624">
        <v>2.21</v>
      </c>
      <c r="R624">
        <f t="shared" si="40"/>
        <v>0.98645000000000005</v>
      </c>
      <c r="S624" t="e">
        <f t="shared" si="38"/>
        <v>#N/A</v>
      </c>
      <c r="T624">
        <f t="shared" si="41"/>
        <v>3.4700000000000002E-2</v>
      </c>
    </row>
    <row r="625" spans="16:20" x14ac:dyDescent="0.3">
      <c r="P625">
        <f t="shared" si="39"/>
        <v>6.2200000000000006</v>
      </c>
      <c r="Q625">
        <v>2.2200000000000002</v>
      </c>
      <c r="R625">
        <f t="shared" si="40"/>
        <v>0.98678999999999994</v>
      </c>
      <c r="S625" t="e">
        <f t="shared" si="38"/>
        <v>#N/A</v>
      </c>
      <c r="T625">
        <f t="shared" si="41"/>
        <v>3.3939999999999998E-2</v>
      </c>
    </row>
    <row r="626" spans="16:20" x14ac:dyDescent="0.3">
      <c r="P626">
        <f t="shared" si="39"/>
        <v>6.23</v>
      </c>
      <c r="Q626">
        <v>2.23</v>
      </c>
      <c r="R626">
        <f t="shared" si="40"/>
        <v>0.98712999999999995</v>
      </c>
      <c r="S626" t="e">
        <f t="shared" si="38"/>
        <v>#N/A</v>
      </c>
      <c r="T626">
        <f t="shared" si="41"/>
        <v>3.3189999999999997E-2</v>
      </c>
    </row>
    <row r="627" spans="16:20" x14ac:dyDescent="0.3">
      <c r="P627">
        <f t="shared" si="39"/>
        <v>6.24</v>
      </c>
      <c r="Q627">
        <v>2.2400000000000002</v>
      </c>
      <c r="R627">
        <f t="shared" si="40"/>
        <v>0.98745000000000005</v>
      </c>
      <c r="S627" t="e">
        <f t="shared" si="38"/>
        <v>#N/A</v>
      </c>
      <c r="T627">
        <f t="shared" si="41"/>
        <v>3.2460000000000003E-2</v>
      </c>
    </row>
    <row r="628" spans="16:20" x14ac:dyDescent="0.3">
      <c r="P628">
        <f t="shared" si="39"/>
        <v>6.25</v>
      </c>
      <c r="Q628">
        <v>2.25</v>
      </c>
      <c r="R628">
        <f t="shared" si="40"/>
        <v>0.98777999999999999</v>
      </c>
      <c r="S628" t="e">
        <f t="shared" si="38"/>
        <v>#N/A</v>
      </c>
      <c r="T628">
        <f t="shared" si="41"/>
        <v>3.1739999999999997E-2</v>
      </c>
    </row>
    <row r="629" spans="16:20" x14ac:dyDescent="0.3">
      <c r="P629">
        <f t="shared" si="39"/>
        <v>6.26</v>
      </c>
      <c r="Q629">
        <v>2.2599999999999998</v>
      </c>
      <c r="R629">
        <f t="shared" si="40"/>
        <v>0.98809000000000002</v>
      </c>
      <c r="S629" t="e">
        <f t="shared" si="38"/>
        <v>#N/A</v>
      </c>
      <c r="T629">
        <f t="shared" si="41"/>
        <v>3.1029999999999999E-2</v>
      </c>
    </row>
    <row r="630" spans="16:20" x14ac:dyDescent="0.3">
      <c r="P630">
        <f t="shared" si="39"/>
        <v>6.27</v>
      </c>
      <c r="Q630">
        <v>2.27</v>
      </c>
      <c r="R630">
        <f t="shared" si="40"/>
        <v>0.98839999999999995</v>
      </c>
      <c r="S630" t="e">
        <f t="shared" si="38"/>
        <v>#N/A</v>
      </c>
      <c r="T630">
        <f t="shared" si="41"/>
        <v>3.0339999999999999E-2</v>
      </c>
    </row>
    <row r="631" spans="16:20" x14ac:dyDescent="0.3">
      <c r="P631">
        <f t="shared" si="39"/>
        <v>6.2799999999999994</v>
      </c>
      <c r="Q631">
        <v>2.2799999999999998</v>
      </c>
      <c r="R631">
        <f t="shared" si="40"/>
        <v>0.98870000000000002</v>
      </c>
      <c r="S631" t="e">
        <f t="shared" si="38"/>
        <v>#N/A</v>
      </c>
      <c r="T631">
        <f t="shared" si="41"/>
        <v>2.9649999999999999E-2</v>
      </c>
    </row>
    <row r="632" spans="16:20" x14ac:dyDescent="0.3">
      <c r="P632">
        <f t="shared" si="39"/>
        <v>6.29</v>
      </c>
      <c r="Q632">
        <v>2.29</v>
      </c>
      <c r="R632">
        <f t="shared" si="40"/>
        <v>0.98899000000000004</v>
      </c>
      <c r="S632" t="e">
        <f t="shared" si="38"/>
        <v>#N/A</v>
      </c>
      <c r="T632">
        <f t="shared" si="41"/>
        <v>2.8979999999999999E-2</v>
      </c>
    </row>
    <row r="633" spans="16:20" x14ac:dyDescent="0.3">
      <c r="P633">
        <f t="shared" si="39"/>
        <v>6.3</v>
      </c>
      <c r="Q633">
        <v>2.2999999999999998</v>
      </c>
      <c r="R633">
        <f t="shared" si="40"/>
        <v>0.98928000000000005</v>
      </c>
      <c r="S633" t="e">
        <f t="shared" si="38"/>
        <v>#N/A</v>
      </c>
      <c r="T633">
        <f t="shared" si="41"/>
        <v>2.8330000000000001E-2</v>
      </c>
    </row>
    <row r="634" spans="16:20" x14ac:dyDescent="0.3">
      <c r="P634">
        <f t="shared" si="39"/>
        <v>6.3100000000000005</v>
      </c>
      <c r="Q634">
        <v>2.31</v>
      </c>
      <c r="R634">
        <f t="shared" si="40"/>
        <v>0.98956</v>
      </c>
      <c r="S634" t="e">
        <f t="shared" si="38"/>
        <v>#N/A</v>
      </c>
      <c r="T634">
        <f t="shared" si="41"/>
        <v>2.768E-2</v>
      </c>
    </row>
    <row r="635" spans="16:20" x14ac:dyDescent="0.3">
      <c r="P635">
        <f t="shared" si="39"/>
        <v>6.32</v>
      </c>
      <c r="Q635">
        <v>2.3199999999999998</v>
      </c>
      <c r="R635">
        <f t="shared" si="40"/>
        <v>0.98982999999999999</v>
      </c>
      <c r="S635" t="e">
        <f t="shared" si="38"/>
        <v>#N/A</v>
      </c>
      <c r="T635">
        <f t="shared" si="41"/>
        <v>2.7050000000000001E-2</v>
      </c>
    </row>
    <row r="636" spans="16:20" x14ac:dyDescent="0.3">
      <c r="P636">
        <f t="shared" si="39"/>
        <v>6.33</v>
      </c>
      <c r="Q636">
        <v>2.33</v>
      </c>
      <c r="R636">
        <f t="shared" si="40"/>
        <v>0.99009999999999998</v>
      </c>
      <c r="S636" t="e">
        <f t="shared" si="38"/>
        <v>#N/A</v>
      </c>
      <c r="T636">
        <f t="shared" si="41"/>
        <v>2.6429999999999999E-2</v>
      </c>
    </row>
    <row r="637" spans="16:20" x14ac:dyDescent="0.3">
      <c r="P637">
        <f t="shared" si="39"/>
        <v>6.34</v>
      </c>
      <c r="Q637">
        <v>2.34</v>
      </c>
      <c r="R637">
        <f t="shared" si="40"/>
        <v>0.99036000000000002</v>
      </c>
      <c r="S637" t="e">
        <f t="shared" si="38"/>
        <v>#N/A</v>
      </c>
      <c r="T637">
        <f t="shared" si="41"/>
        <v>2.5819999999999999E-2</v>
      </c>
    </row>
    <row r="638" spans="16:20" x14ac:dyDescent="0.3">
      <c r="P638">
        <f t="shared" si="39"/>
        <v>6.35</v>
      </c>
      <c r="Q638">
        <v>2.35</v>
      </c>
      <c r="R638">
        <f t="shared" si="40"/>
        <v>0.99060999999999999</v>
      </c>
      <c r="S638" t="e">
        <f t="shared" si="38"/>
        <v>#N/A</v>
      </c>
      <c r="T638">
        <f t="shared" si="41"/>
        <v>2.5219999999999999E-2</v>
      </c>
    </row>
    <row r="639" spans="16:20" x14ac:dyDescent="0.3">
      <c r="P639">
        <f t="shared" si="39"/>
        <v>6.3599999999999994</v>
      </c>
      <c r="Q639">
        <v>2.36</v>
      </c>
      <c r="R639">
        <f t="shared" si="40"/>
        <v>0.99085999999999996</v>
      </c>
      <c r="S639" t="e">
        <f t="shared" si="38"/>
        <v>#N/A</v>
      </c>
      <c r="T639">
        <f t="shared" si="41"/>
        <v>2.4629999999999999E-2</v>
      </c>
    </row>
    <row r="640" spans="16:20" x14ac:dyDescent="0.3">
      <c r="P640">
        <f t="shared" si="39"/>
        <v>6.37</v>
      </c>
      <c r="Q640">
        <v>2.37</v>
      </c>
      <c r="R640">
        <f t="shared" si="40"/>
        <v>0.99111000000000005</v>
      </c>
      <c r="S640" t="e">
        <f t="shared" si="38"/>
        <v>#N/A</v>
      </c>
      <c r="T640">
        <f t="shared" si="41"/>
        <v>2.4060000000000002E-2</v>
      </c>
    </row>
    <row r="641" spans="16:20" x14ac:dyDescent="0.3">
      <c r="P641">
        <f t="shared" si="39"/>
        <v>6.38</v>
      </c>
      <c r="Q641">
        <v>2.38</v>
      </c>
      <c r="R641">
        <f t="shared" si="40"/>
        <v>0.99134</v>
      </c>
      <c r="S641" t="e">
        <f t="shared" si="38"/>
        <v>#N/A</v>
      </c>
      <c r="T641">
        <f t="shared" si="41"/>
        <v>2.349E-2</v>
      </c>
    </row>
    <row r="642" spans="16:20" x14ac:dyDescent="0.3">
      <c r="P642">
        <f t="shared" si="39"/>
        <v>6.3900000000000006</v>
      </c>
      <c r="Q642">
        <v>2.39</v>
      </c>
      <c r="R642">
        <f t="shared" si="40"/>
        <v>0.99158000000000002</v>
      </c>
      <c r="S642" t="e">
        <f t="shared" si="38"/>
        <v>#N/A</v>
      </c>
      <c r="T642">
        <f t="shared" si="41"/>
        <v>2.2939999999999999E-2</v>
      </c>
    </row>
    <row r="643" spans="16:20" x14ac:dyDescent="0.3">
      <c r="P643">
        <f t="shared" si="39"/>
        <v>6.4</v>
      </c>
      <c r="Q643">
        <v>2.4</v>
      </c>
      <c r="R643">
        <f t="shared" si="40"/>
        <v>0.99180000000000001</v>
      </c>
      <c r="S643" t="e">
        <f t="shared" ref="S643:S706" si="42">VLOOKUP(R643,$W$3:$W$42,1,0)</f>
        <v>#N/A</v>
      </c>
      <c r="T643">
        <f t="shared" si="41"/>
        <v>2.239E-2</v>
      </c>
    </row>
    <row r="644" spans="16:20" x14ac:dyDescent="0.3">
      <c r="P644">
        <f t="shared" ref="P644:P707" si="43">4+(Q644)</f>
        <v>6.41</v>
      </c>
      <c r="Q644">
        <v>2.41</v>
      </c>
      <c r="R644">
        <f t="shared" ref="R644:R707" si="44">ROUND(_xlfn.NORM.S.DIST(Q644,1),5)</f>
        <v>0.99202000000000001</v>
      </c>
      <c r="S644" t="e">
        <f t="shared" si="42"/>
        <v>#N/A</v>
      </c>
      <c r="T644">
        <f t="shared" ref="T644:T707" si="45">ROUND(_xlfn.NORM.S.DIST(Q644,0),5)</f>
        <v>2.1860000000000001E-2</v>
      </c>
    </row>
    <row r="645" spans="16:20" x14ac:dyDescent="0.3">
      <c r="P645">
        <f t="shared" si="43"/>
        <v>6.42</v>
      </c>
      <c r="Q645">
        <v>2.42</v>
      </c>
      <c r="R645">
        <f t="shared" si="44"/>
        <v>0.99224000000000001</v>
      </c>
      <c r="S645" t="e">
        <f t="shared" si="42"/>
        <v>#N/A</v>
      </c>
      <c r="T645">
        <f t="shared" si="45"/>
        <v>2.1340000000000001E-2</v>
      </c>
    </row>
    <row r="646" spans="16:20" x14ac:dyDescent="0.3">
      <c r="P646">
        <f t="shared" si="43"/>
        <v>6.43</v>
      </c>
      <c r="Q646">
        <v>2.4300000000000002</v>
      </c>
      <c r="R646">
        <f t="shared" si="44"/>
        <v>0.99245000000000005</v>
      </c>
      <c r="S646" t="e">
        <f t="shared" si="42"/>
        <v>#N/A</v>
      </c>
      <c r="T646">
        <f t="shared" si="45"/>
        <v>2.0830000000000001E-2</v>
      </c>
    </row>
    <row r="647" spans="16:20" x14ac:dyDescent="0.3">
      <c r="P647">
        <f t="shared" si="43"/>
        <v>6.4399999999999995</v>
      </c>
      <c r="Q647">
        <v>2.44</v>
      </c>
      <c r="R647">
        <f t="shared" si="44"/>
        <v>0.99265999999999999</v>
      </c>
      <c r="S647" t="e">
        <f t="shared" si="42"/>
        <v>#N/A</v>
      </c>
      <c r="T647">
        <f t="shared" si="45"/>
        <v>2.0330000000000001E-2</v>
      </c>
    </row>
    <row r="648" spans="16:20" x14ac:dyDescent="0.3">
      <c r="P648">
        <f t="shared" si="43"/>
        <v>6.45</v>
      </c>
      <c r="Q648">
        <v>2.4500000000000002</v>
      </c>
      <c r="R648">
        <f t="shared" si="44"/>
        <v>0.99285999999999996</v>
      </c>
      <c r="S648" t="e">
        <f t="shared" si="42"/>
        <v>#N/A</v>
      </c>
      <c r="T648">
        <f t="shared" si="45"/>
        <v>1.984E-2</v>
      </c>
    </row>
    <row r="649" spans="16:20" x14ac:dyDescent="0.3">
      <c r="P649">
        <f t="shared" si="43"/>
        <v>6.46</v>
      </c>
      <c r="Q649">
        <v>2.46</v>
      </c>
      <c r="R649">
        <f t="shared" si="44"/>
        <v>0.99304999999999999</v>
      </c>
      <c r="S649" t="e">
        <f t="shared" si="42"/>
        <v>#N/A</v>
      </c>
      <c r="T649">
        <f t="shared" si="45"/>
        <v>1.9359999999999999E-2</v>
      </c>
    </row>
    <row r="650" spans="16:20" x14ac:dyDescent="0.3">
      <c r="P650">
        <f t="shared" si="43"/>
        <v>6.4700000000000006</v>
      </c>
      <c r="Q650">
        <v>2.4700000000000002</v>
      </c>
      <c r="R650">
        <f t="shared" si="44"/>
        <v>0.99324000000000001</v>
      </c>
      <c r="S650" t="e">
        <f t="shared" si="42"/>
        <v>#N/A</v>
      </c>
      <c r="T650">
        <f t="shared" si="45"/>
        <v>1.8880000000000001E-2</v>
      </c>
    </row>
    <row r="651" spans="16:20" x14ac:dyDescent="0.3">
      <c r="P651">
        <f t="shared" si="43"/>
        <v>6.48</v>
      </c>
      <c r="Q651">
        <v>2.48</v>
      </c>
      <c r="R651">
        <f t="shared" si="44"/>
        <v>0.99343000000000004</v>
      </c>
      <c r="S651" t="e">
        <f t="shared" si="42"/>
        <v>#N/A</v>
      </c>
      <c r="T651">
        <f t="shared" si="45"/>
        <v>1.8419999999999999E-2</v>
      </c>
    </row>
    <row r="652" spans="16:20" x14ac:dyDescent="0.3">
      <c r="P652">
        <f t="shared" si="43"/>
        <v>6.49</v>
      </c>
      <c r="Q652">
        <v>2.4900000000000002</v>
      </c>
      <c r="R652">
        <f t="shared" si="44"/>
        <v>0.99360999999999999</v>
      </c>
      <c r="S652" t="e">
        <f t="shared" si="42"/>
        <v>#N/A</v>
      </c>
      <c r="T652">
        <f t="shared" si="45"/>
        <v>1.797E-2</v>
      </c>
    </row>
    <row r="653" spans="16:20" x14ac:dyDescent="0.3">
      <c r="P653">
        <f t="shared" si="43"/>
        <v>6.5</v>
      </c>
      <c r="Q653">
        <v>2.5</v>
      </c>
      <c r="R653">
        <f t="shared" si="44"/>
        <v>0.99378999999999995</v>
      </c>
      <c r="S653" t="e">
        <f t="shared" si="42"/>
        <v>#N/A</v>
      </c>
      <c r="T653">
        <f t="shared" si="45"/>
        <v>1.753E-2</v>
      </c>
    </row>
    <row r="654" spans="16:20" x14ac:dyDescent="0.3">
      <c r="P654">
        <f t="shared" si="43"/>
        <v>6.51</v>
      </c>
      <c r="Q654">
        <v>2.5099999999999998</v>
      </c>
      <c r="R654">
        <f t="shared" si="44"/>
        <v>0.99395999999999995</v>
      </c>
      <c r="S654" t="e">
        <f t="shared" si="42"/>
        <v>#N/A</v>
      </c>
      <c r="T654">
        <f t="shared" si="45"/>
        <v>1.7090000000000001E-2</v>
      </c>
    </row>
    <row r="655" spans="16:20" x14ac:dyDescent="0.3">
      <c r="P655">
        <f t="shared" si="43"/>
        <v>6.52</v>
      </c>
      <c r="Q655">
        <v>2.52</v>
      </c>
      <c r="R655">
        <f t="shared" si="44"/>
        <v>0.99412999999999996</v>
      </c>
      <c r="S655" t="e">
        <f t="shared" si="42"/>
        <v>#N/A</v>
      </c>
      <c r="T655">
        <f t="shared" si="45"/>
        <v>1.6670000000000001E-2</v>
      </c>
    </row>
    <row r="656" spans="16:20" x14ac:dyDescent="0.3">
      <c r="P656">
        <f t="shared" si="43"/>
        <v>6.5299999999999994</v>
      </c>
      <c r="Q656">
        <v>2.5299999999999998</v>
      </c>
      <c r="R656">
        <f t="shared" si="44"/>
        <v>0.99429999999999996</v>
      </c>
      <c r="S656" t="e">
        <f t="shared" si="42"/>
        <v>#N/A</v>
      </c>
      <c r="T656">
        <f t="shared" si="45"/>
        <v>1.6250000000000001E-2</v>
      </c>
    </row>
    <row r="657" spans="16:20" x14ac:dyDescent="0.3">
      <c r="P657">
        <f t="shared" si="43"/>
        <v>6.54</v>
      </c>
      <c r="Q657">
        <v>2.54</v>
      </c>
      <c r="R657">
        <f t="shared" si="44"/>
        <v>0.99446000000000001</v>
      </c>
      <c r="S657" t="e">
        <f t="shared" si="42"/>
        <v>#N/A</v>
      </c>
      <c r="T657">
        <f t="shared" si="45"/>
        <v>1.585E-2</v>
      </c>
    </row>
    <row r="658" spans="16:20" x14ac:dyDescent="0.3">
      <c r="P658">
        <f t="shared" si="43"/>
        <v>6.55</v>
      </c>
      <c r="Q658">
        <v>2.5499999999999998</v>
      </c>
      <c r="R658">
        <f t="shared" si="44"/>
        <v>0.99460999999999999</v>
      </c>
      <c r="S658" t="e">
        <f t="shared" si="42"/>
        <v>#N/A</v>
      </c>
      <c r="T658">
        <f t="shared" si="45"/>
        <v>1.545E-2</v>
      </c>
    </row>
    <row r="659" spans="16:20" x14ac:dyDescent="0.3">
      <c r="P659">
        <f t="shared" si="43"/>
        <v>6.5600000000000005</v>
      </c>
      <c r="Q659">
        <v>2.56</v>
      </c>
      <c r="R659">
        <f t="shared" si="44"/>
        <v>0.99477000000000004</v>
      </c>
      <c r="S659" t="e">
        <f t="shared" si="42"/>
        <v>#N/A</v>
      </c>
      <c r="T659">
        <f t="shared" si="45"/>
        <v>1.506E-2</v>
      </c>
    </row>
    <row r="660" spans="16:20" x14ac:dyDescent="0.3">
      <c r="P660">
        <f t="shared" si="43"/>
        <v>6.57</v>
      </c>
      <c r="Q660">
        <v>2.57</v>
      </c>
      <c r="R660">
        <f t="shared" si="44"/>
        <v>0.99492000000000003</v>
      </c>
      <c r="S660" t="e">
        <f t="shared" si="42"/>
        <v>#N/A</v>
      </c>
      <c r="T660">
        <f t="shared" si="45"/>
        <v>1.468E-2</v>
      </c>
    </row>
    <row r="661" spans="16:20" x14ac:dyDescent="0.3">
      <c r="P661">
        <f t="shared" si="43"/>
        <v>6.58</v>
      </c>
      <c r="Q661">
        <v>2.58</v>
      </c>
      <c r="R661">
        <f t="shared" si="44"/>
        <v>0.99505999999999994</v>
      </c>
      <c r="S661" t="e">
        <f t="shared" si="42"/>
        <v>#N/A</v>
      </c>
      <c r="T661">
        <f t="shared" si="45"/>
        <v>1.431E-2</v>
      </c>
    </row>
    <row r="662" spans="16:20" x14ac:dyDescent="0.3">
      <c r="P662">
        <f t="shared" si="43"/>
        <v>6.59</v>
      </c>
      <c r="Q662">
        <v>2.59</v>
      </c>
      <c r="R662">
        <f t="shared" si="44"/>
        <v>0.99519999999999997</v>
      </c>
      <c r="S662" t="e">
        <f t="shared" si="42"/>
        <v>#N/A</v>
      </c>
      <c r="T662">
        <f t="shared" si="45"/>
        <v>1.3939999999999999E-2</v>
      </c>
    </row>
    <row r="663" spans="16:20" x14ac:dyDescent="0.3">
      <c r="P663">
        <f t="shared" si="43"/>
        <v>6.6</v>
      </c>
      <c r="Q663">
        <v>2.6</v>
      </c>
      <c r="R663">
        <f t="shared" si="44"/>
        <v>0.99534</v>
      </c>
      <c r="S663" t="e">
        <f t="shared" si="42"/>
        <v>#N/A</v>
      </c>
      <c r="T663">
        <f t="shared" si="45"/>
        <v>1.358E-2</v>
      </c>
    </row>
    <row r="664" spans="16:20" x14ac:dyDescent="0.3">
      <c r="P664">
        <f t="shared" si="43"/>
        <v>6.6099999999999994</v>
      </c>
      <c r="Q664">
        <v>2.61</v>
      </c>
      <c r="R664">
        <f t="shared" si="44"/>
        <v>0.99546999999999997</v>
      </c>
      <c r="S664" t="e">
        <f t="shared" si="42"/>
        <v>#N/A</v>
      </c>
      <c r="T664">
        <f t="shared" si="45"/>
        <v>1.323E-2</v>
      </c>
    </row>
    <row r="665" spans="16:20" x14ac:dyDescent="0.3">
      <c r="P665">
        <f t="shared" si="43"/>
        <v>6.62</v>
      </c>
      <c r="Q665">
        <v>2.62</v>
      </c>
      <c r="R665">
        <f t="shared" si="44"/>
        <v>0.99560000000000004</v>
      </c>
      <c r="S665" t="e">
        <f t="shared" si="42"/>
        <v>#N/A</v>
      </c>
      <c r="T665">
        <f t="shared" si="45"/>
        <v>1.289E-2</v>
      </c>
    </row>
    <row r="666" spans="16:20" x14ac:dyDescent="0.3">
      <c r="P666">
        <f t="shared" si="43"/>
        <v>6.63</v>
      </c>
      <c r="Q666">
        <v>2.63</v>
      </c>
      <c r="R666">
        <f t="shared" si="44"/>
        <v>0.99573</v>
      </c>
      <c r="S666" t="e">
        <f t="shared" si="42"/>
        <v>#N/A</v>
      </c>
      <c r="T666">
        <f t="shared" si="45"/>
        <v>1.256E-2</v>
      </c>
    </row>
    <row r="667" spans="16:20" x14ac:dyDescent="0.3">
      <c r="P667">
        <f t="shared" si="43"/>
        <v>6.6400000000000006</v>
      </c>
      <c r="Q667">
        <v>2.64</v>
      </c>
      <c r="R667">
        <f t="shared" si="44"/>
        <v>0.99585000000000001</v>
      </c>
      <c r="S667" t="e">
        <f t="shared" si="42"/>
        <v>#N/A</v>
      </c>
      <c r="T667">
        <f t="shared" si="45"/>
        <v>1.223E-2</v>
      </c>
    </row>
    <row r="668" spans="16:20" x14ac:dyDescent="0.3">
      <c r="P668">
        <f t="shared" si="43"/>
        <v>6.65</v>
      </c>
      <c r="Q668">
        <v>2.65</v>
      </c>
      <c r="R668">
        <f t="shared" si="44"/>
        <v>0.99597999999999998</v>
      </c>
      <c r="S668" t="e">
        <f t="shared" si="42"/>
        <v>#N/A</v>
      </c>
      <c r="T668">
        <f t="shared" si="45"/>
        <v>1.191E-2</v>
      </c>
    </row>
    <row r="669" spans="16:20" x14ac:dyDescent="0.3">
      <c r="P669">
        <f t="shared" si="43"/>
        <v>6.66</v>
      </c>
      <c r="Q669">
        <v>2.66</v>
      </c>
      <c r="R669">
        <f t="shared" si="44"/>
        <v>0.99609000000000003</v>
      </c>
      <c r="S669" t="e">
        <f t="shared" si="42"/>
        <v>#N/A</v>
      </c>
      <c r="T669">
        <f t="shared" si="45"/>
        <v>1.1599999999999999E-2</v>
      </c>
    </row>
    <row r="670" spans="16:20" x14ac:dyDescent="0.3">
      <c r="P670">
        <f t="shared" si="43"/>
        <v>6.67</v>
      </c>
      <c r="Q670">
        <v>2.67</v>
      </c>
      <c r="R670">
        <f t="shared" si="44"/>
        <v>0.99621000000000004</v>
      </c>
      <c r="S670" t="e">
        <f t="shared" si="42"/>
        <v>#N/A</v>
      </c>
      <c r="T670">
        <f t="shared" si="45"/>
        <v>1.1299999999999999E-2</v>
      </c>
    </row>
    <row r="671" spans="16:20" x14ac:dyDescent="0.3">
      <c r="P671">
        <f t="shared" si="43"/>
        <v>6.68</v>
      </c>
      <c r="Q671">
        <v>2.68</v>
      </c>
      <c r="R671">
        <f t="shared" si="44"/>
        <v>0.99631999999999998</v>
      </c>
      <c r="S671" t="e">
        <f t="shared" si="42"/>
        <v>#N/A</v>
      </c>
      <c r="T671">
        <f t="shared" si="45"/>
        <v>1.0999999999999999E-2</v>
      </c>
    </row>
    <row r="672" spans="16:20" x14ac:dyDescent="0.3">
      <c r="P672">
        <f t="shared" si="43"/>
        <v>6.6899999999999995</v>
      </c>
      <c r="Q672">
        <v>2.69</v>
      </c>
      <c r="R672">
        <f t="shared" si="44"/>
        <v>0.99643000000000004</v>
      </c>
      <c r="S672" t="e">
        <f t="shared" si="42"/>
        <v>#N/A</v>
      </c>
      <c r="T672">
        <f t="shared" si="45"/>
        <v>1.0710000000000001E-2</v>
      </c>
    </row>
    <row r="673" spans="16:20" x14ac:dyDescent="0.3">
      <c r="P673">
        <f t="shared" si="43"/>
        <v>6.7</v>
      </c>
      <c r="Q673">
        <v>2.7</v>
      </c>
      <c r="R673">
        <f t="shared" si="44"/>
        <v>0.99653000000000003</v>
      </c>
      <c r="S673" t="e">
        <f t="shared" si="42"/>
        <v>#N/A</v>
      </c>
      <c r="T673">
        <f t="shared" si="45"/>
        <v>1.042E-2</v>
      </c>
    </row>
    <row r="674" spans="16:20" x14ac:dyDescent="0.3">
      <c r="P674">
        <f t="shared" si="43"/>
        <v>6.71</v>
      </c>
      <c r="Q674">
        <v>2.71</v>
      </c>
      <c r="R674">
        <f t="shared" si="44"/>
        <v>0.99663999999999997</v>
      </c>
      <c r="S674" t="e">
        <f t="shared" si="42"/>
        <v>#N/A</v>
      </c>
      <c r="T674">
        <f t="shared" si="45"/>
        <v>1.014E-2</v>
      </c>
    </row>
    <row r="675" spans="16:20" x14ac:dyDescent="0.3">
      <c r="P675">
        <f t="shared" si="43"/>
        <v>6.7200000000000006</v>
      </c>
      <c r="Q675">
        <v>2.72</v>
      </c>
      <c r="R675">
        <f t="shared" si="44"/>
        <v>0.99673999999999996</v>
      </c>
      <c r="S675" t="e">
        <f t="shared" si="42"/>
        <v>#N/A</v>
      </c>
      <c r="T675">
        <f t="shared" si="45"/>
        <v>9.8700000000000003E-3</v>
      </c>
    </row>
    <row r="676" spans="16:20" x14ac:dyDescent="0.3">
      <c r="P676">
        <f t="shared" si="43"/>
        <v>6.73</v>
      </c>
      <c r="Q676">
        <v>2.73</v>
      </c>
      <c r="R676">
        <f t="shared" si="44"/>
        <v>0.99682999999999999</v>
      </c>
      <c r="S676" t="e">
        <f t="shared" si="42"/>
        <v>#N/A</v>
      </c>
      <c r="T676">
        <f t="shared" si="45"/>
        <v>9.6100000000000005E-3</v>
      </c>
    </row>
    <row r="677" spans="16:20" x14ac:dyDescent="0.3">
      <c r="P677">
        <f t="shared" si="43"/>
        <v>6.74</v>
      </c>
      <c r="Q677">
        <v>2.74</v>
      </c>
      <c r="R677">
        <f t="shared" si="44"/>
        <v>0.99692999999999998</v>
      </c>
      <c r="S677" t="e">
        <f t="shared" si="42"/>
        <v>#N/A</v>
      </c>
      <c r="T677">
        <f t="shared" si="45"/>
        <v>9.3500000000000007E-3</v>
      </c>
    </row>
    <row r="678" spans="16:20" x14ac:dyDescent="0.3">
      <c r="P678">
        <f t="shared" si="43"/>
        <v>6.75</v>
      </c>
      <c r="Q678">
        <v>2.75</v>
      </c>
      <c r="R678">
        <f t="shared" si="44"/>
        <v>0.99702000000000002</v>
      </c>
      <c r="S678" t="e">
        <f t="shared" si="42"/>
        <v>#N/A</v>
      </c>
      <c r="T678">
        <f t="shared" si="45"/>
        <v>9.0900000000000009E-3</v>
      </c>
    </row>
    <row r="679" spans="16:20" x14ac:dyDescent="0.3">
      <c r="P679">
        <f t="shared" si="43"/>
        <v>6.76</v>
      </c>
      <c r="Q679">
        <v>2.76</v>
      </c>
      <c r="R679">
        <f t="shared" si="44"/>
        <v>0.99711000000000005</v>
      </c>
      <c r="S679" t="e">
        <f t="shared" si="42"/>
        <v>#N/A</v>
      </c>
      <c r="T679">
        <f t="shared" si="45"/>
        <v>8.8500000000000002E-3</v>
      </c>
    </row>
    <row r="680" spans="16:20" x14ac:dyDescent="0.3">
      <c r="P680">
        <f t="shared" si="43"/>
        <v>6.77</v>
      </c>
      <c r="Q680">
        <v>2.77</v>
      </c>
      <c r="R680">
        <f t="shared" si="44"/>
        <v>0.99719999999999998</v>
      </c>
      <c r="S680" t="e">
        <f t="shared" si="42"/>
        <v>#N/A</v>
      </c>
      <c r="T680">
        <f t="shared" si="45"/>
        <v>8.6099999999999996E-3</v>
      </c>
    </row>
    <row r="681" spans="16:20" x14ac:dyDescent="0.3">
      <c r="P681">
        <f t="shared" si="43"/>
        <v>6.7799999999999994</v>
      </c>
      <c r="Q681">
        <v>2.78</v>
      </c>
      <c r="R681">
        <f t="shared" si="44"/>
        <v>0.99728000000000006</v>
      </c>
      <c r="S681" t="e">
        <f t="shared" si="42"/>
        <v>#N/A</v>
      </c>
      <c r="T681">
        <f t="shared" si="45"/>
        <v>8.3700000000000007E-3</v>
      </c>
    </row>
    <row r="682" spans="16:20" x14ac:dyDescent="0.3">
      <c r="P682">
        <f t="shared" si="43"/>
        <v>6.79</v>
      </c>
      <c r="Q682">
        <v>2.79</v>
      </c>
      <c r="R682">
        <f t="shared" si="44"/>
        <v>0.99736000000000002</v>
      </c>
      <c r="S682" t="e">
        <f t="shared" si="42"/>
        <v>#N/A</v>
      </c>
      <c r="T682">
        <f t="shared" si="45"/>
        <v>8.1399999999999997E-3</v>
      </c>
    </row>
    <row r="683" spans="16:20" x14ac:dyDescent="0.3">
      <c r="P683">
        <f t="shared" si="43"/>
        <v>6.8</v>
      </c>
      <c r="Q683">
        <v>2.8</v>
      </c>
      <c r="R683">
        <f t="shared" si="44"/>
        <v>0.99743999999999999</v>
      </c>
      <c r="S683" t="e">
        <f t="shared" si="42"/>
        <v>#N/A</v>
      </c>
      <c r="T683">
        <f t="shared" si="45"/>
        <v>7.92E-3</v>
      </c>
    </row>
    <row r="684" spans="16:20" x14ac:dyDescent="0.3">
      <c r="P684">
        <f t="shared" si="43"/>
        <v>6.8100000000000005</v>
      </c>
      <c r="Q684">
        <v>2.81</v>
      </c>
      <c r="R684">
        <f t="shared" si="44"/>
        <v>0.99751999999999996</v>
      </c>
      <c r="S684" t="e">
        <f t="shared" si="42"/>
        <v>#N/A</v>
      </c>
      <c r="T684">
        <f t="shared" si="45"/>
        <v>7.7000000000000002E-3</v>
      </c>
    </row>
    <row r="685" spans="16:20" x14ac:dyDescent="0.3">
      <c r="P685">
        <f t="shared" si="43"/>
        <v>6.82</v>
      </c>
      <c r="Q685">
        <v>2.82</v>
      </c>
      <c r="R685">
        <f t="shared" si="44"/>
        <v>0.99760000000000004</v>
      </c>
      <c r="S685" t="e">
        <f t="shared" si="42"/>
        <v>#N/A</v>
      </c>
      <c r="T685">
        <f t="shared" si="45"/>
        <v>7.4799999999999997E-3</v>
      </c>
    </row>
    <row r="686" spans="16:20" x14ac:dyDescent="0.3">
      <c r="P686">
        <f t="shared" si="43"/>
        <v>6.83</v>
      </c>
      <c r="Q686">
        <v>2.83</v>
      </c>
      <c r="R686">
        <f t="shared" si="44"/>
        <v>0.99766999999999995</v>
      </c>
      <c r="S686" t="e">
        <f t="shared" si="42"/>
        <v>#N/A</v>
      </c>
      <c r="T686">
        <f t="shared" si="45"/>
        <v>7.2700000000000004E-3</v>
      </c>
    </row>
    <row r="687" spans="16:20" x14ac:dyDescent="0.3">
      <c r="P687">
        <f t="shared" si="43"/>
        <v>6.84</v>
      </c>
      <c r="Q687">
        <v>2.84</v>
      </c>
      <c r="R687">
        <f t="shared" si="44"/>
        <v>0.99773999999999996</v>
      </c>
      <c r="S687" t="e">
        <f t="shared" si="42"/>
        <v>#N/A</v>
      </c>
      <c r="T687">
        <f t="shared" si="45"/>
        <v>7.0699999999999999E-3</v>
      </c>
    </row>
    <row r="688" spans="16:20" x14ac:dyDescent="0.3">
      <c r="P688">
        <f t="shared" si="43"/>
        <v>6.85</v>
      </c>
      <c r="Q688">
        <v>2.85</v>
      </c>
      <c r="R688">
        <f t="shared" si="44"/>
        <v>0.99780999999999997</v>
      </c>
      <c r="S688" t="e">
        <f t="shared" si="42"/>
        <v>#N/A</v>
      </c>
      <c r="T688">
        <f t="shared" si="45"/>
        <v>6.8700000000000002E-3</v>
      </c>
    </row>
    <row r="689" spans="16:20" x14ac:dyDescent="0.3">
      <c r="P689">
        <f t="shared" si="43"/>
        <v>6.8599999999999994</v>
      </c>
      <c r="Q689">
        <v>2.86</v>
      </c>
      <c r="R689">
        <f t="shared" si="44"/>
        <v>0.99787999999999999</v>
      </c>
      <c r="S689" t="e">
        <f t="shared" si="42"/>
        <v>#N/A</v>
      </c>
      <c r="T689">
        <f t="shared" si="45"/>
        <v>6.6800000000000002E-3</v>
      </c>
    </row>
    <row r="690" spans="16:20" x14ac:dyDescent="0.3">
      <c r="P690">
        <f t="shared" si="43"/>
        <v>6.87</v>
      </c>
      <c r="Q690">
        <v>2.87</v>
      </c>
      <c r="R690">
        <f t="shared" si="44"/>
        <v>0.99795</v>
      </c>
      <c r="S690" t="e">
        <f t="shared" si="42"/>
        <v>#N/A</v>
      </c>
      <c r="T690">
        <f t="shared" si="45"/>
        <v>6.4900000000000001E-3</v>
      </c>
    </row>
    <row r="691" spans="16:20" x14ac:dyDescent="0.3">
      <c r="P691">
        <f t="shared" si="43"/>
        <v>6.88</v>
      </c>
      <c r="Q691">
        <v>2.88</v>
      </c>
      <c r="R691">
        <f t="shared" si="44"/>
        <v>0.99800999999999995</v>
      </c>
      <c r="S691" t="e">
        <f t="shared" si="42"/>
        <v>#N/A</v>
      </c>
      <c r="T691">
        <f t="shared" si="45"/>
        <v>6.3099999999999996E-3</v>
      </c>
    </row>
    <row r="692" spans="16:20" x14ac:dyDescent="0.3">
      <c r="P692">
        <f t="shared" si="43"/>
        <v>6.8900000000000006</v>
      </c>
      <c r="Q692">
        <v>2.89</v>
      </c>
      <c r="R692">
        <f t="shared" si="44"/>
        <v>0.99807000000000001</v>
      </c>
      <c r="S692" t="e">
        <f t="shared" si="42"/>
        <v>#N/A</v>
      </c>
      <c r="T692">
        <f t="shared" si="45"/>
        <v>6.13E-3</v>
      </c>
    </row>
    <row r="693" spans="16:20" x14ac:dyDescent="0.3">
      <c r="P693">
        <f t="shared" si="43"/>
        <v>6.9</v>
      </c>
      <c r="Q693">
        <v>2.9</v>
      </c>
      <c r="R693">
        <f t="shared" si="44"/>
        <v>0.99812999999999996</v>
      </c>
      <c r="S693" t="e">
        <f t="shared" si="42"/>
        <v>#N/A</v>
      </c>
      <c r="T693">
        <f t="shared" si="45"/>
        <v>5.9500000000000004E-3</v>
      </c>
    </row>
    <row r="694" spans="16:20" x14ac:dyDescent="0.3">
      <c r="P694">
        <f t="shared" si="43"/>
        <v>6.91</v>
      </c>
      <c r="Q694">
        <v>2.91</v>
      </c>
      <c r="R694">
        <f t="shared" si="44"/>
        <v>0.99819000000000002</v>
      </c>
      <c r="S694" t="e">
        <f t="shared" si="42"/>
        <v>#N/A</v>
      </c>
      <c r="T694">
        <f t="shared" si="45"/>
        <v>5.7800000000000004E-3</v>
      </c>
    </row>
    <row r="695" spans="16:20" x14ac:dyDescent="0.3">
      <c r="P695">
        <f t="shared" si="43"/>
        <v>6.92</v>
      </c>
      <c r="Q695">
        <v>2.92</v>
      </c>
      <c r="R695">
        <f t="shared" si="44"/>
        <v>0.99824999999999997</v>
      </c>
      <c r="S695" t="e">
        <f t="shared" si="42"/>
        <v>#N/A</v>
      </c>
      <c r="T695">
        <f t="shared" si="45"/>
        <v>5.62E-3</v>
      </c>
    </row>
    <row r="696" spans="16:20" x14ac:dyDescent="0.3">
      <c r="P696">
        <f t="shared" si="43"/>
        <v>6.93</v>
      </c>
      <c r="Q696">
        <v>2.93</v>
      </c>
      <c r="R696">
        <f t="shared" si="44"/>
        <v>0.99831000000000003</v>
      </c>
      <c r="S696" t="e">
        <f t="shared" si="42"/>
        <v>#N/A</v>
      </c>
      <c r="T696">
        <f t="shared" si="45"/>
        <v>5.45E-3</v>
      </c>
    </row>
    <row r="697" spans="16:20" x14ac:dyDescent="0.3">
      <c r="P697">
        <f t="shared" si="43"/>
        <v>6.9399999999999995</v>
      </c>
      <c r="Q697">
        <v>2.94</v>
      </c>
      <c r="R697">
        <f t="shared" si="44"/>
        <v>0.99836000000000003</v>
      </c>
      <c r="S697" t="e">
        <f t="shared" si="42"/>
        <v>#N/A</v>
      </c>
      <c r="T697">
        <f t="shared" si="45"/>
        <v>5.3E-3</v>
      </c>
    </row>
    <row r="698" spans="16:20" x14ac:dyDescent="0.3">
      <c r="P698">
        <f t="shared" si="43"/>
        <v>6.95</v>
      </c>
      <c r="Q698">
        <v>2.95</v>
      </c>
      <c r="R698">
        <f t="shared" si="44"/>
        <v>0.99841000000000002</v>
      </c>
      <c r="S698" t="e">
        <f t="shared" si="42"/>
        <v>#N/A</v>
      </c>
      <c r="T698">
        <f t="shared" si="45"/>
        <v>5.1399999999999996E-3</v>
      </c>
    </row>
    <row r="699" spans="16:20" x14ac:dyDescent="0.3">
      <c r="P699">
        <f t="shared" si="43"/>
        <v>6.96</v>
      </c>
      <c r="Q699">
        <v>2.96</v>
      </c>
      <c r="R699">
        <f t="shared" si="44"/>
        <v>0.99846000000000001</v>
      </c>
      <c r="S699" t="e">
        <f t="shared" si="42"/>
        <v>#N/A</v>
      </c>
      <c r="T699">
        <f t="shared" si="45"/>
        <v>4.9899999999999996E-3</v>
      </c>
    </row>
    <row r="700" spans="16:20" x14ac:dyDescent="0.3">
      <c r="P700">
        <f t="shared" si="43"/>
        <v>6.9700000000000006</v>
      </c>
      <c r="Q700">
        <v>2.97</v>
      </c>
      <c r="R700">
        <f t="shared" si="44"/>
        <v>0.99851000000000001</v>
      </c>
      <c r="S700" t="e">
        <f t="shared" si="42"/>
        <v>#N/A</v>
      </c>
      <c r="T700">
        <f t="shared" si="45"/>
        <v>4.8500000000000001E-3</v>
      </c>
    </row>
    <row r="701" spans="16:20" x14ac:dyDescent="0.3">
      <c r="P701">
        <f t="shared" si="43"/>
        <v>6.98</v>
      </c>
      <c r="Q701">
        <v>2.98</v>
      </c>
      <c r="R701">
        <f t="shared" si="44"/>
        <v>0.99856</v>
      </c>
      <c r="S701" t="e">
        <f t="shared" si="42"/>
        <v>#N/A</v>
      </c>
      <c r="T701">
        <f t="shared" si="45"/>
        <v>4.7000000000000002E-3</v>
      </c>
    </row>
    <row r="702" spans="16:20" x14ac:dyDescent="0.3">
      <c r="P702">
        <f t="shared" si="43"/>
        <v>6.99</v>
      </c>
      <c r="Q702">
        <v>2.99</v>
      </c>
      <c r="R702">
        <f t="shared" si="44"/>
        <v>0.99861</v>
      </c>
      <c r="S702" t="e">
        <f t="shared" si="42"/>
        <v>#N/A</v>
      </c>
      <c r="T702">
        <f t="shared" si="45"/>
        <v>4.5700000000000003E-3</v>
      </c>
    </row>
    <row r="703" spans="16:20" x14ac:dyDescent="0.3">
      <c r="P703">
        <f t="shared" si="43"/>
        <v>7</v>
      </c>
      <c r="Q703">
        <v>3</v>
      </c>
      <c r="R703">
        <f t="shared" si="44"/>
        <v>0.99865000000000004</v>
      </c>
      <c r="S703" t="e">
        <f t="shared" si="42"/>
        <v>#N/A</v>
      </c>
      <c r="T703">
        <f t="shared" si="45"/>
        <v>4.4299999999999999E-3</v>
      </c>
    </row>
    <row r="704" spans="16:20" x14ac:dyDescent="0.3">
      <c r="P704">
        <f t="shared" si="43"/>
        <v>7.01</v>
      </c>
      <c r="Q704">
        <v>3.01</v>
      </c>
      <c r="R704">
        <f t="shared" si="44"/>
        <v>0.99868999999999997</v>
      </c>
      <c r="S704" t="e">
        <f t="shared" si="42"/>
        <v>#N/A</v>
      </c>
      <c r="T704">
        <f t="shared" si="45"/>
        <v>4.3E-3</v>
      </c>
    </row>
    <row r="705" spans="16:20" x14ac:dyDescent="0.3">
      <c r="P705">
        <f t="shared" si="43"/>
        <v>7.02</v>
      </c>
      <c r="Q705">
        <v>3.02</v>
      </c>
      <c r="R705">
        <f t="shared" si="44"/>
        <v>0.99873999999999996</v>
      </c>
      <c r="S705" t="e">
        <f t="shared" si="42"/>
        <v>#N/A</v>
      </c>
      <c r="T705">
        <f t="shared" si="45"/>
        <v>4.1700000000000001E-3</v>
      </c>
    </row>
    <row r="706" spans="16:20" x14ac:dyDescent="0.3">
      <c r="P706">
        <f t="shared" si="43"/>
        <v>7.0299999999999994</v>
      </c>
      <c r="Q706">
        <v>3.03</v>
      </c>
      <c r="R706">
        <f t="shared" si="44"/>
        <v>0.99878</v>
      </c>
      <c r="S706" t="e">
        <f t="shared" si="42"/>
        <v>#N/A</v>
      </c>
      <c r="T706">
        <f t="shared" si="45"/>
        <v>4.0499999999999998E-3</v>
      </c>
    </row>
    <row r="707" spans="16:20" x14ac:dyDescent="0.3">
      <c r="P707">
        <f t="shared" si="43"/>
        <v>7.04</v>
      </c>
      <c r="Q707">
        <v>3.04</v>
      </c>
      <c r="R707">
        <f t="shared" si="44"/>
        <v>0.99882000000000004</v>
      </c>
      <c r="S707" t="e">
        <f t="shared" ref="S707:S770" si="46">VLOOKUP(R707,$W$3:$W$42,1,0)</f>
        <v>#N/A</v>
      </c>
      <c r="T707">
        <f t="shared" si="45"/>
        <v>3.9300000000000003E-3</v>
      </c>
    </row>
    <row r="708" spans="16:20" x14ac:dyDescent="0.3">
      <c r="P708">
        <f t="shared" ref="P708:P771" si="47">4+(Q708)</f>
        <v>7.05</v>
      </c>
      <c r="Q708">
        <v>3.05</v>
      </c>
      <c r="R708">
        <f t="shared" ref="R708:R771" si="48">ROUND(_xlfn.NORM.S.DIST(Q708,1),5)</f>
        <v>0.99885999999999997</v>
      </c>
      <c r="S708" t="e">
        <f t="shared" si="46"/>
        <v>#N/A</v>
      </c>
      <c r="T708">
        <f t="shared" ref="T708:T771" si="49">ROUND(_xlfn.NORM.S.DIST(Q708,0),5)</f>
        <v>3.81E-3</v>
      </c>
    </row>
    <row r="709" spans="16:20" x14ac:dyDescent="0.3">
      <c r="P709">
        <f t="shared" si="47"/>
        <v>7.0600000000000005</v>
      </c>
      <c r="Q709">
        <v>3.06</v>
      </c>
      <c r="R709">
        <f t="shared" si="48"/>
        <v>0.99888999999999994</v>
      </c>
      <c r="S709" t="e">
        <f t="shared" si="46"/>
        <v>#N/A</v>
      </c>
      <c r="T709">
        <f t="shared" si="49"/>
        <v>3.7000000000000002E-3</v>
      </c>
    </row>
    <row r="710" spans="16:20" x14ac:dyDescent="0.3">
      <c r="P710">
        <f t="shared" si="47"/>
        <v>7.07</v>
      </c>
      <c r="Q710">
        <v>3.07</v>
      </c>
      <c r="R710">
        <f t="shared" si="48"/>
        <v>0.99892999999999998</v>
      </c>
      <c r="S710" t="e">
        <f t="shared" si="46"/>
        <v>#N/A</v>
      </c>
      <c r="T710">
        <f t="shared" si="49"/>
        <v>3.5799999999999998E-3</v>
      </c>
    </row>
    <row r="711" spans="16:20" x14ac:dyDescent="0.3">
      <c r="P711">
        <f t="shared" si="47"/>
        <v>7.08</v>
      </c>
      <c r="Q711">
        <v>3.08</v>
      </c>
      <c r="R711">
        <f t="shared" si="48"/>
        <v>0.99895999999999996</v>
      </c>
      <c r="S711" t="e">
        <f t="shared" si="46"/>
        <v>#N/A</v>
      </c>
      <c r="T711">
        <f t="shared" si="49"/>
        <v>3.48E-3</v>
      </c>
    </row>
    <row r="712" spans="16:20" x14ac:dyDescent="0.3">
      <c r="P712">
        <f t="shared" si="47"/>
        <v>7.09</v>
      </c>
      <c r="Q712">
        <v>3.09</v>
      </c>
      <c r="R712">
        <f t="shared" si="48"/>
        <v>0.999</v>
      </c>
      <c r="S712" t="e">
        <f t="shared" si="46"/>
        <v>#N/A</v>
      </c>
      <c r="T712">
        <f t="shared" si="49"/>
        <v>3.3700000000000002E-3</v>
      </c>
    </row>
    <row r="713" spans="16:20" x14ac:dyDescent="0.3">
      <c r="P713">
        <f t="shared" si="47"/>
        <v>7.1</v>
      </c>
      <c r="Q713">
        <v>3.1</v>
      </c>
      <c r="R713">
        <f t="shared" si="48"/>
        <v>0.99902999999999997</v>
      </c>
      <c r="S713" t="e">
        <f t="shared" si="46"/>
        <v>#N/A</v>
      </c>
      <c r="T713">
        <f t="shared" si="49"/>
        <v>3.2699999999999999E-3</v>
      </c>
    </row>
    <row r="714" spans="16:20" x14ac:dyDescent="0.3">
      <c r="P714">
        <f t="shared" si="47"/>
        <v>7.1099999999999994</v>
      </c>
      <c r="Q714">
        <v>3.11</v>
      </c>
      <c r="R714">
        <f t="shared" si="48"/>
        <v>0.99905999999999995</v>
      </c>
      <c r="S714" t="e">
        <f t="shared" si="46"/>
        <v>#N/A</v>
      </c>
      <c r="T714">
        <f t="shared" si="49"/>
        <v>3.1700000000000001E-3</v>
      </c>
    </row>
    <row r="715" spans="16:20" x14ac:dyDescent="0.3">
      <c r="P715">
        <f t="shared" si="47"/>
        <v>7.12</v>
      </c>
      <c r="Q715">
        <v>3.12</v>
      </c>
      <c r="R715">
        <f t="shared" si="48"/>
        <v>0.99909999999999999</v>
      </c>
      <c r="S715" t="e">
        <f t="shared" si="46"/>
        <v>#N/A</v>
      </c>
      <c r="T715">
        <f t="shared" si="49"/>
        <v>3.0699999999999998E-3</v>
      </c>
    </row>
    <row r="716" spans="16:20" x14ac:dyDescent="0.3">
      <c r="P716">
        <f t="shared" si="47"/>
        <v>7.13</v>
      </c>
      <c r="Q716">
        <v>3.13</v>
      </c>
      <c r="R716">
        <f t="shared" si="48"/>
        <v>0.99912999999999996</v>
      </c>
      <c r="S716" t="e">
        <f t="shared" si="46"/>
        <v>#N/A</v>
      </c>
      <c r="T716">
        <f t="shared" si="49"/>
        <v>2.98E-3</v>
      </c>
    </row>
    <row r="717" spans="16:20" x14ac:dyDescent="0.3">
      <c r="P717">
        <f t="shared" si="47"/>
        <v>7.1400000000000006</v>
      </c>
      <c r="Q717">
        <v>3.14</v>
      </c>
      <c r="R717">
        <f t="shared" si="48"/>
        <v>0.99916000000000005</v>
      </c>
      <c r="S717" t="e">
        <f t="shared" si="46"/>
        <v>#N/A</v>
      </c>
      <c r="T717">
        <f t="shared" si="49"/>
        <v>2.8800000000000002E-3</v>
      </c>
    </row>
    <row r="718" spans="16:20" x14ac:dyDescent="0.3">
      <c r="P718">
        <f t="shared" si="47"/>
        <v>7.15</v>
      </c>
      <c r="Q718">
        <v>3.15</v>
      </c>
      <c r="R718">
        <f t="shared" si="48"/>
        <v>0.99917999999999996</v>
      </c>
      <c r="S718" t="e">
        <f t="shared" si="46"/>
        <v>#N/A</v>
      </c>
      <c r="T718">
        <f t="shared" si="49"/>
        <v>2.7899999999999999E-3</v>
      </c>
    </row>
    <row r="719" spans="16:20" x14ac:dyDescent="0.3">
      <c r="P719">
        <f t="shared" si="47"/>
        <v>7.16</v>
      </c>
      <c r="Q719">
        <v>3.16</v>
      </c>
      <c r="R719">
        <f t="shared" si="48"/>
        <v>0.99921000000000004</v>
      </c>
      <c r="S719" t="e">
        <f t="shared" si="46"/>
        <v>#N/A</v>
      </c>
      <c r="T719">
        <f t="shared" si="49"/>
        <v>2.7100000000000002E-3</v>
      </c>
    </row>
    <row r="720" spans="16:20" x14ac:dyDescent="0.3">
      <c r="P720">
        <f t="shared" si="47"/>
        <v>7.17</v>
      </c>
      <c r="Q720">
        <v>3.17</v>
      </c>
      <c r="R720">
        <f t="shared" si="48"/>
        <v>0.99924000000000002</v>
      </c>
      <c r="S720" t="e">
        <f t="shared" si="46"/>
        <v>#N/A</v>
      </c>
      <c r="T720">
        <f t="shared" si="49"/>
        <v>2.6199999999999999E-3</v>
      </c>
    </row>
    <row r="721" spans="16:20" x14ac:dyDescent="0.3">
      <c r="P721">
        <f t="shared" si="47"/>
        <v>7.18</v>
      </c>
      <c r="Q721">
        <v>3.18</v>
      </c>
      <c r="R721">
        <f t="shared" si="48"/>
        <v>0.99926000000000004</v>
      </c>
      <c r="S721" t="e">
        <f t="shared" si="46"/>
        <v>#N/A</v>
      </c>
      <c r="T721">
        <f t="shared" si="49"/>
        <v>2.5400000000000002E-3</v>
      </c>
    </row>
    <row r="722" spans="16:20" x14ac:dyDescent="0.3">
      <c r="P722">
        <f t="shared" si="47"/>
        <v>7.1899999999999995</v>
      </c>
      <c r="Q722">
        <v>3.19</v>
      </c>
      <c r="R722">
        <f t="shared" si="48"/>
        <v>0.99929000000000001</v>
      </c>
      <c r="S722" t="e">
        <f t="shared" si="46"/>
        <v>#N/A</v>
      </c>
      <c r="T722">
        <f t="shared" si="49"/>
        <v>2.4599999999999999E-3</v>
      </c>
    </row>
    <row r="723" spans="16:20" x14ac:dyDescent="0.3">
      <c r="P723">
        <f t="shared" si="47"/>
        <v>7.2</v>
      </c>
      <c r="Q723">
        <v>3.2</v>
      </c>
      <c r="R723">
        <f t="shared" si="48"/>
        <v>0.99931000000000003</v>
      </c>
      <c r="S723" t="e">
        <f t="shared" si="46"/>
        <v>#N/A</v>
      </c>
      <c r="T723">
        <f t="shared" si="49"/>
        <v>2.3800000000000002E-3</v>
      </c>
    </row>
    <row r="724" spans="16:20" x14ac:dyDescent="0.3">
      <c r="P724">
        <f t="shared" si="47"/>
        <v>7.21</v>
      </c>
      <c r="Q724">
        <v>3.21</v>
      </c>
      <c r="R724">
        <f t="shared" si="48"/>
        <v>0.99934000000000001</v>
      </c>
      <c r="S724" t="e">
        <f t="shared" si="46"/>
        <v>#N/A</v>
      </c>
      <c r="T724">
        <f t="shared" si="49"/>
        <v>2.31E-3</v>
      </c>
    </row>
    <row r="725" spans="16:20" x14ac:dyDescent="0.3">
      <c r="P725">
        <f t="shared" si="47"/>
        <v>7.2200000000000006</v>
      </c>
      <c r="Q725">
        <v>3.22</v>
      </c>
      <c r="R725">
        <f t="shared" si="48"/>
        <v>0.99936000000000003</v>
      </c>
      <c r="S725" t="e">
        <f t="shared" si="46"/>
        <v>#N/A</v>
      </c>
      <c r="T725">
        <f t="shared" si="49"/>
        <v>2.2399999999999998E-3</v>
      </c>
    </row>
    <row r="726" spans="16:20" x14ac:dyDescent="0.3">
      <c r="P726">
        <f t="shared" si="47"/>
        <v>7.23</v>
      </c>
      <c r="Q726">
        <v>3.23</v>
      </c>
      <c r="R726">
        <f t="shared" si="48"/>
        <v>0.99938000000000005</v>
      </c>
      <c r="S726" t="e">
        <f t="shared" si="46"/>
        <v>#N/A</v>
      </c>
      <c r="T726">
        <f t="shared" si="49"/>
        <v>2.16E-3</v>
      </c>
    </row>
    <row r="727" spans="16:20" x14ac:dyDescent="0.3">
      <c r="P727">
        <f t="shared" si="47"/>
        <v>7.24</v>
      </c>
      <c r="Q727">
        <v>3.24</v>
      </c>
      <c r="R727">
        <f t="shared" si="48"/>
        <v>0.99939999999999996</v>
      </c>
      <c r="S727" t="e">
        <f t="shared" si="46"/>
        <v>#N/A</v>
      </c>
      <c r="T727">
        <f t="shared" si="49"/>
        <v>2.0999999999999999E-3</v>
      </c>
    </row>
    <row r="728" spans="16:20" x14ac:dyDescent="0.3">
      <c r="P728">
        <f t="shared" si="47"/>
        <v>7.25</v>
      </c>
      <c r="Q728">
        <v>3.25</v>
      </c>
      <c r="R728">
        <f t="shared" si="48"/>
        <v>0.99941999999999998</v>
      </c>
      <c r="S728" t="e">
        <f t="shared" si="46"/>
        <v>#N/A</v>
      </c>
      <c r="T728">
        <f t="shared" si="49"/>
        <v>2.0300000000000001E-3</v>
      </c>
    </row>
    <row r="729" spans="16:20" x14ac:dyDescent="0.3">
      <c r="P729">
        <f t="shared" si="47"/>
        <v>7.26</v>
      </c>
      <c r="Q729">
        <v>3.26</v>
      </c>
      <c r="R729">
        <f t="shared" si="48"/>
        <v>0.99944</v>
      </c>
      <c r="S729" t="e">
        <f t="shared" si="46"/>
        <v>#N/A</v>
      </c>
      <c r="T729">
        <f t="shared" si="49"/>
        <v>1.9599999999999999E-3</v>
      </c>
    </row>
    <row r="730" spans="16:20" x14ac:dyDescent="0.3">
      <c r="P730">
        <f t="shared" si="47"/>
        <v>7.27</v>
      </c>
      <c r="Q730">
        <v>3.27</v>
      </c>
      <c r="R730">
        <f t="shared" si="48"/>
        <v>0.99946000000000002</v>
      </c>
      <c r="S730" t="e">
        <f t="shared" si="46"/>
        <v>#N/A</v>
      </c>
      <c r="T730">
        <f t="shared" si="49"/>
        <v>1.9E-3</v>
      </c>
    </row>
    <row r="731" spans="16:20" x14ac:dyDescent="0.3">
      <c r="P731">
        <f t="shared" si="47"/>
        <v>7.2799999999999994</v>
      </c>
      <c r="Q731">
        <v>3.28</v>
      </c>
      <c r="R731">
        <f t="shared" si="48"/>
        <v>0.99948000000000004</v>
      </c>
      <c r="S731" t="e">
        <f t="shared" si="46"/>
        <v>#N/A</v>
      </c>
      <c r="T731">
        <f t="shared" si="49"/>
        <v>1.8400000000000001E-3</v>
      </c>
    </row>
    <row r="732" spans="16:20" x14ac:dyDescent="0.3">
      <c r="P732">
        <f t="shared" si="47"/>
        <v>7.29</v>
      </c>
      <c r="Q732">
        <v>3.29</v>
      </c>
      <c r="R732">
        <f t="shared" si="48"/>
        <v>0.99950000000000006</v>
      </c>
      <c r="S732" t="e">
        <f t="shared" si="46"/>
        <v>#N/A</v>
      </c>
      <c r="T732">
        <f t="shared" si="49"/>
        <v>1.7799999999999999E-3</v>
      </c>
    </row>
    <row r="733" spans="16:20" x14ac:dyDescent="0.3">
      <c r="P733">
        <f t="shared" si="47"/>
        <v>7.3</v>
      </c>
      <c r="Q733">
        <v>3.3</v>
      </c>
      <c r="R733">
        <f t="shared" si="48"/>
        <v>0.99951999999999996</v>
      </c>
      <c r="S733" t="e">
        <f t="shared" si="46"/>
        <v>#N/A</v>
      </c>
      <c r="T733">
        <f t="shared" si="49"/>
        <v>1.72E-3</v>
      </c>
    </row>
    <row r="734" spans="16:20" x14ac:dyDescent="0.3">
      <c r="P734">
        <f t="shared" si="47"/>
        <v>7.3100000000000005</v>
      </c>
      <c r="Q734">
        <v>3.31</v>
      </c>
      <c r="R734">
        <f t="shared" si="48"/>
        <v>0.99953000000000003</v>
      </c>
      <c r="S734" t="e">
        <f t="shared" si="46"/>
        <v>#N/A</v>
      </c>
      <c r="T734">
        <f t="shared" si="49"/>
        <v>1.67E-3</v>
      </c>
    </row>
    <row r="735" spans="16:20" x14ac:dyDescent="0.3">
      <c r="P735">
        <f t="shared" si="47"/>
        <v>7.32</v>
      </c>
      <c r="Q735">
        <v>3.32</v>
      </c>
      <c r="R735">
        <f t="shared" si="48"/>
        <v>0.99955000000000005</v>
      </c>
      <c r="S735" t="e">
        <f t="shared" si="46"/>
        <v>#N/A</v>
      </c>
      <c r="T735">
        <f t="shared" si="49"/>
        <v>1.6100000000000001E-3</v>
      </c>
    </row>
    <row r="736" spans="16:20" x14ac:dyDescent="0.3">
      <c r="P736">
        <f t="shared" si="47"/>
        <v>7.33</v>
      </c>
      <c r="Q736">
        <v>3.33</v>
      </c>
      <c r="R736">
        <f t="shared" si="48"/>
        <v>0.99956999999999996</v>
      </c>
      <c r="S736" t="e">
        <f t="shared" si="46"/>
        <v>#N/A</v>
      </c>
      <c r="T736">
        <f t="shared" si="49"/>
        <v>1.56E-3</v>
      </c>
    </row>
    <row r="737" spans="16:20" x14ac:dyDescent="0.3">
      <c r="P737">
        <f t="shared" si="47"/>
        <v>7.34</v>
      </c>
      <c r="Q737">
        <v>3.34</v>
      </c>
      <c r="R737">
        <f t="shared" si="48"/>
        <v>0.99958000000000002</v>
      </c>
      <c r="S737" t="e">
        <f t="shared" si="46"/>
        <v>#N/A</v>
      </c>
      <c r="T737">
        <f t="shared" si="49"/>
        <v>1.5100000000000001E-3</v>
      </c>
    </row>
    <row r="738" spans="16:20" x14ac:dyDescent="0.3">
      <c r="P738">
        <f t="shared" si="47"/>
        <v>7.35</v>
      </c>
      <c r="Q738">
        <v>3.35</v>
      </c>
      <c r="R738">
        <f t="shared" si="48"/>
        <v>0.99960000000000004</v>
      </c>
      <c r="S738" t="e">
        <f t="shared" si="46"/>
        <v>#N/A</v>
      </c>
      <c r="T738">
        <f t="shared" si="49"/>
        <v>1.4599999999999999E-3</v>
      </c>
    </row>
    <row r="739" spans="16:20" x14ac:dyDescent="0.3">
      <c r="P739">
        <f t="shared" si="47"/>
        <v>7.3599999999999994</v>
      </c>
      <c r="Q739">
        <v>3.36</v>
      </c>
      <c r="R739">
        <f t="shared" si="48"/>
        <v>0.99961</v>
      </c>
      <c r="S739" t="e">
        <f t="shared" si="46"/>
        <v>#N/A</v>
      </c>
      <c r="T739">
        <f t="shared" si="49"/>
        <v>1.41E-3</v>
      </c>
    </row>
    <row r="740" spans="16:20" x14ac:dyDescent="0.3">
      <c r="P740">
        <f t="shared" si="47"/>
        <v>7.37</v>
      </c>
      <c r="Q740">
        <v>3.37</v>
      </c>
      <c r="R740">
        <f t="shared" si="48"/>
        <v>0.99961999999999995</v>
      </c>
      <c r="S740" t="e">
        <f t="shared" si="46"/>
        <v>#N/A</v>
      </c>
      <c r="T740">
        <f t="shared" si="49"/>
        <v>1.3600000000000001E-3</v>
      </c>
    </row>
    <row r="741" spans="16:20" x14ac:dyDescent="0.3">
      <c r="P741">
        <f t="shared" si="47"/>
        <v>7.38</v>
      </c>
      <c r="Q741">
        <v>3.38</v>
      </c>
      <c r="R741">
        <f t="shared" si="48"/>
        <v>0.99963999999999997</v>
      </c>
      <c r="S741" t="e">
        <f t="shared" si="46"/>
        <v>#N/A</v>
      </c>
      <c r="T741">
        <f t="shared" si="49"/>
        <v>1.32E-3</v>
      </c>
    </row>
    <row r="742" spans="16:20" x14ac:dyDescent="0.3">
      <c r="P742">
        <f t="shared" si="47"/>
        <v>7.3900000000000006</v>
      </c>
      <c r="Q742">
        <v>3.39</v>
      </c>
      <c r="R742">
        <f t="shared" si="48"/>
        <v>0.99965000000000004</v>
      </c>
      <c r="S742" t="e">
        <f t="shared" si="46"/>
        <v>#N/A</v>
      </c>
      <c r="T742">
        <f t="shared" si="49"/>
        <v>1.2700000000000001E-3</v>
      </c>
    </row>
    <row r="743" spans="16:20" x14ac:dyDescent="0.3">
      <c r="P743">
        <f t="shared" si="47"/>
        <v>7.4</v>
      </c>
      <c r="Q743">
        <v>3.4</v>
      </c>
      <c r="R743">
        <f t="shared" si="48"/>
        <v>0.99965999999999999</v>
      </c>
      <c r="S743" t="e">
        <f t="shared" si="46"/>
        <v>#N/A</v>
      </c>
      <c r="T743">
        <f t="shared" si="49"/>
        <v>1.23E-3</v>
      </c>
    </row>
    <row r="744" spans="16:20" x14ac:dyDescent="0.3">
      <c r="P744">
        <f t="shared" si="47"/>
        <v>7.41</v>
      </c>
      <c r="Q744">
        <v>3.41</v>
      </c>
      <c r="R744">
        <f t="shared" si="48"/>
        <v>0.99968000000000001</v>
      </c>
      <c r="S744" t="e">
        <f t="shared" si="46"/>
        <v>#N/A</v>
      </c>
      <c r="T744">
        <f t="shared" si="49"/>
        <v>1.1900000000000001E-3</v>
      </c>
    </row>
    <row r="745" spans="16:20" x14ac:dyDescent="0.3">
      <c r="P745">
        <f t="shared" si="47"/>
        <v>7.42</v>
      </c>
      <c r="Q745">
        <v>3.42</v>
      </c>
      <c r="R745">
        <f t="shared" si="48"/>
        <v>0.99968999999999997</v>
      </c>
      <c r="S745" t="e">
        <f t="shared" si="46"/>
        <v>#N/A</v>
      </c>
      <c r="T745">
        <f t="shared" si="49"/>
        <v>1.15E-3</v>
      </c>
    </row>
    <row r="746" spans="16:20" x14ac:dyDescent="0.3">
      <c r="P746">
        <f t="shared" si="47"/>
        <v>7.43</v>
      </c>
      <c r="Q746">
        <v>3.43</v>
      </c>
      <c r="R746">
        <f t="shared" si="48"/>
        <v>0.99970000000000003</v>
      </c>
      <c r="S746" t="e">
        <f t="shared" si="46"/>
        <v>#N/A</v>
      </c>
      <c r="T746">
        <f t="shared" si="49"/>
        <v>1.1100000000000001E-3</v>
      </c>
    </row>
    <row r="747" spans="16:20" x14ac:dyDescent="0.3">
      <c r="P747">
        <f t="shared" si="47"/>
        <v>7.4399999999999995</v>
      </c>
      <c r="Q747">
        <v>3.44</v>
      </c>
      <c r="R747">
        <f t="shared" si="48"/>
        <v>0.99970999999999999</v>
      </c>
      <c r="S747" t="e">
        <f t="shared" si="46"/>
        <v>#N/A</v>
      </c>
      <c r="T747">
        <f t="shared" si="49"/>
        <v>1.07E-3</v>
      </c>
    </row>
    <row r="748" spans="16:20" x14ac:dyDescent="0.3">
      <c r="P748">
        <f t="shared" si="47"/>
        <v>7.45</v>
      </c>
      <c r="Q748">
        <v>3.45</v>
      </c>
      <c r="R748">
        <f t="shared" si="48"/>
        <v>0.99972000000000005</v>
      </c>
      <c r="S748" t="e">
        <f t="shared" si="46"/>
        <v>#N/A</v>
      </c>
      <c r="T748">
        <f t="shared" si="49"/>
        <v>1.0399999999999999E-3</v>
      </c>
    </row>
    <row r="749" spans="16:20" x14ac:dyDescent="0.3">
      <c r="P749">
        <f t="shared" si="47"/>
        <v>7.46</v>
      </c>
      <c r="Q749">
        <v>3.46</v>
      </c>
      <c r="R749">
        <f t="shared" si="48"/>
        <v>0.99973000000000001</v>
      </c>
      <c r="S749" t="e">
        <f t="shared" si="46"/>
        <v>#N/A</v>
      </c>
      <c r="T749">
        <f t="shared" si="49"/>
        <v>1E-3</v>
      </c>
    </row>
    <row r="750" spans="16:20" x14ac:dyDescent="0.3">
      <c r="P750">
        <f t="shared" si="47"/>
        <v>7.4700000000000006</v>
      </c>
      <c r="Q750">
        <v>3.47</v>
      </c>
      <c r="R750">
        <f t="shared" si="48"/>
        <v>0.99973999999999996</v>
      </c>
      <c r="S750" t="e">
        <f t="shared" si="46"/>
        <v>#N/A</v>
      </c>
      <c r="T750">
        <f t="shared" si="49"/>
        <v>9.7000000000000005E-4</v>
      </c>
    </row>
    <row r="751" spans="16:20" x14ac:dyDescent="0.3">
      <c r="P751">
        <f t="shared" si="47"/>
        <v>7.48</v>
      </c>
      <c r="Q751">
        <v>3.48</v>
      </c>
      <c r="R751">
        <f t="shared" si="48"/>
        <v>0.99975000000000003</v>
      </c>
      <c r="S751" t="e">
        <f t="shared" si="46"/>
        <v>#N/A</v>
      </c>
      <c r="T751">
        <f t="shared" si="49"/>
        <v>9.3999999999999997E-4</v>
      </c>
    </row>
    <row r="752" spans="16:20" x14ac:dyDescent="0.3">
      <c r="P752">
        <f t="shared" si="47"/>
        <v>7.49</v>
      </c>
      <c r="Q752">
        <v>3.49</v>
      </c>
      <c r="R752">
        <f t="shared" si="48"/>
        <v>0.99975999999999998</v>
      </c>
      <c r="S752" t="e">
        <f t="shared" si="46"/>
        <v>#N/A</v>
      </c>
      <c r="T752">
        <f t="shared" si="49"/>
        <v>8.9999999999999998E-4</v>
      </c>
    </row>
    <row r="753" spans="16:20" x14ac:dyDescent="0.3">
      <c r="P753">
        <f t="shared" si="47"/>
        <v>7.5</v>
      </c>
      <c r="Q753">
        <v>3.5</v>
      </c>
      <c r="R753">
        <f t="shared" si="48"/>
        <v>0.99977000000000005</v>
      </c>
      <c r="S753" t="e">
        <f t="shared" si="46"/>
        <v>#N/A</v>
      </c>
      <c r="T753">
        <f t="shared" si="49"/>
        <v>8.7000000000000001E-4</v>
      </c>
    </row>
    <row r="754" spans="16:20" x14ac:dyDescent="0.3">
      <c r="P754">
        <f t="shared" si="47"/>
        <v>7.51</v>
      </c>
      <c r="Q754">
        <v>3.51</v>
      </c>
      <c r="R754">
        <f t="shared" si="48"/>
        <v>0.99978</v>
      </c>
      <c r="S754" t="e">
        <f t="shared" si="46"/>
        <v>#N/A</v>
      </c>
      <c r="T754">
        <f t="shared" si="49"/>
        <v>8.4000000000000003E-4</v>
      </c>
    </row>
    <row r="755" spans="16:20" x14ac:dyDescent="0.3">
      <c r="P755">
        <f t="shared" si="47"/>
        <v>7.52</v>
      </c>
      <c r="Q755">
        <v>3.52</v>
      </c>
      <c r="R755">
        <f t="shared" si="48"/>
        <v>0.99978</v>
      </c>
      <c r="S755" t="e">
        <f t="shared" si="46"/>
        <v>#N/A</v>
      </c>
      <c r="T755">
        <f t="shared" si="49"/>
        <v>8.0999999999999996E-4</v>
      </c>
    </row>
    <row r="756" spans="16:20" x14ac:dyDescent="0.3">
      <c r="P756">
        <f t="shared" si="47"/>
        <v>7.5299999999999994</v>
      </c>
      <c r="Q756">
        <v>3.53</v>
      </c>
      <c r="R756">
        <f t="shared" si="48"/>
        <v>0.99978999999999996</v>
      </c>
      <c r="S756" t="e">
        <f t="shared" si="46"/>
        <v>#N/A</v>
      </c>
      <c r="T756">
        <f t="shared" si="49"/>
        <v>7.9000000000000001E-4</v>
      </c>
    </row>
    <row r="757" spans="16:20" x14ac:dyDescent="0.3">
      <c r="P757">
        <f t="shared" si="47"/>
        <v>7.54</v>
      </c>
      <c r="Q757">
        <v>3.54</v>
      </c>
      <c r="R757">
        <f t="shared" si="48"/>
        <v>0.99980000000000002</v>
      </c>
      <c r="S757" t="e">
        <f t="shared" si="46"/>
        <v>#N/A</v>
      </c>
      <c r="T757">
        <f t="shared" si="49"/>
        <v>7.6000000000000004E-4</v>
      </c>
    </row>
    <row r="758" spans="16:20" x14ac:dyDescent="0.3">
      <c r="P758">
        <f t="shared" si="47"/>
        <v>7.55</v>
      </c>
      <c r="Q758">
        <v>3.55</v>
      </c>
      <c r="R758">
        <f t="shared" si="48"/>
        <v>0.99980999999999998</v>
      </c>
      <c r="S758" t="e">
        <f t="shared" si="46"/>
        <v>#N/A</v>
      </c>
      <c r="T758">
        <f t="shared" si="49"/>
        <v>7.2999999999999996E-4</v>
      </c>
    </row>
    <row r="759" spans="16:20" x14ac:dyDescent="0.3">
      <c r="P759">
        <f t="shared" si="47"/>
        <v>7.5600000000000005</v>
      </c>
      <c r="Q759">
        <v>3.56</v>
      </c>
      <c r="R759">
        <f t="shared" si="48"/>
        <v>0.99980999999999998</v>
      </c>
      <c r="S759" t="e">
        <f t="shared" si="46"/>
        <v>#N/A</v>
      </c>
      <c r="T759">
        <f t="shared" si="49"/>
        <v>7.1000000000000002E-4</v>
      </c>
    </row>
    <row r="760" spans="16:20" x14ac:dyDescent="0.3">
      <c r="P760">
        <f t="shared" si="47"/>
        <v>7.57</v>
      </c>
      <c r="Q760">
        <v>3.57</v>
      </c>
      <c r="R760">
        <f t="shared" si="48"/>
        <v>0.99982000000000004</v>
      </c>
      <c r="S760" t="e">
        <f t="shared" si="46"/>
        <v>#N/A</v>
      </c>
      <c r="T760">
        <f t="shared" si="49"/>
        <v>6.8000000000000005E-4</v>
      </c>
    </row>
    <row r="761" spans="16:20" x14ac:dyDescent="0.3">
      <c r="P761">
        <f t="shared" si="47"/>
        <v>7.58</v>
      </c>
      <c r="Q761">
        <v>3.58</v>
      </c>
      <c r="R761">
        <f t="shared" si="48"/>
        <v>0.99983</v>
      </c>
      <c r="S761" t="e">
        <f t="shared" si="46"/>
        <v>#N/A</v>
      </c>
      <c r="T761">
        <f t="shared" si="49"/>
        <v>6.6E-4</v>
      </c>
    </row>
    <row r="762" spans="16:20" x14ac:dyDescent="0.3">
      <c r="P762">
        <f t="shared" si="47"/>
        <v>7.59</v>
      </c>
      <c r="Q762">
        <v>3.59</v>
      </c>
      <c r="R762">
        <f t="shared" si="48"/>
        <v>0.99983</v>
      </c>
      <c r="S762" t="e">
        <f t="shared" si="46"/>
        <v>#N/A</v>
      </c>
      <c r="T762">
        <f t="shared" si="49"/>
        <v>6.3000000000000003E-4</v>
      </c>
    </row>
    <row r="763" spans="16:20" x14ac:dyDescent="0.3">
      <c r="P763">
        <f t="shared" si="47"/>
        <v>7.6</v>
      </c>
      <c r="Q763">
        <v>3.6</v>
      </c>
      <c r="R763">
        <f t="shared" si="48"/>
        <v>0.99983999999999995</v>
      </c>
      <c r="S763" t="e">
        <f t="shared" si="46"/>
        <v>#N/A</v>
      </c>
      <c r="T763">
        <f t="shared" si="49"/>
        <v>6.0999999999999997E-4</v>
      </c>
    </row>
    <row r="764" spans="16:20" x14ac:dyDescent="0.3">
      <c r="P764">
        <f t="shared" si="47"/>
        <v>7.6099999999999994</v>
      </c>
      <c r="Q764">
        <v>3.61</v>
      </c>
      <c r="R764">
        <f t="shared" si="48"/>
        <v>0.99985000000000002</v>
      </c>
      <c r="S764" t="e">
        <f t="shared" si="46"/>
        <v>#N/A</v>
      </c>
      <c r="T764">
        <f t="shared" si="49"/>
        <v>5.9000000000000003E-4</v>
      </c>
    </row>
    <row r="765" spans="16:20" x14ac:dyDescent="0.3">
      <c r="P765">
        <f t="shared" si="47"/>
        <v>7.62</v>
      </c>
      <c r="Q765">
        <v>3.62</v>
      </c>
      <c r="R765">
        <f t="shared" si="48"/>
        <v>0.99985000000000002</v>
      </c>
      <c r="S765" t="e">
        <f t="shared" si="46"/>
        <v>#N/A</v>
      </c>
      <c r="T765">
        <f t="shared" si="49"/>
        <v>5.6999999999999998E-4</v>
      </c>
    </row>
    <row r="766" spans="16:20" x14ac:dyDescent="0.3">
      <c r="P766">
        <f t="shared" si="47"/>
        <v>7.63</v>
      </c>
      <c r="Q766">
        <v>3.63</v>
      </c>
      <c r="R766">
        <f t="shared" si="48"/>
        <v>0.99985999999999997</v>
      </c>
      <c r="S766" t="e">
        <f t="shared" si="46"/>
        <v>#N/A</v>
      </c>
      <c r="T766">
        <f t="shared" si="49"/>
        <v>5.5000000000000003E-4</v>
      </c>
    </row>
    <row r="767" spans="16:20" x14ac:dyDescent="0.3">
      <c r="P767">
        <f t="shared" si="47"/>
        <v>7.6400000000000006</v>
      </c>
      <c r="Q767">
        <v>3.64</v>
      </c>
      <c r="R767">
        <f t="shared" si="48"/>
        <v>0.99985999999999997</v>
      </c>
      <c r="S767" t="e">
        <f t="shared" si="46"/>
        <v>#N/A</v>
      </c>
      <c r="T767">
        <f t="shared" si="49"/>
        <v>5.2999999999999998E-4</v>
      </c>
    </row>
    <row r="768" spans="16:20" x14ac:dyDescent="0.3">
      <c r="P768">
        <f t="shared" si="47"/>
        <v>7.65</v>
      </c>
      <c r="Q768">
        <v>3.65</v>
      </c>
      <c r="R768">
        <f t="shared" si="48"/>
        <v>0.99987000000000004</v>
      </c>
      <c r="S768" t="e">
        <f t="shared" si="46"/>
        <v>#N/A</v>
      </c>
      <c r="T768">
        <f t="shared" si="49"/>
        <v>5.1000000000000004E-4</v>
      </c>
    </row>
    <row r="769" spans="16:20" x14ac:dyDescent="0.3">
      <c r="P769">
        <f t="shared" si="47"/>
        <v>7.66</v>
      </c>
      <c r="Q769">
        <v>3.66</v>
      </c>
      <c r="R769">
        <f t="shared" si="48"/>
        <v>0.99987000000000004</v>
      </c>
      <c r="S769" t="e">
        <f t="shared" si="46"/>
        <v>#N/A</v>
      </c>
      <c r="T769">
        <f t="shared" si="49"/>
        <v>4.8999999999999998E-4</v>
      </c>
    </row>
    <row r="770" spans="16:20" x14ac:dyDescent="0.3">
      <c r="P770">
        <f t="shared" si="47"/>
        <v>7.67</v>
      </c>
      <c r="Q770">
        <v>3.67</v>
      </c>
      <c r="R770">
        <f t="shared" si="48"/>
        <v>0.99987999999999999</v>
      </c>
      <c r="S770" t="e">
        <f t="shared" si="46"/>
        <v>#N/A</v>
      </c>
      <c r="T770">
        <f t="shared" si="49"/>
        <v>4.6999999999999999E-4</v>
      </c>
    </row>
    <row r="771" spans="16:20" x14ac:dyDescent="0.3">
      <c r="P771">
        <f t="shared" si="47"/>
        <v>7.68</v>
      </c>
      <c r="Q771">
        <v>3.68</v>
      </c>
      <c r="R771">
        <f t="shared" si="48"/>
        <v>0.99987999999999999</v>
      </c>
      <c r="S771" t="e">
        <f t="shared" ref="S771:S800" si="50">VLOOKUP(R771,$W$3:$W$42,1,0)</f>
        <v>#N/A</v>
      </c>
      <c r="T771">
        <f t="shared" si="49"/>
        <v>4.6000000000000001E-4</v>
      </c>
    </row>
    <row r="772" spans="16:20" x14ac:dyDescent="0.3">
      <c r="P772">
        <f t="shared" ref="P772:P803" si="51">4+(Q772)</f>
        <v>7.6899999999999995</v>
      </c>
      <c r="Q772">
        <v>3.69</v>
      </c>
      <c r="R772">
        <f t="shared" ref="R772:R803" si="52">ROUND(_xlfn.NORM.S.DIST(Q772,1),5)</f>
        <v>0.99988999999999995</v>
      </c>
      <c r="S772" t="e">
        <f t="shared" si="50"/>
        <v>#N/A</v>
      </c>
      <c r="T772">
        <f t="shared" ref="T772:T803" si="53">ROUND(_xlfn.NORM.S.DIST(Q772,0),5)</f>
        <v>4.4000000000000002E-4</v>
      </c>
    </row>
    <row r="773" spans="16:20" x14ac:dyDescent="0.3">
      <c r="P773">
        <f t="shared" si="51"/>
        <v>7.7</v>
      </c>
      <c r="Q773">
        <v>3.7</v>
      </c>
      <c r="R773">
        <f t="shared" si="52"/>
        <v>0.99988999999999995</v>
      </c>
      <c r="S773" t="e">
        <f t="shared" si="50"/>
        <v>#N/A</v>
      </c>
      <c r="T773">
        <f t="shared" si="53"/>
        <v>4.2000000000000002E-4</v>
      </c>
    </row>
    <row r="774" spans="16:20" x14ac:dyDescent="0.3">
      <c r="P774">
        <f t="shared" si="51"/>
        <v>7.71</v>
      </c>
      <c r="Q774">
        <v>3.71</v>
      </c>
      <c r="R774">
        <f t="shared" si="52"/>
        <v>0.99990000000000001</v>
      </c>
      <c r="S774" t="e">
        <f t="shared" si="50"/>
        <v>#N/A</v>
      </c>
      <c r="T774">
        <f t="shared" si="53"/>
        <v>4.0999999999999999E-4</v>
      </c>
    </row>
    <row r="775" spans="16:20" x14ac:dyDescent="0.3">
      <c r="P775">
        <f t="shared" si="51"/>
        <v>7.7200000000000006</v>
      </c>
      <c r="Q775">
        <v>3.72</v>
      </c>
      <c r="R775">
        <f t="shared" si="52"/>
        <v>0.99990000000000001</v>
      </c>
      <c r="S775" t="e">
        <f t="shared" si="50"/>
        <v>#N/A</v>
      </c>
      <c r="T775">
        <f t="shared" si="53"/>
        <v>3.8999999999999999E-4</v>
      </c>
    </row>
    <row r="776" spans="16:20" x14ac:dyDescent="0.3">
      <c r="P776">
        <f t="shared" si="51"/>
        <v>7.73</v>
      </c>
      <c r="Q776">
        <v>3.73</v>
      </c>
      <c r="R776">
        <f t="shared" si="52"/>
        <v>0.99990000000000001</v>
      </c>
      <c r="S776" t="e">
        <f t="shared" si="50"/>
        <v>#N/A</v>
      </c>
      <c r="T776">
        <f t="shared" si="53"/>
        <v>3.8000000000000002E-4</v>
      </c>
    </row>
    <row r="777" spans="16:20" x14ac:dyDescent="0.3">
      <c r="P777">
        <f t="shared" si="51"/>
        <v>7.74</v>
      </c>
      <c r="Q777">
        <v>3.74</v>
      </c>
      <c r="R777">
        <f t="shared" si="52"/>
        <v>0.99990999999999997</v>
      </c>
      <c r="S777" t="e">
        <f t="shared" si="50"/>
        <v>#N/A</v>
      </c>
      <c r="T777">
        <f t="shared" si="53"/>
        <v>3.6999999999999999E-4</v>
      </c>
    </row>
    <row r="778" spans="16:20" x14ac:dyDescent="0.3">
      <c r="P778">
        <f t="shared" si="51"/>
        <v>7.75</v>
      </c>
      <c r="Q778">
        <v>3.75</v>
      </c>
      <c r="R778">
        <f t="shared" si="52"/>
        <v>0.99990999999999997</v>
      </c>
      <c r="S778" t="e">
        <f t="shared" si="50"/>
        <v>#N/A</v>
      </c>
      <c r="T778">
        <f t="shared" si="53"/>
        <v>3.5E-4</v>
      </c>
    </row>
    <row r="779" spans="16:20" x14ac:dyDescent="0.3">
      <c r="P779">
        <f t="shared" si="51"/>
        <v>7.76</v>
      </c>
      <c r="Q779">
        <v>3.76</v>
      </c>
      <c r="R779">
        <f t="shared" si="52"/>
        <v>0.99992000000000003</v>
      </c>
      <c r="S779" t="e">
        <f t="shared" si="50"/>
        <v>#N/A</v>
      </c>
      <c r="T779">
        <f t="shared" si="53"/>
        <v>3.4000000000000002E-4</v>
      </c>
    </row>
    <row r="780" spans="16:20" x14ac:dyDescent="0.3">
      <c r="P780">
        <f t="shared" si="51"/>
        <v>7.77</v>
      </c>
      <c r="Q780">
        <v>3.77</v>
      </c>
      <c r="R780">
        <f t="shared" si="52"/>
        <v>0.99992000000000003</v>
      </c>
      <c r="S780" t="e">
        <f t="shared" si="50"/>
        <v>#N/A</v>
      </c>
      <c r="T780">
        <f t="shared" si="53"/>
        <v>3.3E-4</v>
      </c>
    </row>
    <row r="781" spans="16:20" x14ac:dyDescent="0.3">
      <c r="P781">
        <f t="shared" si="51"/>
        <v>7.7799999999999994</v>
      </c>
      <c r="Q781">
        <v>3.78</v>
      </c>
      <c r="R781">
        <f t="shared" si="52"/>
        <v>0.99992000000000003</v>
      </c>
      <c r="S781" t="e">
        <f t="shared" si="50"/>
        <v>#N/A</v>
      </c>
      <c r="T781">
        <f t="shared" si="53"/>
        <v>3.1E-4</v>
      </c>
    </row>
    <row r="782" spans="16:20" x14ac:dyDescent="0.3">
      <c r="P782">
        <f t="shared" si="51"/>
        <v>7.79</v>
      </c>
      <c r="Q782">
        <v>3.79</v>
      </c>
      <c r="R782">
        <f t="shared" si="52"/>
        <v>0.99992000000000003</v>
      </c>
      <c r="S782" t="e">
        <f t="shared" si="50"/>
        <v>#N/A</v>
      </c>
      <c r="T782">
        <f t="shared" si="53"/>
        <v>2.9999999999999997E-4</v>
      </c>
    </row>
    <row r="783" spans="16:20" x14ac:dyDescent="0.3">
      <c r="P783">
        <f t="shared" si="51"/>
        <v>7.8</v>
      </c>
      <c r="Q783">
        <v>3.8</v>
      </c>
      <c r="R783">
        <f t="shared" si="52"/>
        <v>0.99992999999999999</v>
      </c>
      <c r="S783" t="e">
        <f t="shared" si="50"/>
        <v>#N/A</v>
      </c>
      <c r="T783">
        <f t="shared" si="53"/>
        <v>2.9E-4</v>
      </c>
    </row>
    <row r="784" spans="16:20" x14ac:dyDescent="0.3">
      <c r="P784">
        <f t="shared" si="51"/>
        <v>7.8100000000000005</v>
      </c>
      <c r="Q784">
        <v>3.81</v>
      </c>
      <c r="R784">
        <f t="shared" si="52"/>
        <v>0.99992999999999999</v>
      </c>
      <c r="S784" t="e">
        <f t="shared" si="50"/>
        <v>#N/A</v>
      </c>
      <c r="T784">
        <f t="shared" si="53"/>
        <v>2.7999999999999998E-4</v>
      </c>
    </row>
    <row r="785" spans="16:20" x14ac:dyDescent="0.3">
      <c r="P785">
        <f t="shared" si="51"/>
        <v>7.82</v>
      </c>
      <c r="Q785">
        <v>3.82</v>
      </c>
      <c r="R785">
        <f t="shared" si="52"/>
        <v>0.99992999999999999</v>
      </c>
      <c r="S785" t="e">
        <f t="shared" si="50"/>
        <v>#N/A</v>
      </c>
      <c r="T785">
        <f t="shared" si="53"/>
        <v>2.7E-4</v>
      </c>
    </row>
    <row r="786" spans="16:20" x14ac:dyDescent="0.3">
      <c r="P786">
        <f t="shared" si="51"/>
        <v>7.83</v>
      </c>
      <c r="Q786">
        <v>3.83</v>
      </c>
      <c r="R786">
        <f t="shared" si="52"/>
        <v>0.99994000000000005</v>
      </c>
      <c r="S786" t="e">
        <f t="shared" si="50"/>
        <v>#N/A</v>
      </c>
      <c r="T786">
        <f t="shared" si="53"/>
        <v>2.5999999999999998E-4</v>
      </c>
    </row>
    <row r="787" spans="16:20" x14ac:dyDescent="0.3">
      <c r="P787">
        <f t="shared" si="51"/>
        <v>7.84</v>
      </c>
      <c r="Q787">
        <v>3.84</v>
      </c>
      <c r="R787">
        <f t="shared" si="52"/>
        <v>0.99994000000000005</v>
      </c>
      <c r="S787" t="e">
        <f t="shared" si="50"/>
        <v>#N/A</v>
      </c>
      <c r="T787">
        <f t="shared" si="53"/>
        <v>2.5000000000000001E-4</v>
      </c>
    </row>
    <row r="788" spans="16:20" x14ac:dyDescent="0.3">
      <c r="P788">
        <f t="shared" si="51"/>
        <v>7.85</v>
      </c>
      <c r="Q788">
        <v>3.85</v>
      </c>
      <c r="R788">
        <f t="shared" si="52"/>
        <v>0.99994000000000005</v>
      </c>
      <c r="S788" t="e">
        <f t="shared" si="50"/>
        <v>#N/A</v>
      </c>
      <c r="T788">
        <f t="shared" si="53"/>
        <v>2.4000000000000001E-4</v>
      </c>
    </row>
    <row r="789" spans="16:20" x14ac:dyDescent="0.3">
      <c r="P789">
        <f t="shared" si="51"/>
        <v>7.8599999999999994</v>
      </c>
      <c r="Q789">
        <v>3.86</v>
      </c>
      <c r="R789">
        <f t="shared" si="52"/>
        <v>0.99994000000000005</v>
      </c>
      <c r="S789" t="e">
        <f t="shared" si="50"/>
        <v>#N/A</v>
      </c>
      <c r="T789">
        <f t="shared" si="53"/>
        <v>2.3000000000000001E-4</v>
      </c>
    </row>
    <row r="790" spans="16:20" x14ac:dyDescent="0.3">
      <c r="P790">
        <f t="shared" si="51"/>
        <v>7.87</v>
      </c>
      <c r="Q790">
        <v>3.87</v>
      </c>
      <c r="R790">
        <f t="shared" si="52"/>
        <v>0.99995000000000001</v>
      </c>
      <c r="S790" t="e">
        <f t="shared" si="50"/>
        <v>#N/A</v>
      </c>
      <c r="T790">
        <f t="shared" si="53"/>
        <v>2.2000000000000001E-4</v>
      </c>
    </row>
    <row r="791" spans="16:20" x14ac:dyDescent="0.3">
      <c r="P791">
        <f t="shared" si="51"/>
        <v>7.88</v>
      </c>
      <c r="Q791">
        <v>3.88</v>
      </c>
      <c r="R791">
        <f t="shared" si="52"/>
        <v>0.99995000000000001</v>
      </c>
      <c r="S791" t="e">
        <f t="shared" si="50"/>
        <v>#N/A</v>
      </c>
      <c r="T791">
        <f t="shared" si="53"/>
        <v>2.1000000000000001E-4</v>
      </c>
    </row>
    <row r="792" spans="16:20" x14ac:dyDescent="0.3">
      <c r="P792">
        <f t="shared" si="51"/>
        <v>7.8900000000000006</v>
      </c>
      <c r="Q792">
        <v>3.89</v>
      </c>
      <c r="R792">
        <f t="shared" si="52"/>
        <v>0.99995000000000001</v>
      </c>
      <c r="S792" t="e">
        <f t="shared" si="50"/>
        <v>#N/A</v>
      </c>
      <c r="T792">
        <f t="shared" si="53"/>
        <v>2.1000000000000001E-4</v>
      </c>
    </row>
    <row r="793" spans="16:20" x14ac:dyDescent="0.3">
      <c r="P793">
        <f t="shared" si="51"/>
        <v>7.9</v>
      </c>
      <c r="Q793">
        <v>3.9</v>
      </c>
      <c r="R793">
        <f t="shared" si="52"/>
        <v>0.99995000000000001</v>
      </c>
      <c r="S793" t="e">
        <f t="shared" si="50"/>
        <v>#N/A</v>
      </c>
      <c r="T793">
        <f t="shared" si="53"/>
        <v>2.0000000000000001E-4</v>
      </c>
    </row>
    <row r="794" spans="16:20" x14ac:dyDescent="0.3">
      <c r="P794">
        <f t="shared" si="51"/>
        <v>7.91</v>
      </c>
      <c r="Q794">
        <v>3.91</v>
      </c>
      <c r="R794">
        <f t="shared" si="52"/>
        <v>0.99995000000000001</v>
      </c>
      <c r="S794" t="e">
        <f t="shared" si="50"/>
        <v>#N/A</v>
      </c>
      <c r="T794">
        <f t="shared" si="53"/>
        <v>1.9000000000000001E-4</v>
      </c>
    </row>
    <row r="795" spans="16:20" x14ac:dyDescent="0.3">
      <c r="P795">
        <f t="shared" si="51"/>
        <v>7.92</v>
      </c>
      <c r="Q795">
        <v>3.92</v>
      </c>
      <c r="R795">
        <f t="shared" si="52"/>
        <v>0.99995999999999996</v>
      </c>
      <c r="S795" t="e">
        <f t="shared" si="50"/>
        <v>#N/A</v>
      </c>
      <c r="T795">
        <f t="shared" si="53"/>
        <v>1.8000000000000001E-4</v>
      </c>
    </row>
    <row r="796" spans="16:20" x14ac:dyDescent="0.3">
      <c r="P796">
        <f t="shared" si="51"/>
        <v>7.93</v>
      </c>
      <c r="Q796">
        <v>3.93</v>
      </c>
      <c r="R796">
        <f t="shared" si="52"/>
        <v>0.99995999999999996</v>
      </c>
      <c r="S796" t="e">
        <f t="shared" si="50"/>
        <v>#N/A</v>
      </c>
      <c r="T796">
        <f t="shared" si="53"/>
        <v>1.8000000000000001E-4</v>
      </c>
    </row>
    <row r="797" spans="16:20" x14ac:dyDescent="0.3">
      <c r="P797">
        <f t="shared" si="51"/>
        <v>7.9399999999999995</v>
      </c>
      <c r="Q797">
        <v>3.94</v>
      </c>
      <c r="R797">
        <f t="shared" si="52"/>
        <v>0.99995999999999996</v>
      </c>
      <c r="S797" t="e">
        <f t="shared" si="50"/>
        <v>#N/A</v>
      </c>
      <c r="T797">
        <f t="shared" si="53"/>
        <v>1.7000000000000001E-4</v>
      </c>
    </row>
    <row r="798" spans="16:20" x14ac:dyDescent="0.3">
      <c r="P798">
        <f t="shared" si="51"/>
        <v>7.95</v>
      </c>
      <c r="Q798">
        <v>3.95</v>
      </c>
      <c r="R798">
        <f t="shared" si="52"/>
        <v>0.99995999999999996</v>
      </c>
      <c r="S798" t="e">
        <f t="shared" si="50"/>
        <v>#N/A</v>
      </c>
      <c r="T798">
        <f t="shared" si="53"/>
        <v>1.6000000000000001E-4</v>
      </c>
    </row>
    <row r="799" spans="16:20" x14ac:dyDescent="0.3">
      <c r="P799">
        <f t="shared" si="51"/>
        <v>7.96</v>
      </c>
      <c r="Q799">
        <v>3.96</v>
      </c>
      <c r="R799">
        <f t="shared" si="52"/>
        <v>0.99995999999999996</v>
      </c>
      <c r="S799" t="e">
        <f t="shared" si="50"/>
        <v>#N/A</v>
      </c>
      <c r="T799">
        <f t="shared" si="53"/>
        <v>1.6000000000000001E-4</v>
      </c>
    </row>
    <row r="800" spans="16:20" x14ac:dyDescent="0.3">
      <c r="P800">
        <f t="shared" si="51"/>
        <v>7.9700000000000006</v>
      </c>
      <c r="Q800">
        <v>3.97</v>
      </c>
      <c r="R800">
        <f t="shared" si="52"/>
        <v>0.99995999999999996</v>
      </c>
      <c r="S800" t="e">
        <f t="shared" si="50"/>
        <v>#N/A</v>
      </c>
      <c r="T800">
        <f t="shared" si="53"/>
        <v>1.4999999999999999E-4</v>
      </c>
    </row>
    <row r="801" spans="16:20" x14ac:dyDescent="0.3">
      <c r="P801">
        <f t="shared" si="51"/>
        <v>7.98</v>
      </c>
      <c r="Q801">
        <v>3.98</v>
      </c>
      <c r="R801">
        <f t="shared" si="52"/>
        <v>0.99997000000000003</v>
      </c>
      <c r="T801">
        <f t="shared" si="53"/>
        <v>1.3999999999999999E-4</v>
      </c>
    </row>
    <row r="802" spans="16:20" x14ac:dyDescent="0.3">
      <c r="P802">
        <f t="shared" si="51"/>
        <v>7.99</v>
      </c>
      <c r="Q802">
        <v>3.99</v>
      </c>
      <c r="R802">
        <f t="shared" si="52"/>
        <v>0.99997000000000003</v>
      </c>
      <c r="T802">
        <f t="shared" si="53"/>
        <v>1.3999999999999999E-4</v>
      </c>
    </row>
    <row r="803" spans="16:20" x14ac:dyDescent="0.3">
      <c r="P803">
        <f t="shared" si="51"/>
        <v>8</v>
      </c>
      <c r="Q803">
        <v>4</v>
      </c>
      <c r="R803">
        <f t="shared" si="52"/>
        <v>0.99997000000000003</v>
      </c>
      <c r="T803">
        <f t="shared" si="53"/>
        <v>1.2999999999999999E-4</v>
      </c>
    </row>
  </sheetData>
  <autoFilter ref="Q2:S803" xr:uid="{00000000-0009-0000-0000-000007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Лист1 (6)</vt:lpstr>
      <vt:lpstr>Лист1 (2)</vt:lpstr>
      <vt:lpstr>Лист1 (5)</vt:lpstr>
      <vt:lpstr>Лист4</vt:lpstr>
      <vt:lpstr>Лист1 (4)</vt:lpstr>
      <vt:lpstr>Лист1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2021-01-28T22:27:18Z</dcterms:modified>
</cp:coreProperties>
</file>