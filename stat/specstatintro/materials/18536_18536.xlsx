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03e102d659b3c6/Документы/1специалист/1СПЕЦ_WORK/Статистика/mod2_stastistics/раздача_мод2_статистика/"/>
    </mc:Choice>
  </mc:AlternateContent>
  <xr:revisionPtr revIDLastSave="42" documentId="13_ncr:1_{07267802-501E-4D4E-B823-9C5F82B9D5BD}" xr6:coauthVersionLast="47" xr6:coauthVersionMax="47" xr10:uidLastSave="{5F5BD7CE-EC8F-4679-BB58-118C3618504D}"/>
  <bookViews>
    <workbookView xWindow="-108" yWindow="-108" windowWidth="23256" windowHeight="12456" firstSheet="12" activeTab="14" xr2:uid="{375D0EDC-05ED-4553-BCB3-FC28D25DAB69}"/>
  </bookViews>
  <sheets>
    <sheet name="Абс. прирост, темп роста, приро" sheetId="1" r:id="rId1"/>
    <sheet name="Абс. прирост, темп роста, р" sheetId="3" r:id="rId2"/>
    <sheet name="Единое основание" sheetId="4" r:id="rId3"/>
    <sheet name="Единое основание р" sheetId="15" r:id="rId4"/>
    <sheet name="Укрупнение, скользящая средняя" sheetId="11" r:id="rId5"/>
    <sheet name="Укрупнение, скользящая сред р" sheetId="16" r:id="rId6"/>
    <sheet name="Пример линии тренда" sheetId="6" r:id="rId7"/>
    <sheet name="Ск средн, крит. Фишера" sheetId="7" r:id="rId8"/>
    <sheet name="Ск средн, крит. Фишера р" sheetId="17" r:id="rId9"/>
    <sheet name="Сезонность" sheetId="12" r:id="rId10"/>
    <sheet name="Сезонность р" sheetId="18" r:id="rId11"/>
    <sheet name="Искажения данных" sheetId="5" r:id="rId12"/>
    <sheet name="Нормализация данных 1" sheetId="19" r:id="rId13"/>
    <sheet name="Нормализация данных 1 р" sheetId="8" r:id="rId14"/>
    <sheet name="Нормализация 2" sheetId="20" r:id="rId15"/>
    <sheet name="Нормализация 2 р" sheetId="21" r:id="rId16"/>
  </sheets>
  <externalReferences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6" i="20" l="1"/>
  <c r="M36" i="20"/>
  <c r="L36" i="20"/>
  <c r="K36" i="20"/>
  <c r="J36" i="20"/>
  <c r="I36" i="20"/>
  <c r="H36" i="20"/>
  <c r="G36" i="20"/>
  <c r="F36" i="20"/>
  <c r="E36" i="20"/>
  <c r="D36" i="20"/>
  <c r="C36" i="20"/>
  <c r="G16" i="3" l="1"/>
  <c r="M47" i="21"/>
  <c r="L47" i="21"/>
  <c r="K47" i="21"/>
  <c r="J47" i="21"/>
  <c r="F47" i="21"/>
  <c r="E47" i="21"/>
  <c r="D47" i="21"/>
  <c r="M45" i="21"/>
  <c r="L45" i="21"/>
  <c r="K45" i="21"/>
  <c r="J45" i="21"/>
  <c r="F45" i="21"/>
  <c r="E45" i="21"/>
  <c r="D45" i="21"/>
  <c r="M43" i="21"/>
  <c r="L43" i="21"/>
  <c r="K43" i="21"/>
  <c r="J43" i="21"/>
  <c r="F43" i="21"/>
  <c r="E43" i="21"/>
  <c r="D43" i="21"/>
  <c r="M39" i="21"/>
  <c r="G39" i="21"/>
  <c r="M38" i="21"/>
  <c r="L38" i="21"/>
  <c r="G38" i="21"/>
  <c r="C38" i="21"/>
  <c r="M37" i="21"/>
  <c r="L37" i="21"/>
  <c r="K37" i="21"/>
  <c r="G37" i="21"/>
  <c r="C37" i="21"/>
  <c r="O37" i="21" s="1"/>
  <c r="N36" i="21"/>
  <c r="N37" i="21" s="1"/>
  <c r="M36" i="21"/>
  <c r="L36" i="21"/>
  <c r="L39" i="21" s="1"/>
  <c r="K36" i="21"/>
  <c r="K38" i="21" s="1"/>
  <c r="J36" i="21"/>
  <c r="J37" i="21" s="1"/>
  <c r="I36" i="21"/>
  <c r="I37" i="21" s="1"/>
  <c r="H36" i="21"/>
  <c r="H37" i="21" s="1"/>
  <c r="G36" i="21"/>
  <c r="F36" i="21"/>
  <c r="E36" i="21"/>
  <c r="D36" i="21"/>
  <c r="C36" i="21"/>
  <c r="C39" i="21" s="1"/>
  <c r="O22" i="21"/>
  <c r="N48" i="21" s="1"/>
  <c r="J22" i="21"/>
  <c r="J39" i="21" s="1"/>
  <c r="O21" i="21"/>
  <c r="N47" i="21" s="1"/>
  <c r="O19" i="21"/>
  <c r="N45" i="21" s="1"/>
  <c r="P18" i="21"/>
  <c r="L18" i="21"/>
  <c r="K18" i="21"/>
  <c r="J18" i="21"/>
  <c r="O17" i="21"/>
  <c r="N43" i="21" s="1"/>
  <c r="E6" i="21"/>
  <c r="F6" i="21" s="1"/>
  <c r="L48" i="20"/>
  <c r="G48" i="20"/>
  <c r="F48" i="20"/>
  <c r="N46" i="20"/>
  <c r="M46" i="20"/>
  <c r="L46" i="20"/>
  <c r="H46" i="20"/>
  <c r="G46" i="20"/>
  <c r="F46" i="20"/>
  <c r="C46" i="20"/>
  <c r="N45" i="20"/>
  <c r="M45" i="20"/>
  <c r="L45" i="20"/>
  <c r="H45" i="20"/>
  <c r="G45" i="20"/>
  <c r="F45" i="20"/>
  <c r="N43" i="20"/>
  <c r="M43" i="20"/>
  <c r="L43" i="20"/>
  <c r="H43" i="20"/>
  <c r="G43" i="20"/>
  <c r="F43" i="20"/>
  <c r="C43" i="20"/>
  <c r="Q39" i="20"/>
  <c r="O22" i="20"/>
  <c r="D48" i="20" s="1"/>
  <c r="O21" i="20"/>
  <c r="D47" i="20" s="1"/>
  <c r="O20" i="20"/>
  <c r="D46" i="20" s="1"/>
  <c r="O19" i="20"/>
  <c r="D45" i="20" s="1"/>
  <c r="L18" i="20"/>
  <c r="K18" i="20"/>
  <c r="J18" i="20"/>
  <c r="O17" i="20"/>
  <c r="D43" i="20" s="1"/>
  <c r="C36" i="17"/>
  <c r="C44" i="17"/>
  <c r="L44" i="21" l="1"/>
  <c r="C45" i="20"/>
  <c r="E43" i="20"/>
  <c r="E45" i="20"/>
  <c r="E46" i="20"/>
  <c r="E47" i="20"/>
  <c r="E48" i="20"/>
  <c r="P37" i="21"/>
  <c r="C43" i="21"/>
  <c r="C45" i="21"/>
  <c r="C47" i="21"/>
  <c r="C48" i="21"/>
  <c r="H39" i="21"/>
  <c r="E48" i="21"/>
  <c r="F47" i="20"/>
  <c r="G47" i="20"/>
  <c r="H48" i="20"/>
  <c r="H38" i="21"/>
  <c r="I39" i="21"/>
  <c r="P39" i="21" s="1"/>
  <c r="F48" i="21"/>
  <c r="H47" i="20"/>
  <c r="O18" i="20"/>
  <c r="J44" i="20" s="1"/>
  <c r="I43" i="20"/>
  <c r="I45" i="20"/>
  <c r="I46" i="20"/>
  <c r="I47" i="20"/>
  <c r="I48" i="20"/>
  <c r="O18" i="21"/>
  <c r="I38" i="21"/>
  <c r="P38" i="21" s="1"/>
  <c r="G43" i="21"/>
  <c r="G45" i="21"/>
  <c r="G47" i="21"/>
  <c r="G48" i="21"/>
  <c r="J43" i="20"/>
  <c r="J45" i="20"/>
  <c r="J46" i="20"/>
  <c r="J47" i="20"/>
  <c r="J48" i="20"/>
  <c r="J38" i="21"/>
  <c r="K39" i="21"/>
  <c r="O39" i="21" s="1"/>
  <c r="H43" i="21"/>
  <c r="H45" i="21"/>
  <c r="H47" i="21"/>
  <c r="H48" i="21"/>
  <c r="K43" i="20"/>
  <c r="K45" i="20"/>
  <c r="K46" i="20"/>
  <c r="K47" i="20"/>
  <c r="K48" i="20"/>
  <c r="I43" i="21"/>
  <c r="I45" i="21"/>
  <c r="I47" i="21"/>
  <c r="I48" i="21"/>
  <c r="J48" i="21"/>
  <c r="D48" i="21"/>
  <c r="L47" i="20"/>
  <c r="M48" i="20"/>
  <c r="N39" i="21"/>
  <c r="K48" i="21"/>
  <c r="N48" i="20"/>
  <c r="N38" i="21"/>
  <c r="L48" i="21"/>
  <c r="M47" i="20"/>
  <c r="O38" i="21"/>
  <c r="M48" i="21"/>
  <c r="N47" i="20"/>
  <c r="C47" i="20"/>
  <c r="C48" i="20"/>
  <c r="O28" i="19"/>
  <c r="O27" i="19"/>
  <c r="O13" i="19"/>
  <c r="O12" i="19"/>
  <c r="O11" i="19"/>
  <c r="O10" i="19"/>
  <c r="O9" i="19"/>
  <c r="O8" i="19"/>
  <c r="O7" i="19"/>
  <c r="O6" i="19"/>
  <c r="O5" i="19"/>
  <c r="O4" i="19"/>
  <c r="O3" i="19"/>
  <c r="E29" i="18"/>
  <c r="E28" i="18"/>
  <c r="E27" i="18"/>
  <c r="E26" i="18"/>
  <c r="E16" i="18"/>
  <c r="E15" i="18"/>
  <c r="E14" i="18"/>
  <c r="E13" i="18"/>
  <c r="E12" i="18"/>
  <c r="E11" i="18"/>
  <c r="E10" i="18"/>
  <c r="E9" i="18"/>
  <c r="E8" i="18"/>
  <c r="E7" i="18"/>
  <c r="E6" i="18"/>
  <c r="E5" i="18"/>
  <c r="J23" i="17"/>
  <c r="N22" i="17"/>
  <c r="N23" i="17" s="1"/>
  <c r="M22" i="17"/>
  <c r="M23" i="17" s="1"/>
  <c r="L22" i="17"/>
  <c r="L23" i="17" s="1"/>
  <c r="K22" i="17"/>
  <c r="K23" i="17" s="1"/>
  <c r="J22" i="17"/>
  <c r="J24" i="17" s="1"/>
  <c r="I22" i="17"/>
  <c r="I23" i="17" s="1"/>
  <c r="H22" i="17"/>
  <c r="H23" i="17" s="1"/>
  <c r="G22" i="17"/>
  <c r="G24" i="17" s="1"/>
  <c r="F22" i="17"/>
  <c r="F24" i="17" s="1"/>
  <c r="E22" i="17"/>
  <c r="E24" i="17" s="1"/>
  <c r="D22" i="17"/>
  <c r="D24" i="17" s="1"/>
  <c r="C22" i="17"/>
  <c r="C23" i="17" s="1"/>
  <c r="N16" i="17"/>
  <c r="M16" i="17"/>
  <c r="L16" i="17"/>
  <c r="K16" i="17"/>
  <c r="J16" i="17"/>
  <c r="I16" i="17"/>
  <c r="H16" i="17"/>
  <c r="G16" i="17"/>
  <c r="F16" i="17"/>
  <c r="E16" i="17"/>
  <c r="D16" i="17"/>
  <c r="P3" i="17"/>
  <c r="H24" i="17" s="1"/>
  <c r="O3" i="17"/>
  <c r="H24" i="16"/>
  <c r="G24" i="16"/>
  <c r="F24" i="16"/>
  <c r="E24" i="16"/>
  <c r="D24" i="16"/>
  <c r="H23" i="16"/>
  <c r="G23" i="16"/>
  <c r="F23" i="16"/>
  <c r="E23" i="16"/>
  <c r="D23" i="16"/>
  <c r="H22" i="16"/>
  <c r="G22" i="16"/>
  <c r="F22" i="16"/>
  <c r="E22" i="16"/>
  <c r="D22" i="16"/>
  <c r="H21" i="16"/>
  <c r="G21" i="16"/>
  <c r="F21" i="16"/>
  <c r="E21" i="16"/>
  <c r="D21" i="16"/>
  <c r="G15" i="16"/>
  <c r="E15" i="16"/>
  <c r="C15" i="16"/>
  <c r="G14" i="16"/>
  <c r="E14" i="16"/>
  <c r="C14" i="16"/>
  <c r="G13" i="16"/>
  <c r="E13" i="16"/>
  <c r="C13" i="16"/>
  <c r="G12" i="16"/>
  <c r="E12" i="16"/>
  <c r="C12" i="16"/>
  <c r="I15" i="15"/>
  <c r="H15" i="15"/>
  <c r="G15" i="15"/>
  <c r="F15" i="15"/>
  <c r="E15" i="15"/>
  <c r="D15" i="15"/>
  <c r="I14" i="15"/>
  <c r="H14" i="15"/>
  <c r="G14" i="15"/>
  <c r="F14" i="15"/>
  <c r="E14" i="15"/>
  <c r="D14" i="15"/>
  <c r="I13" i="15"/>
  <c r="H13" i="15"/>
  <c r="G13" i="15"/>
  <c r="F13" i="15"/>
  <c r="E13" i="15"/>
  <c r="D13" i="15"/>
  <c r="I12" i="15"/>
  <c r="H12" i="15"/>
  <c r="G12" i="15"/>
  <c r="F12" i="15"/>
  <c r="E12" i="15"/>
  <c r="D12" i="15"/>
  <c r="E17" i="8"/>
  <c r="Q39" i="21" l="1"/>
  <c r="N44" i="21"/>
  <c r="M44" i="21"/>
  <c r="I44" i="21"/>
  <c r="H44" i="21"/>
  <c r="E44" i="21"/>
  <c r="G44" i="21"/>
  <c r="D44" i="21"/>
  <c r="F44" i="21"/>
  <c r="C44" i="21"/>
  <c r="K44" i="21"/>
  <c r="D44" i="20"/>
  <c r="C44" i="20"/>
  <c r="N44" i="20"/>
  <c r="M44" i="20"/>
  <c r="L44" i="20"/>
  <c r="G44" i="20"/>
  <c r="I44" i="20"/>
  <c r="H44" i="20"/>
  <c r="F44" i="20"/>
  <c r="E44" i="20"/>
  <c r="J44" i="21"/>
  <c r="K44" i="20"/>
  <c r="E18" i="18"/>
  <c r="F12" i="18" s="1"/>
  <c r="E30" i="18"/>
  <c r="F27" i="18" s="1"/>
  <c r="H27" i="18" s="1"/>
  <c r="I24" i="17"/>
  <c r="K24" i="17"/>
  <c r="L24" i="17"/>
  <c r="M24" i="17"/>
  <c r="N24" i="17"/>
  <c r="C24" i="17"/>
  <c r="E23" i="17"/>
  <c r="F23" i="17"/>
  <c r="G23" i="17"/>
  <c r="D23" i="17"/>
  <c r="O23" i="17" s="1"/>
  <c r="G33" i="17" s="1"/>
  <c r="P3" i="7"/>
  <c r="O3" i="7"/>
  <c r="F20" i="21" l="1"/>
  <c r="D20" i="21"/>
  <c r="E20" i="21"/>
  <c r="G28" i="18"/>
  <c r="F28" i="18"/>
  <c r="H28" i="18" s="1"/>
  <c r="G27" i="18"/>
  <c r="F16" i="18"/>
  <c r="F15" i="18"/>
  <c r="F13" i="18"/>
  <c r="F7" i="18"/>
  <c r="F11" i="18"/>
  <c r="F14" i="18"/>
  <c r="F8" i="18"/>
  <c r="F9" i="18"/>
  <c r="F6" i="18"/>
  <c r="G29" i="18"/>
  <c r="G26" i="18"/>
  <c r="G30" i="18" s="1"/>
  <c r="F29" i="18"/>
  <c r="H29" i="18" s="1"/>
  <c r="F26" i="18"/>
  <c r="H26" i="18" s="1"/>
  <c r="F5" i="18"/>
  <c r="F10" i="18"/>
  <c r="D38" i="17"/>
  <c r="C38" i="17"/>
  <c r="O24" i="17"/>
  <c r="K30" i="17" s="1"/>
  <c r="E46" i="21" l="1"/>
  <c r="O20" i="21"/>
  <c r="D46" i="21"/>
  <c r="F46" i="21"/>
  <c r="O23" i="7"/>
  <c r="O24" i="7"/>
  <c r="N46" i="21" l="1"/>
  <c r="M46" i="21"/>
  <c r="L46" i="21"/>
  <c r="K46" i="21"/>
  <c r="J46" i="21"/>
  <c r="I46" i="21"/>
  <c r="H46" i="21"/>
  <c r="G46" i="21"/>
  <c r="C46" i="21"/>
  <c r="M36" i="8"/>
  <c r="L36" i="8"/>
  <c r="N35" i="8"/>
  <c r="M35" i="8"/>
  <c r="L35" i="8"/>
  <c r="H35" i="8"/>
  <c r="G35" i="8"/>
  <c r="C35" i="8"/>
  <c r="N34" i="8"/>
  <c r="M34" i="8"/>
  <c r="L34" i="8"/>
  <c r="I34" i="8"/>
  <c r="H34" i="8"/>
  <c r="G34" i="8"/>
  <c r="D34" i="8"/>
  <c r="C34" i="8"/>
  <c r="N33" i="8"/>
  <c r="M33" i="8"/>
  <c r="L33" i="8"/>
  <c r="H33" i="8"/>
  <c r="G33" i="8"/>
  <c r="C33" i="8"/>
  <c r="N32" i="8"/>
  <c r="M32" i="8"/>
  <c r="L32" i="8"/>
  <c r="G32" i="8"/>
  <c r="M31" i="8"/>
  <c r="L31" i="8"/>
  <c r="N28" i="8"/>
  <c r="M28" i="8"/>
  <c r="L28" i="8"/>
  <c r="K28" i="8"/>
  <c r="J28" i="8"/>
  <c r="I28" i="8"/>
  <c r="H28" i="8"/>
  <c r="G28" i="8"/>
  <c r="F28" i="8"/>
  <c r="E28" i="8"/>
  <c r="D28" i="8"/>
  <c r="C28" i="8"/>
  <c r="N27" i="8"/>
  <c r="M27" i="8"/>
  <c r="L27" i="8"/>
  <c r="K27" i="8"/>
  <c r="J27" i="8"/>
  <c r="I27" i="8"/>
  <c r="H27" i="8"/>
  <c r="G27" i="8"/>
  <c r="F27" i="8"/>
  <c r="E27" i="8"/>
  <c r="D27" i="8"/>
  <c r="C27" i="8"/>
  <c r="O27" i="8" s="1"/>
  <c r="N22" i="8"/>
  <c r="D22" i="8"/>
  <c r="C22" i="8"/>
  <c r="N21" i="8"/>
  <c r="J21" i="8"/>
  <c r="I21" i="8"/>
  <c r="F21" i="8"/>
  <c r="E21" i="8"/>
  <c r="D21" i="8"/>
  <c r="C21" i="8"/>
  <c r="N20" i="8"/>
  <c r="K20" i="8"/>
  <c r="J20" i="8"/>
  <c r="I20" i="8"/>
  <c r="H20" i="8"/>
  <c r="F20" i="8"/>
  <c r="E20" i="8"/>
  <c r="D20" i="8"/>
  <c r="C20" i="8"/>
  <c r="N19" i="8"/>
  <c r="J19" i="8"/>
  <c r="I19" i="8"/>
  <c r="E19" i="8"/>
  <c r="D19" i="8"/>
  <c r="C19" i="8"/>
  <c r="N18" i="8"/>
  <c r="I18" i="8"/>
  <c r="D18" i="8"/>
  <c r="C18" i="8"/>
  <c r="N17" i="8"/>
  <c r="C17" i="8"/>
  <c r="O13" i="8"/>
  <c r="O12" i="8"/>
  <c r="O11" i="8"/>
  <c r="O10" i="8"/>
  <c r="O9" i="8"/>
  <c r="O8" i="8"/>
  <c r="K36" i="8" s="1"/>
  <c r="O7" i="8"/>
  <c r="K35" i="8" s="1"/>
  <c r="O6" i="8"/>
  <c r="K34" i="8" s="1"/>
  <c r="O5" i="8"/>
  <c r="K33" i="8" s="1"/>
  <c r="O4" i="8"/>
  <c r="K32" i="8" s="1"/>
  <c r="O3" i="8"/>
  <c r="K31" i="8" s="1"/>
  <c r="N45" i="5"/>
  <c r="M45" i="5"/>
  <c r="L45" i="5"/>
  <c r="K45" i="5"/>
  <c r="J45" i="5"/>
  <c r="I45" i="5"/>
  <c r="H45" i="5"/>
  <c r="G45" i="5"/>
  <c r="F45" i="5"/>
  <c r="E45" i="5"/>
  <c r="D45" i="5"/>
  <c r="C45" i="5"/>
  <c r="D37" i="8" l="1"/>
  <c r="I37" i="8"/>
  <c r="J37" i="8"/>
  <c r="F37" i="8"/>
  <c r="K37" i="8"/>
  <c r="E37" i="8"/>
  <c r="N37" i="8"/>
  <c r="M23" i="8"/>
  <c r="K23" i="8"/>
  <c r="H37" i="8"/>
  <c r="G37" i="8"/>
  <c r="D23" i="8"/>
  <c r="N23" i="8"/>
  <c r="L23" i="8"/>
  <c r="M37" i="8"/>
  <c r="J23" i="8"/>
  <c r="H23" i="8"/>
  <c r="C23" i="8"/>
  <c r="G23" i="8"/>
  <c r="F23" i="8"/>
  <c r="L37" i="8"/>
  <c r="O28" i="8"/>
  <c r="K38" i="8" s="1"/>
  <c r="N31" i="8"/>
  <c r="N36" i="8"/>
  <c r="E23" i="8"/>
  <c r="C31" i="8"/>
  <c r="C37" i="8"/>
  <c r="F18" i="8"/>
  <c r="D31" i="8"/>
  <c r="D32" i="8"/>
  <c r="D33" i="8"/>
  <c r="D35" i="8"/>
  <c r="D36" i="8"/>
  <c r="G17" i="8"/>
  <c r="G18" i="8"/>
  <c r="G19" i="8"/>
  <c r="G20" i="8"/>
  <c r="G21" i="8"/>
  <c r="G22" i="8"/>
  <c r="E31" i="8"/>
  <c r="E32" i="8"/>
  <c r="E33" i="8"/>
  <c r="E34" i="8"/>
  <c r="E35" i="8"/>
  <c r="E36" i="8"/>
  <c r="E18" i="8"/>
  <c r="E22" i="8"/>
  <c r="C32" i="8"/>
  <c r="C36" i="8"/>
  <c r="F17" i="8"/>
  <c r="F19" i="8"/>
  <c r="F22" i="8"/>
  <c r="H17" i="8"/>
  <c r="H18" i="8"/>
  <c r="H19" i="8"/>
  <c r="H21" i="8"/>
  <c r="H22" i="8"/>
  <c r="F31" i="8"/>
  <c r="F32" i="8"/>
  <c r="F33" i="8"/>
  <c r="F34" i="8"/>
  <c r="F35" i="8"/>
  <c r="F36" i="8"/>
  <c r="D17" i="8"/>
  <c r="G36" i="8"/>
  <c r="H32" i="8"/>
  <c r="I22" i="8"/>
  <c r="I23" i="8"/>
  <c r="J18" i="8"/>
  <c r="H36" i="8"/>
  <c r="K17" i="8"/>
  <c r="K19" i="8"/>
  <c r="K22" i="8"/>
  <c r="I32" i="8"/>
  <c r="I33" i="8"/>
  <c r="I35" i="8"/>
  <c r="L17" i="8"/>
  <c r="L18" i="8"/>
  <c r="L19" i="8"/>
  <c r="L20" i="8"/>
  <c r="L21" i="8"/>
  <c r="L22" i="8"/>
  <c r="J31" i="8"/>
  <c r="J32" i="8"/>
  <c r="J33" i="8"/>
  <c r="J34" i="8"/>
  <c r="J35" i="8"/>
  <c r="J36" i="8"/>
  <c r="I17" i="8"/>
  <c r="G31" i="8"/>
  <c r="J17" i="8"/>
  <c r="J22" i="8"/>
  <c r="H31" i="8"/>
  <c r="K18" i="8"/>
  <c r="K21" i="8"/>
  <c r="I31" i="8"/>
  <c r="I36" i="8"/>
  <c r="M17" i="8"/>
  <c r="M18" i="8"/>
  <c r="M19" i="8"/>
  <c r="M20" i="8"/>
  <c r="M21" i="8"/>
  <c r="M22" i="8"/>
  <c r="G24" i="8" l="1"/>
  <c r="M24" i="8"/>
  <c r="I24" i="8"/>
  <c r="C24" i="8"/>
  <c r="L24" i="8"/>
  <c r="K24" i="8"/>
  <c r="J24" i="8"/>
  <c r="G38" i="8"/>
  <c r="D24" i="8"/>
  <c r="L38" i="8"/>
  <c r="N24" i="8"/>
  <c r="F38" i="8"/>
  <c r="F24" i="8"/>
  <c r="E24" i="8"/>
  <c r="E38" i="8"/>
  <c r="C38" i="8"/>
  <c r="D38" i="8"/>
  <c r="H24" i="8"/>
  <c r="H38" i="8"/>
  <c r="J38" i="8"/>
  <c r="M38" i="8"/>
  <c r="N38" i="8"/>
  <c r="I38" i="8"/>
  <c r="E14" i="3" l="1"/>
  <c r="C13" i="3" l="1"/>
  <c r="C12" i="3"/>
  <c r="G11" i="3"/>
  <c r="I11" i="3" s="1"/>
  <c r="F11" i="3"/>
  <c r="H11" i="3" s="1"/>
  <c r="E11" i="3"/>
  <c r="D11" i="3"/>
  <c r="G10" i="3"/>
  <c r="I10" i="3" s="1"/>
  <c r="F10" i="3"/>
  <c r="H10" i="3" s="1"/>
  <c r="E10" i="3"/>
  <c r="E12" i="3" s="1"/>
  <c r="D10" i="3"/>
  <c r="I9" i="3"/>
  <c r="G9" i="3"/>
  <c r="F9" i="3"/>
  <c r="H9" i="3" s="1"/>
  <c r="E9" i="3"/>
  <c r="D9" i="3"/>
  <c r="G8" i="3"/>
  <c r="I8" i="3" s="1"/>
  <c r="F8" i="3"/>
  <c r="H8" i="3" s="1"/>
  <c r="E8" i="3"/>
  <c r="D8" i="3"/>
  <c r="G7" i="3"/>
  <c r="I7" i="3" s="1"/>
  <c r="F7" i="3"/>
  <c r="H7" i="3" s="1"/>
  <c r="E7" i="3"/>
  <c r="D7" i="3"/>
  <c r="G6" i="3"/>
  <c r="F6" i="3"/>
  <c r="H6" i="3" s="1"/>
  <c r="E6" i="3"/>
  <c r="D6" i="3"/>
  <c r="C13" i="1"/>
  <c r="C12" i="1"/>
  <c r="G12" i="1"/>
  <c r="G12" i="3" l="1"/>
  <c r="I6" i="3"/>
  <c r="E12" i="1"/>
</calcChain>
</file>

<file path=xl/sharedStrings.xml><?xml version="1.0" encoding="utf-8"?>
<sst xmlns="http://schemas.openxmlformats.org/spreadsheetml/2006/main" count="482" uniqueCount="117">
  <si>
    <t>Год</t>
  </si>
  <si>
    <t>y</t>
  </si>
  <si>
    <t>Итого:</t>
  </si>
  <si>
    <r>
      <t xml:space="preserve">             </t>
    </r>
    <r>
      <rPr>
        <b/>
        <sz val="16"/>
        <color theme="4" tint="-0.249977111117893"/>
        <rFont val="Calibri"/>
        <family val="2"/>
        <charset val="204"/>
        <scheme val="minor"/>
      </rPr>
      <t>%</t>
    </r>
  </si>
  <si>
    <t>Анализ динамики  (равномерный интервальный)</t>
  </si>
  <si>
    <t>Среднее</t>
  </si>
  <si>
    <t>Среднее абсолютное изменение</t>
  </si>
  <si>
    <t>(ежегодно с среднем растет на)</t>
  </si>
  <si>
    <t>Среднее относительное изменение</t>
  </si>
  <si>
    <t>(ежегодно в среднем растет в … раза или на 21%)</t>
  </si>
  <si>
    <t>Гражданская авиация РФ</t>
  </si>
  <si>
    <t>Млрд. пассажиро-километров</t>
  </si>
  <si>
    <t>Млн. пассажиров</t>
  </si>
  <si>
    <t>число катастроф</t>
  </si>
  <si>
    <t>число погибших</t>
  </si>
  <si>
    <t>Месяц</t>
  </si>
  <si>
    <t>Продажи</t>
  </si>
  <si>
    <t>Дефицитный хвост</t>
  </si>
  <si>
    <t>Эффект неравномерного периода</t>
  </si>
  <si>
    <t>"Орфан"-эффект</t>
  </si>
  <si>
    <t>Остатки на начало периода</t>
  </si>
  <si>
    <t>Влияние рекламы</t>
  </si>
  <si>
    <t>Эффект разовой поставки</t>
  </si>
  <si>
    <t>Эффект "хлыста"</t>
  </si>
  <si>
    <t>Быстрый нелинейный рост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</si>
  <si>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</si>
  <si>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</si>
  <si>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</si>
  <si>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</si>
  <si>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</si>
  <si>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</si>
  <si>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</si>
  <si>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</si>
  <si>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</si>
  <si>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</si>
  <si>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</si>
  <si>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</si>
  <si>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BBK EK1723G метал чайник</t>
  </si>
  <si>
    <t>Galaxy GL 0202 чайник</t>
  </si>
  <si>
    <t>Haier HEK-182 чайник</t>
  </si>
  <si>
    <t>Electrolux ESF 2400OS п/м маш</t>
  </si>
  <si>
    <t>Beko DFS 25W11 W п/м маш</t>
  </si>
  <si>
    <t>Candy CDP 2D1149W-07 п/м маш</t>
  </si>
  <si>
    <t>Соль для п/м машин 1 кг (кг)</t>
  </si>
  <si>
    <t>Соль для п/м машин 3 кг (кг)</t>
  </si>
  <si>
    <t>Соль для п/м машин 10 кг (кг)</t>
  </si>
  <si>
    <t>Моющее ср-во 5л (л)</t>
  </si>
  <si>
    <t>Моющее ср-во 3л (л)</t>
  </si>
  <si>
    <t>Соль для п/м машин 2 кг (кг)</t>
  </si>
  <si>
    <t>Моющее ср-во 2л (л)</t>
  </si>
  <si>
    <t>Моющее ср-во 1л (л)</t>
  </si>
  <si>
    <t>Соль общий (кг)</t>
  </si>
  <si>
    <t>Моющее ср-во общий (л)</t>
  </si>
  <si>
    <t>ср.кв.от.</t>
  </si>
  <si>
    <t>средн.</t>
  </si>
  <si>
    <t>Скользящая средняя</t>
  </si>
  <si>
    <t>=</t>
  </si>
  <si>
    <t>t</t>
  </si>
  <si>
    <t>t^2</t>
  </si>
  <si>
    <t>y*t</t>
  </si>
  <si>
    <t>a0</t>
  </si>
  <si>
    <t>a1</t>
  </si>
  <si>
    <t>Критерий Фишера</t>
  </si>
  <si>
    <t>сумма</t>
  </si>
  <si>
    <t>среднее</t>
  </si>
  <si>
    <t>Сумма</t>
  </si>
  <si>
    <t>=(12-2)*O24/((2-1)*O23)</t>
  </si>
  <si>
    <t>Расчет ошибки аппроксимации</t>
  </si>
  <si>
    <t>=КОРЕНЬ(O23/(12-2))</t>
  </si>
  <si>
    <t>t-критерий Стьюдента</t>
  </si>
  <si>
    <t>Прогноз на январь (от до)</t>
  </si>
  <si>
    <t>Продажа мороженого, тонн</t>
  </si>
  <si>
    <t>продажа мороженого в месяц</t>
  </si>
  <si>
    <t>Средняя за 3 года</t>
  </si>
  <si>
    <t>Индексы сезонности, %</t>
  </si>
  <si>
    <t>Итого</t>
  </si>
  <si>
    <t>В среднем</t>
  </si>
  <si>
    <t>Реализация</t>
  </si>
  <si>
    <t>Кварталы</t>
  </si>
  <si>
    <t>I</t>
  </si>
  <si>
    <t>II</t>
  </si>
  <si>
    <t>III</t>
  </si>
  <si>
    <t>IV</t>
  </si>
  <si>
    <t>Годы</t>
  </si>
  <si>
    <t>Ks</t>
  </si>
  <si>
    <t>S</t>
  </si>
  <si>
    <t>план на 
4 год</t>
  </si>
  <si>
    <t>предположим, что хотим продать 390</t>
  </si>
  <si>
    <t>Укрупнение по 2 периодам</t>
  </si>
  <si>
    <t>анализ данных - скользящая средняя</t>
  </si>
  <si>
    <t>1) вывести график</t>
  </si>
  <si>
    <t>2) построить линейную линию тренда на графике</t>
  </si>
  <si>
    <t>3) вывести уравнение, определить коэффициенты a0 и a1</t>
  </si>
  <si>
    <t xml:space="preserve">4) определить теоретические значения </t>
  </si>
  <si>
    <t>5) определить</t>
  </si>
  <si>
    <t>7) рассчитать ошибку аппроксимации</t>
  </si>
  <si>
    <t>к- количество членов уравнения тренда=2</t>
  </si>
  <si>
    <t xml:space="preserve">6) рассчитать критерий Фишера, сравнить с табличным 𝝂𝟏=𝟐−𝟏,  𝝂𝟐=𝟏𝟐−𝟐 𝑭𝒑=𝟏𝟐,𝟏𝟏𝟔&gt;𝑭𝑻=𝟒,𝟗𝟔 </t>
  </si>
  <si>
    <t>ν=n-1</t>
  </si>
  <si>
    <t>=$C$26+$C$27*13-$C$36*$G$33</t>
  </si>
  <si>
    <t>=$C$26+$C$27*13+$C$36*$G$33</t>
  </si>
  <si>
    <t>9) построить прогноз на январь: уравнение тренда для точки=13</t>
  </si>
  <si>
    <t>8) определить табличное значение t-критеhия при v=n-1=11 (t=2,301)</t>
  </si>
  <si>
    <t>=СТЬЮДЕНТ.ОБР.2Х(0,05;11)</t>
  </si>
  <si>
    <r>
      <rPr>
        <sz val="20"/>
        <color theme="4" tint="-0.249977111117893"/>
        <rFont val="Calibri"/>
        <family val="2"/>
        <charset val="204"/>
        <scheme val="minor"/>
      </rPr>
      <t>F</t>
    </r>
    <r>
      <rPr>
        <sz val="11"/>
        <color theme="4" tint="-0.249977111117893"/>
        <rFont val="Calibri"/>
        <family val="2"/>
        <charset val="204"/>
        <scheme val="minor"/>
      </rPr>
      <t>таб</t>
    </r>
  </si>
  <si>
    <t>=F.ОБР(0,95;1;10)</t>
  </si>
  <si>
    <t>используем среднее за аномальный период</t>
  </si>
  <si>
    <t>расчет по пропорции</t>
  </si>
  <si>
    <t>среднее соседних периодов</t>
  </si>
  <si>
    <t>1) суммируем все п/м машины по месяцам</t>
  </si>
  <si>
    <t>2) считаем доли каждой модели в общем количестве по месяцам, пропуская аномальные периоды</t>
  </si>
  <si>
    <t>3) оцениваем среднеквадратичные отклонения. Их малость дает возможность применить метод</t>
  </si>
  <si>
    <t>4) вычисляем средние по году значения</t>
  </si>
  <si>
    <t>5) применяем пропорцию средних значений к аномальному периоду</t>
  </si>
  <si>
    <t>п/м маш суммарно</t>
  </si>
  <si>
    <t>Нормируем на среднее</t>
  </si>
  <si>
    <t>Пересчет рядов динамики к единому основанию, %, (2018 г. =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</si>
</sst>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000"/>
    <numFmt numFmtId="167" formatCode="0.0000"/>
    <numFmt numFmtId="168" formatCode="0.0%"/>
  </numFmts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4"/>
      <color theme="4" tint="-0.249977111117893"/>
      <name val="Calibri"/>
      <family val="2"/>
      <charset val="204"/>
      <scheme val="minor"/>
    </font>
    <font>
      <b/>
      <sz val="14"/>
      <color theme="4" tint="-0.249977111117893"/>
      <name val="Calibri"/>
      <family val="2"/>
      <charset val="204"/>
      <scheme val="minor"/>
    </font>
    <font>
      <b/>
      <sz val="16"/>
      <color theme="4" tint="-0.24997711111789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b/>
      <sz val="18"/>
      <color rgb="FFFFFFFF"/>
      <name val="Myriad Pro"/>
    </font>
    <font>
      <b/>
      <sz val="18"/>
      <color rgb="FF173B5B"/>
      <name val="Myriad Pro"/>
    </font>
    <font>
      <b/>
      <sz val="18"/>
      <color theme="4" tint="-0.249977111117893"/>
      <name val="Calibri"/>
      <family val="2"/>
      <charset val="204"/>
      <scheme val="minor"/>
    </font>
    <font>
      <b/>
      <sz val="14"/>
      <color rgb="FFFFFFFF"/>
      <name val="Myriad Pro"/>
    </font>
    <font>
      <b/>
      <sz val="12"/>
      <color theme="4" tint="-0.249977111117893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8"/>
      <color rgb="FF2E75B6"/>
      <name val="Myriad Pro"/>
    </font>
    <font>
      <sz val="11"/>
      <color theme="4" tint="-0.249977111117893"/>
      <name val="Calibri"/>
      <family val="2"/>
      <charset val="204"/>
      <scheme val="minor"/>
    </font>
    <font>
      <sz val="20"/>
      <color theme="4" tint="-0.249977111117893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DD6E5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0" fontId="7" fillId="0" borderId="0" xfId="0" applyFont="1"/>
    <xf numFmtId="0" fontId="7" fillId="0" borderId="1" xfId="0" applyFont="1" applyBorder="1"/>
    <xf numFmtId="9" fontId="7" fillId="2" borderId="1" xfId="1" applyFont="1" applyFill="1" applyBorder="1"/>
    <xf numFmtId="0" fontId="8" fillId="3" borderId="3" xfId="0" applyFont="1" applyFill="1" applyBorder="1" applyAlignment="1">
      <alignment horizontal="center" vertical="center" wrapText="1" readingOrder="1"/>
    </xf>
    <xf numFmtId="0" fontId="9" fillId="4" borderId="4" xfId="0" applyFont="1" applyFill="1" applyBorder="1" applyAlignment="1">
      <alignment horizontal="center" vertical="center" wrapText="1" readingOrder="1"/>
    </xf>
    <xf numFmtId="0" fontId="10" fillId="0" borderId="0" xfId="0" applyFont="1"/>
    <xf numFmtId="0" fontId="11" fillId="3" borderId="3" xfId="0" applyFont="1" applyFill="1" applyBorder="1" applyAlignment="1">
      <alignment horizontal="center" vertical="center" wrapText="1" readingOrder="1"/>
    </xf>
    <xf numFmtId="0" fontId="12" fillId="0" borderId="0" xfId="0" applyFont="1"/>
    <xf numFmtId="0" fontId="13" fillId="5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4" fillId="0" borderId="0" xfId="0" applyFont="1"/>
    <xf numFmtId="0" fontId="14" fillId="0" borderId="1" xfId="0" applyFont="1" applyBorder="1"/>
    <xf numFmtId="0" fontId="14" fillId="0" borderId="5" xfId="0" applyFont="1" applyBorder="1"/>
    <xf numFmtId="165" fontId="14" fillId="0" borderId="0" xfId="0" applyNumberFormat="1" applyFont="1"/>
    <xf numFmtId="0" fontId="14" fillId="0" borderId="1" xfId="0" applyFont="1" applyBorder="1" applyAlignment="1">
      <alignment wrapText="1"/>
    </xf>
    <xf numFmtId="1" fontId="14" fillId="0" borderId="1" xfId="0" applyNumberFormat="1" applyFont="1" applyBorder="1"/>
    <xf numFmtId="166" fontId="14" fillId="0" borderId="1" xfId="0" applyNumberFormat="1" applyFont="1" applyBorder="1"/>
    <xf numFmtId="0" fontId="15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6" fillId="0" borderId="0" xfId="0" quotePrefix="1" applyFont="1" applyAlignment="1">
      <alignment horizontal="center"/>
    </xf>
    <xf numFmtId="0" fontId="7" fillId="0" borderId="0" xfId="0" quotePrefix="1" applyFont="1"/>
    <xf numFmtId="0" fontId="7" fillId="0" borderId="0" xfId="0" quotePrefix="1" applyFont="1" applyAlignment="1">
      <alignment horizontal="left"/>
    </xf>
    <xf numFmtId="0" fontId="5" fillId="0" borderId="0" xfId="0" applyFont="1"/>
    <xf numFmtId="0" fontId="7" fillId="0" borderId="0" xfId="0" quotePrefix="1" applyFont="1" applyAlignment="1">
      <alignment horizontal="center"/>
    </xf>
    <xf numFmtId="0" fontId="16" fillId="0" borderId="0" xfId="0" applyFont="1"/>
    <xf numFmtId="0" fontId="12" fillId="0" borderId="2" xfId="0" applyFont="1" applyBorder="1"/>
    <xf numFmtId="167" fontId="7" fillId="0" borderId="1" xfId="0" applyNumberFormat="1" applyFont="1" applyBorder="1"/>
    <xf numFmtId="165" fontId="7" fillId="0" borderId="1" xfId="0" applyNumberFormat="1" applyFont="1" applyBorder="1"/>
    <xf numFmtId="168" fontId="7" fillId="0" borderId="1" xfId="1" applyNumberFormat="1" applyFont="1" applyBorder="1"/>
    <xf numFmtId="0" fontId="0" fillId="2" borderId="0" xfId="0" applyFill="1"/>
    <xf numFmtId="0" fontId="7" fillId="2" borderId="1" xfId="0" applyFont="1" applyFill="1" applyBorder="1"/>
    <xf numFmtId="0" fontId="0" fillId="0" borderId="0" xfId="0" applyAlignment="1">
      <alignment horizontal="left"/>
    </xf>
    <xf numFmtId="0" fontId="17" fillId="0" borderId="9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left" vertical="center"/>
    </xf>
    <xf numFmtId="0" fontId="7" fillId="2" borderId="5" xfId="0" applyFont="1" applyFill="1" applyBorder="1" applyAlignment="1">
      <alignment horizontal="center"/>
    </xf>
    <xf numFmtId="168" fontId="7" fillId="2" borderId="1" xfId="1" applyNumberFormat="1" applyFont="1" applyFill="1" applyBorder="1"/>
    <xf numFmtId="165" fontId="7" fillId="2" borderId="1" xfId="0" applyNumberFormat="1" applyFont="1" applyFill="1" applyBorder="1"/>
    <xf numFmtId="167" fontId="7" fillId="2" borderId="1" xfId="0" applyNumberFormat="1" applyFont="1" applyFill="1" applyBorder="1"/>
    <xf numFmtId="0" fontId="14" fillId="2" borderId="1" xfId="0" applyFont="1" applyFill="1" applyBorder="1"/>
    <xf numFmtId="166" fontId="14" fillId="2" borderId="1" xfId="0" applyNumberFormat="1" applyFont="1" applyFill="1" applyBorder="1"/>
    <xf numFmtId="0" fontId="19" fillId="0" borderId="0" xfId="0" applyFont="1"/>
    <xf numFmtId="0" fontId="3" fillId="0" borderId="0" xfId="0" quotePrefix="1" applyFont="1"/>
    <xf numFmtId="0" fontId="3" fillId="2" borderId="1" xfId="0" applyFont="1" applyFill="1" applyBorder="1"/>
    <xf numFmtId="2" fontId="3" fillId="2" borderId="1" xfId="0" applyNumberFormat="1" applyFont="1" applyFill="1" applyBorder="1"/>
    <xf numFmtId="9" fontId="3" fillId="2" borderId="1" xfId="1" applyFont="1" applyFill="1" applyBorder="1" applyAlignment="1">
      <alignment horizontal="center"/>
    </xf>
    <xf numFmtId="2" fontId="7" fillId="2" borderId="1" xfId="0" applyNumberFormat="1" applyFont="1" applyFill="1" applyBorder="1"/>
    <xf numFmtId="9" fontId="7" fillId="2" borderId="1" xfId="1" applyFont="1" applyFill="1" applyBorder="1" applyAlignment="1">
      <alignment horizontal="center"/>
    </xf>
    <xf numFmtId="0" fontId="0" fillId="2" borderId="1" xfId="0" applyFill="1" applyBorder="1"/>
    <xf numFmtId="164" fontId="3" fillId="2" borderId="1" xfId="0" applyNumberFormat="1" applyFont="1" applyFill="1" applyBorder="1"/>
    <xf numFmtId="2" fontId="3" fillId="2" borderId="0" xfId="0" applyNumberFormat="1" applyFont="1" applyFill="1"/>
    <xf numFmtId="0" fontId="7" fillId="2" borderId="1" xfId="0" quotePrefix="1" applyFont="1" applyFill="1" applyBorder="1"/>
    <xf numFmtId="0" fontId="7" fillId="2" borderId="1" xfId="0" quotePrefix="1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left"/>
    </xf>
    <xf numFmtId="0" fontId="21" fillId="0" borderId="0" xfId="0" applyFont="1"/>
    <xf numFmtId="1" fontId="7" fillId="2" borderId="1" xfId="0" applyNumberFormat="1" applyFont="1" applyFill="1" applyBorder="1"/>
    <xf numFmtId="1" fontId="7" fillId="0" borderId="1" xfId="0" applyNumberFormat="1" applyFont="1" applyBorder="1"/>
    <xf numFmtId="164" fontId="7" fillId="2" borderId="1" xfId="0" quotePrefix="1" applyNumberFormat="1" applyFont="1" applyFill="1" applyBorder="1" applyAlignment="1">
      <alignment horizontal="left"/>
    </xf>
    <xf numFmtId="0" fontId="15" fillId="2" borderId="1" xfId="0" applyFont="1" applyFill="1" applyBorder="1"/>
    <xf numFmtId="0" fontId="12" fillId="0" borderId="6" xfId="0" applyFont="1" applyBorder="1"/>
    <xf numFmtId="0" fontId="12" fillId="0" borderId="9" xfId="0" applyFont="1" applyBorder="1"/>
    <xf numFmtId="0" fontId="13" fillId="0" borderId="9" xfId="0" applyFont="1" applyBorder="1"/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7" fontId="7" fillId="0" borderId="2" xfId="0" applyNumberFormat="1" applyFont="1" applyBorder="1" applyAlignment="1">
      <alignment horizontal="center" wrapText="1"/>
    </xf>
    <xf numFmtId="167" fontId="7" fillId="0" borderId="8" xfId="0" applyNumberFormat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[1]Лист1!$G$3:$R$3</c:f>
              <c:numCache>
                <c:formatCode>General</c:formatCode>
                <c:ptCount val="12"/>
                <c:pt idx="0">
                  <c:v>90</c:v>
                </c:pt>
                <c:pt idx="1">
                  <c:v>70</c:v>
                </c:pt>
                <c:pt idx="2">
                  <c:v>80</c:v>
                </c:pt>
                <c:pt idx="3">
                  <c:v>60</c:v>
                </c:pt>
                <c:pt idx="4">
                  <c:v>70</c:v>
                </c:pt>
                <c:pt idx="5">
                  <c:v>50</c:v>
                </c:pt>
                <c:pt idx="6">
                  <c:v>70</c:v>
                </c:pt>
                <c:pt idx="7">
                  <c:v>60</c:v>
                </c:pt>
                <c:pt idx="8">
                  <c:v>80</c:v>
                </c:pt>
                <c:pt idx="9">
                  <c:v>70</c:v>
                </c:pt>
                <c:pt idx="1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E1-471D-B766-845522C18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7760511"/>
        <c:axId val="1950059247"/>
      </c:lineChart>
      <c:catAx>
        <c:axId val="206776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0059247"/>
        <c:crosses val="autoZero"/>
        <c:auto val="1"/>
        <c:lblAlgn val="ctr"/>
        <c:lblOffset val="100"/>
        <c:noMultiLvlLbl val="0"/>
      </c:catAx>
      <c:valAx>
        <c:axId val="1950059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776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48160542432196"/>
                  <c:y val="-0.11636154855643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'Ск средн, крит. Фишера р'!$C$3:$N$3</c:f>
              <c:numCache>
                <c:formatCode>General</c:formatCode>
                <c:ptCount val="12"/>
                <c:pt idx="0">
                  <c:v>960</c:v>
                </c:pt>
                <c:pt idx="1">
                  <c:v>1140</c:v>
                </c:pt>
                <c:pt idx="2">
                  <c:v>1260</c:v>
                </c:pt>
                <c:pt idx="3">
                  <c:v>1140</c:v>
                </c:pt>
                <c:pt idx="4">
                  <c:v>1800</c:v>
                </c:pt>
                <c:pt idx="5">
                  <c:v>1980</c:v>
                </c:pt>
                <c:pt idx="6">
                  <c:v>1260</c:v>
                </c:pt>
                <c:pt idx="7">
                  <c:v>1340</c:v>
                </c:pt>
                <c:pt idx="8">
                  <c:v>1240</c:v>
                </c:pt>
                <c:pt idx="9">
                  <c:v>1800</c:v>
                </c:pt>
                <c:pt idx="10">
                  <c:v>2200</c:v>
                </c:pt>
                <c:pt idx="11">
                  <c:v>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53-4054-BA76-54352B79B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277472"/>
        <c:axId val="814453200"/>
      </c:lineChart>
      <c:catAx>
        <c:axId val="953277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4453200"/>
        <c:crosses val="autoZero"/>
        <c:auto val="1"/>
        <c:lblAlgn val="ctr"/>
        <c:lblOffset val="100"/>
        <c:noMultiLvlLbl val="0"/>
      </c:catAx>
      <c:valAx>
        <c:axId val="814453200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327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[2]Лист1!$B$4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[2]Лист1!$C$4:$N$4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8D-4502-B9AB-0950356E0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686287"/>
        <c:axId val="1242921359"/>
      </c:lineChart>
      <c:catAx>
        <c:axId val="577686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2921359"/>
        <c:crosses val="autoZero"/>
        <c:auto val="1"/>
        <c:lblAlgn val="ctr"/>
        <c:lblOffset val="100"/>
        <c:noMultiLvlLbl val="0"/>
      </c:catAx>
      <c:valAx>
        <c:axId val="12429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768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[2]Лист1!$B$24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[2]Лист1!$C$24:$N$24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160</c:v>
                </c:pt>
                <c:pt idx="5">
                  <c:v>80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A1-40E3-A8D8-BF61F764C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681503"/>
        <c:axId val="1245298463"/>
      </c:lineChart>
      <c:catAx>
        <c:axId val="127968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5298463"/>
        <c:crosses val="autoZero"/>
        <c:auto val="1"/>
        <c:lblAlgn val="ctr"/>
        <c:lblOffset val="100"/>
        <c:noMultiLvlLbl val="0"/>
      </c:catAx>
      <c:valAx>
        <c:axId val="124529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968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[2]Лист1!$B$45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[2]Лист1!$C$45:$N$45</c:f>
              <c:numCache>
                <c:formatCode>General</c:formatCode>
                <c:ptCount val="12"/>
                <c:pt idx="0">
                  <c:v>124</c:v>
                </c:pt>
                <c:pt idx="1">
                  <c:v>112</c:v>
                </c:pt>
                <c:pt idx="2">
                  <c:v>124</c:v>
                </c:pt>
                <c:pt idx="3">
                  <c:v>120</c:v>
                </c:pt>
                <c:pt idx="4">
                  <c:v>124</c:v>
                </c:pt>
                <c:pt idx="5">
                  <c:v>120</c:v>
                </c:pt>
                <c:pt idx="6">
                  <c:v>124</c:v>
                </c:pt>
                <c:pt idx="7">
                  <c:v>124</c:v>
                </c:pt>
                <c:pt idx="8">
                  <c:v>120</c:v>
                </c:pt>
                <c:pt idx="9">
                  <c:v>124</c:v>
                </c:pt>
                <c:pt idx="10">
                  <c:v>120</c:v>
                </c:pt>
                <c:pt idx="11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A-4CD9-B727-0E7B4B447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906447"/>
        <c:axId val="1149478303"/>
      </c:lineChart>
      <c:catAx>
        <c:axId val="1347906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9478303"/>
        <c:crosses val="autoZero"/>
        <c:auto val="1"/>
        <c:lblAlgn val="ctr"/>
        <c:lblOffset val="100"/>
        <c:noMultiLvlLbl val="0"/>
      </c:catAx>
      <c:valAx>
        <c:axId val="11494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790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0070C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"Орфан"-эффект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[2]Лист1!$B$68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[2]Лист1!$C$68:$N$68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9-4566-9D70-55CF53E595B8}"/>
            </c:ext>
          </c:extLst>
        </c:ser>
        <c:ser>
          <c:idx val="2"/>
          <c:order val="1"/>
          <c:tx>
            <c:strRef>
              <c:f>[2]Лист1!$B$69</c:f>
              <c:strCache>
                <c:ptCount val="1"/>
                <c:pt idx="0">
                  <c:v>Остатки на начало периода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[2]Лист1!$C$69:$N$69</c:f>
              <c:numCache>
                <c:formatCode>General</c:formatCode>
                <c:ptCount val="12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9-4566-9D70-55CF53E59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651967"/>
        <c:axId val="1152801647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[2]Лист1!$C$69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5F9-4566-9D70-55CF53E595B8}"/>
                  </c:ext>
                </c:extLst>
              </c15:ser>
            </c15:filteredLineSeries>
          </c:ext>
        </c:extLst>
      </c:lineChart>
      <c:catAx>
        <c:axId val="1352651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2801647"/>
        <c:crosses val="autoZero"/>
        <c:auto val="1"/>
        <c:lblAlgn val="ctr"/>
        <c:lblOffset val="100"/>
        <c:noMultiLvlLbl val="0"/>
      </c:catAx>
      <c:valAx>
        <c:axId val="11528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26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0070C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Влияние рекламы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[2]Лист1!$B$91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[2]Лист1!$C$91:$N$91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7-4880-ABAC-D3DDF81229E5}"/>
            </c:ext>
          </c:extLst>
        </c:ser>
        <c:ser>
          <c:idx val="2"/>
          <c:order val="1"/>
          <c:tx>
            <c:strRef>
              <c:f>[2]Лист1!$B$92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[2]Лист1!$C$92:$N$92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120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37-4880-ABAC-D3DDF81229E5}"/>
            </c:ext>
          </c:extLst>
        </c:ser>
        <c:ser>
          <c:idx val="3"/>
          <c:order val="2"/>
          <c:tx>
            <c:strRef>
              <c:f>[2]Лист1!$B$93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[2]Лист1!$C$93:$N$93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120</c:v>
                </c:pt>
                <c:pt idx="5">
                  <c:v>80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37-4880-ABAC-D3DDF8122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385855"/>
        <c:axId val="1061168383"/>
      </c:lineChart>
      <c:catAx>
        <c:axId val="1356385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1168383"/>
        <c:crosses val="autoZero"/>
        <c:auto val="1"/>
        <c:lblAlgn val="ctr"/>
        <c:lblOffset val="100"/>
        <c:noMultiLvlLbl val="0"/>
      </c:catAx>
      <c:valAx>
        <c:axId val="10611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38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0070C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[2]Лист1!$B$113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val>
            <c:numRef>
              <c:f>[2]Лист1!$C$113:$N$113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300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7-4373-929E-D1DB2FAE4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371471"/>
        <c:axId val="1272129903"/>
      </c:lineChart>
      <c:catAx>
        <c:axId val="1356371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129903"/>
        <c:crosses val="autoZero"/>
        <c:auto val="1"/>
        <c:lblAlgn val="ctr"/>
        <c:lblOffset val="100"/>
        <c:noMultiLvlLbl val="0"/>
      </c:catAx>
      <c:valAx>
        <c:axId val="127212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37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0070C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[2]Лист1!$B$136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[2]Лист1!$C$136:$N$136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150</c:v>
                </c:pt>
                <c:pt idx="4">
                  <c:v>50</c:v>
                </c:pt>
                <c:pt idx="5">
                  <c:v>120</c:v>
                </c:pt>
                <c:pt idx="6">
                  <c:v>80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B-4432-8971-72E7C592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685039"/>
        <c:axId val="1145994335"/>
      </c:lineChart>
      <c:catAx>
        <c:axId val="1356685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5994335"/>
        <c:crosses val="autoZero"/>
        <c:auto val="1"/>
        <c:lblAlgn val="ctr"/>
        <c:lblOffset val="100"/>
        <c:noMultiLvlLbl val="0"/>
      </c:catAx>
      <c:valAx>
        <c:axId val="11459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68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0070C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[2]Лист1!$B$158</c:f>
              <c:strCache>
                <c:ptCount val="1"/>
                <c:pt idx="0">
                  <c:v>Месяц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[2]Лист1!$C$158:$N$158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C-427B-8B94-86D8B7768115}"/>
            </c:ext>
          </c:extLst>
        </c:ser>
        <c:ser>
          <c:idx val="1"/>
          <c:order val="1"/>
          <c:tx>
            <c:strRef>
              <c:f>[2]Лист1!$B$159</c:f>
              <c:strCache>
                <c:ptCount val="1"/>
                <c:pt idx="0">
                  <c:v>Продажи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[2]Лист1!$C$159:$N$159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600</c:v>
                </c:pt>
                <c:pt idx="5">
                  <c:v>1300</c:v>
                </c:pt>
                <c:pt idx="6">
                  <c:v>2500</c:v>
                </c:pt>
                <c:pt idx="7">
                  <c:v>4000</c:v>
                </c:pt>
                <c:pt idx="8">
                  <c:v>7000</c:v>
                </c:pt>
                <c:pt idx="9">
                  <c:v>15000</c:v>
                </c:pt>
                <c:pt idx="10">
                  <c:v>25000</c:v>
                </c:pt>
                <c:pt idx="1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C-427B-8B94-86D8B7768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977903"/>
        <c:axId val="1247202703"/>
      </c:lineChart>
      <c:catAx>
        <c:axId val="1251977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7202703"/>
        <c:crosses val="autoZero"/>
        <c:auto val="1"/>
        <c:lblAlgn val="ctr"/>
        <c:lblOffset val="100"/>
        <c:noMultiLvlLbl val="0"/>
      </c:catAx>
      <c:valAx>
        <c:axId val="12472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19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rgbClr val="0070C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'Нормализация данных 1 р'!$B$17</c:f>
              <c:strCache>
                <c:ptCount val="1"/>
                <c:pt idx="0">
                  <c:v>BBK EK1723G метал чайник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р'!$C$17:$N$17</c:f>
              <c:numCache>
                <c:formatCode>General</c:formatCode>
                <c:ptCount val="12"/>
                <c:pt idx="0">
                  <c:v>0.61538461538461542</c:v>
                </c:pt>
                <c:pt idx="1">
                  <c:v>0.73076923076923073</c:v>
                </c:pt>
                <c:pt idx="2">
                  <c:v>0.80769230769230771</c:v>
                </c:pt>
                <c:pt idx="3">
                  <c:v>0.73076923076923073</c:v>
                </c:pt>
                <c:pt idx="4">
                  <c:v>1.1538461538461537</c:v>
                </c:pt>
                <c:pt idx="5">
                  <c:v>1.2692307692307692</c:v>
                </c:pt>
                <c:pt idx="6">
                  <c:v>0.80769230769230771</c:v>
                </c:pt>
                <c:pt idx="7">
                  <c:v>0.85897435897435892</c:v>
                </c:pt>
                <c:pt idx="8">
                  <c:v>0.79487179487179482</c:v>
                </c:pt>
                <c:pt idx="9">
                  <c:v>1.1538461538461537</c:v>
                </c:pt>
                <c:pt idx="10">
                  <c:v>1.4102564102564104</c:v>
                </c:pt>
                <c:pt idx="11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C-4CBD-9D93-6DFD110FAB33}"/>
            </c:ext>
          </c:extLst>
        </c:ser>
        <c:ser>
          <c:idx val="1"/>
          <c:order val="1"/>
          <c:tx>
            <c:strRef>
              <c:f>'Нормализация данных 1 р'!$B$18</c:f>
              <c:strCache>
                <c:ptCount val="1"/>
                <c:pt idx="0">
                  <c:v>Galaxy GL 0202 чайник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р'!$C$18:$N$18</c:f>
              <c:numCache>
                <c:formatCode>General</c:formatCode>
                <c:ptCount val="12"/>
                <c:pt idx="0">
                  <c:v>0.61538461538461542</c:v>
                </c:pt>
                <c:pt idx="1">
                  <c:v>0.73076923076923073</c:v>
                </c:pt>
                <c:pt idx="2">
                  <c:v>0.80769230769230771</c:v>
                </c:pt>
                <c:pt idx="3">
                  <c:v>0.73076923076923073</c:v>
                </c:pt>
                <c:pt idx="4">
                  <c:v>1.1538461538461537</c:v>
                </c:pt>
                <c:pt idx="5">
                  <c:v>1.2692307692307692</c:v>
                </c:pt>
                <c:pt idx="6">
                  <c:v>0.80769230769230771</c:v>
                </c:pt>
                <c:pt idx="7">
                  <c:v>0.85897435897435892</c:v>
                </c:pt>
                <c:pt idx="8">
                  <c:v>0.79487179487179482</c:v>
                </c:pt>
                <c:pt idx="9">
                  <c:v>1.1538461538461537</c:v>
                </c:pt>
                <c:pt idx="10">
                  <c:v>1.4102564102564104</c:v>
                </c:pt>
                <c:pt idx="11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5C-4CBD-9D93-6DFD110FAB33}"/>
            </c:ext>
          </c:extLst>
        </c:ser>
        <c:ser>
          <c:idx val="2"/>
          <c:order val="2"/>
          <c:tx>
            <c:strRef>
              <c:f>'Нормализация данных 1 р'!$B$19</c:f>
              <c:strCache>
                <c:ptCount val="1"/>
                <c:pt idx="0">
                  <c:v>Haier HEK-182 чайник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р'!$C$19:$N$19</c:f>
              <c:numCache>
                <c:formatCode>General</c:formatCode>
                <c:ptCount val="12"/>
                <c:pt idx="0">
                  <c:v>0.61538461538461542</c:v>
                </c:pt>
                <c:pt idx="1">
                  <c:v>0.73076923076923073</c:v>
                </c:pt>
                <c:pt idx="2">
                  <c:v>0.80769230769230771</c:v>
                </c:pt>
                <c:pt idx="3">
                  <c:v>0.73076923076923073</c:v>
                </c:pt>
                <c:pt idx="4">
                  <c:v>1.1538461538461537</c:v>
                </c:pt>
                <c:pt idx="5">
                  <c:v>1.2692307692307692</c:v>
                </c:pt>
                <c:pt idx="6">
                  <c:v>0.80769230769230771</c:v>
                </c:pt>
                <c:pt idx="7">
                  <c:v>0.85897435897435892</c:v>
                </c:pt>
                <c:pt idx="8">
                  <c:v>0.79487179487179482</c:v>
                </c:pt>
                <c:pt idx="9">
                  <c:v>1.1538461538461537</c:v>
                </c:pt>
                <c:pt idx="10">
                  <c:v>1.4102564102564104</c:v>
                </c:pt>
                <c:pt idx="11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5C-4CBD-9D93-6DFD110FAB33}"/>
            </c:ext>
          </c:extLst>
        </c:ser>
        <c:ser>
          <c:idx val="3"/>
          <c:order val="3"/>
          <c:tx>
            <c:strRef>
              <c:f>'Нормализация данных 1 р'!$B$20</c:f>
              <c:strCache>
                <c:ptCount val="1"/>
                <c:pt idx="0">
                  <c:v>Electrolux ESF 2400OS п/м маш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р'!$C$20:$N$20</c:f>
              <c:numCache>
                <c:formatCode>General</c:formatCode>
                <c:ptCount val="12"/>
                <c:pt idx="0">
                  <c:v>0.61976847729296525</c:v>
                </c:pt>
                <c:pt idx="1">
                  <c:v>0.72662511130899377</c:v>
                </c:pt>
                <c:pt idx="2">
                  <c:v>0.81211041852181665</c:v>
                </c:pt>
                <c:pt idx="3">
                  <c:v>0.72662511130899377</c:v>
                </c:pt>
                <c:pt idx="4">
                  <c:v>1.1540516473731077</c:v>
                </c:pt>
                <c:pt idx="5">
                  <c:v>1.2715939447907392</c:v>
                </c:pt>
                <c:pt idx="6">
                  <c:v>0.81211041852181665</c:v>
                </c:pt>
                <c:pt idx="7">
                  <c:v>0.85485307212822803</c:v>
                </c:pt>
                <c:pt idx="8">
                  <c:v>0.7907390917186109</c:v>
                </c:pt>
                <c:pt idx="9">
                  <c:v>1.1540516473731077</c:v>
                </c:pt>
                <c:pt idx="10">
                  <c:v>1.4105075690115763</c:v>
                </c:pt>
                <c:pt idx="11">
                  <c:v>1.6669634906500446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5C-4CBD-9D93-6DFD110FAB33}"/>
            </c:ext>
          </c:extLst>
        </c:ser>
        <c:ser>
          <c:idx val="4"/>
          <c:order val="4"/>
          <c:tx>
            <c:strRef>
              <c:f>'Нормализация данных 1 р'!$B$21</c:f>
              <c:strCache>
                <c:ptCount val="1"/>
                <c:pt idx="0">
                  <c:v>Beko DFS 25W11 W п/м маш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р'!$C$21:$N$21</c:f>
              <c:numCache>
                <c:formatCode>General</c:formatCode>
                <c:ptCount val="12"/>
                <c:pt idx="0">
                  <c:v>0.61450924608819346</c:v>
                </c:pt>
                <c:pt idx="1">
                  <c:v>0.73399715504978658</c:v>
                </c:pt>
                <c:pt idx="2">
                  <c:v>0.81081081081081074</c:v>
                </c:pt>
                <c:pt idx="3">
                  <c:v>0.73399715504978658</c:v>
                </c:pt>
                <c:pt idx="4">
                  <c:v>1.1522048364153628</c:v>
                </c:pt>
                <c:pt idx="5">
                  <c:v>1.2716927453769558</c:v>
                </c:pt>
                <c:pt idx="6">
                  <c:v>0.80227596017069702</c:v>
                </c:pt>
                <c:pt idx="7">
                  <c:v>0.86201991465149352</c:v>
                </c:pt>
                <c:pt idx="8">
                  <c:v>0.79374110953058319</c:v>
                </c:pt>
                <c:pt idx="9">
                  <c:v>1.1522048364153628</c:v>
                </c:pt>
                <c:pt idx="10">
                  <c:v>1.4082503556187767</c:v>
                </c:pt>
                <c:pt idx="11">
                  <c:v>1.6642958748221905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5C-4CBD-9D93-6DFD110FAB33}"/>
            </c:ext>
          </c:extLst>
        </c:ser>
        <c:ser>
          <c:idx val="5"/>
          <c:order val="5"/>
          <c:tx>
            <c:strRef>
              <c:f>'Нормализация данных 1 р'!$B$22</c:f>
              <c:strCache>
                <c:ptCount val="1"/>
                <c:pt idx="0">
                  <c:v>Candy CDP 2D1149W-07 п/м маш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р'!$C$22:$N$22</c:f>
              <c:numCache>
                <c:formatCode>General</c:formatCode>
                <c:ptCount val="12"/>
                <c:pt idx="0">
                  <c:v>0.61538461538461542</c:v>
                </c:pt>
                <c:pt idx="1">
                  <c:v>0.73076923076923073</c:v>
                </c:pt>
                <c:pt idx="2">
                  <c:v>0.80769230769230771</c:v>
                </c:pt>
                <c:pt idx="3">
                  <c:v>0.73076923076923073</c:v>
                </c:pt>
                <c:pt idx="4">
                  <c:v>1.1538461538461537</c:v>
                </c:pt>
                <c:pt idx="5">
                  <c:v>1.2692307692307692</c:v>
                </c:pt>
                <c:pt idx="6">
                  <c:v>0.80769230769230771</c:v>
                </c:pt>
                <c:pt idx="7">
                  <c:v>0.85897435897435892</c:v>
                </c:pt>
                <c:pt idx="8">
                  <c:v>0.79487179487179482</c:v>
                </c:pt>
                <c:pt idx="9">
                  <c:v>1.1538461538461537</c:v>
                </c:pt>
                <c:pt idx="10">
                  <c:v>1.4102564102564104</c:v>
                </c:pt>
                <c:pt idx="11">
                  <c:v>1.6666666666666667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5C-4CBD-9D93-6DFD110FAB33}"/>
            </c:ext>
          </c:extLst>
        </c:ser>
        <c:ser>
          <c:idx val="6"/>
          <c:order val="6"/>
          <c:tx>
            <c:strRef>
              <c:f>'Нормализация данных 1 р'!$B$23</c:f>
              <c:strCache>
                <c:ptCount val="1"/>
                <c:pt idx="0">
                  <c:v>Соль общий (кг)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р'!$C$23:$N$23</c:f>
              <c:numCache>
                <c:formatCode>General</c:formatCode>
                <c:ptCount val="12"/>
                <c:pt idx="0">
                  <c:v>0.61522442190347182</c:v>
                </c:pt>
                <c:pt idx="1">
                  <c:v>0.7301686749114269</c:v>
                </c:pt>
                <c:pt idx="2">
                  <c:v>0.80725703621017519</c:v>
                </c:pt>
                <c:pt idx="3">
                  <c:v>0.7301686749114269</c:v>
                </c:pt>
                <c:pt idx="4">
                  <c:v>1.1607728249407674</c:v>
                </c:pt>
                <c:pt idx="5">
                  <c:v>1.2683047355161505</c:v>
                </c:pt>
                <c:pt idx="6">
                  <c:v>0.80715114560399559</c:v>
                </c:pt>
                <c:pt idx="7">
                  <c:v>0.85834925369183179</c:v>
                </c:pt>
                <c:pt idx="8">
                  <c:v>0.79460310877171303</c:v>
                </c:pt>
                <c:pt idx="9">
                  <c:v>1.1533604825081953</c:v>
                </c:pt>
                <c:pt idx="10">
                  <c:v>1.4091392417350175</c:v>
                </c:pt>
                <c:pt idx="11">
                  <c:v>1.6655003992958273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5C-4CBD-9D93-6DFD110FAB33}"/>
            </c:ext>
          </c:extLst>
        </c:ser>
        <c:ser>
          <c:idx val="7"/>
          <c:order val="7"/>
          <c:tx>
            <c:strRef>
              <c:f>'Нормализация данных 1 р'!$B$24</c:f>
              <c:strCache>
                <c:ptCount val="1"/>
                <c:pt idx="0">
                  <c:v>Моющее ср-во общий (л)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'Нормализация данных 1 р'!$C$24:$N$24</c:f>
              <c:numCache>
                <c:formatCode>General</c:formatCode>
                <c:ptCount val="12"/>
                <c:pt idx="0">
                  <c:v>0.58417849898580121</c:v>
                </c:pt>
                <c:pt idx="1">
                  <c:v>0.69371196754563902</c:v>
                </c:pt>
                <c:pt idx="2">
                  <c:v>0.76673427991886411</c:v>
                </c:pt>
                <c:pt idx="3">
                  <c:v>0.69371196754563902</c:v>
                </c:pt>
                <c:pt idx="4">
                  <c:v>1.0953346855983774</c:v>
                </c:pt>
                <c:pt idx="5">
                  <c:v>1.2048681541582151</c:v>
                </c:pt>
                <c:pt idx="6">
                  <c:v>0.76673427991886411</c:v>
                </c:pt>
                <c:pt idx="7">
                  <c:v>0.81541582150101422</c:v>
                </c:pt>
                <c:pt idx="8">
                  <c:v>0.75456389452332662</c:v>
                </c:pt>
                <c:pt idx="9">
                  <c:v>1.0953346855983774</c:v>
                </c:pt>
                <c:pt idx="10">
                  <c:v>1.3387423935091278</c:v>
                </c:pt>
                <c:pt idx="11">
                  <c:v>2.1906693711967549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5C-4CBD-9D93-6DFD110FA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046832"/>
        <c:axId val="2044040592"/>
      </c:lineChart>
      <c:catAx>
        <c:axId val="2044046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4040592"/>
        <c:crosses val="autoZero"/>
        <c:auto val="1"/>
        <c:lblAlgn val="ctr"/>
        <c:lblOffset val="100"/>
        <c:noMultiLvlLbl val="0"/>
      </c:catAx>
      <c:valAx>
        <c:axId val="20440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404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15.emf"/><Relationship Id="rId7" Type="http://schemas.openxmlformats.org/officeDocument/2006/relationships/image" Target="../media/image18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7.emf"/><Relationship Id="rId5" Type="http://schemas.openxmlformats.org/officeDocument/2006/relationships/chart" Target="../charts/chart2.xml"/><Relationship Id="rId4" Type="http://schemas.openxmlformats.org/officeDocument/2006/relationships/image" Target="../media/image16.emf"/><Relationship Id="rId9" Type="http://schemas.openxmlformats.org/officeDocument/2006/relationships/image" Target="../media/image20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3</xdr:row>
      <xdr:rowOff>36540</xdr:rowOff>
    </xdr:from>
    <xdr:to>
      <xdr:col>3</xdr:col>
      <xdr:colOff>556260</xdr:colOff>
      <xdr:row>3</xdr:row>
      <xdr:rowOff>342899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787FEB2-CEA6-4AF6-9FD5-A2FC3971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455640"/>
          <a:ext cx="441960" cy="306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3</xdr:row>
      <xdr:rowOff>46714</xdr:rowOff>
    </xdr:from>
    <xdr:to>
      <xdr:col>4</xdr:col>
      <xdr:colOff>609600</xdr:colOff>
      <xdr:row>3</xdr:row>
      <xdr:rowOff>320040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85DCD11-DE5A-4070-A076-538C1875B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6060" y="465814"/>
          <a:ext cx="381000" cy="27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205740</xdr:colOff>
      <xdr:row>3</xdr:row>
      <xdr:rowOff>48073</xdr:rowOff>
    </xdr:from>
    <xdr:to>
      <xdr:col>5</xdr:col>
      <xdr:colOff>487680</xdr:colOff>
      <xdr:row>3</xdr:row>
      <xdr:rowOff>350518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57D3278-4548-4D79-9DBC-DF8707087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640" y="467173"/>
          <a:ext cx="281940" cy="30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175261</xdr:colOff>
      <xdr:row>3</xdr:row>
      <xdr:rowOff>17176</xdr:rowOff>
    </xdr:from>
    <xdr:to>
      <xdr:col>6</xdr:col>
      <xdr:colOff>480061</xdr:colOff>
      <xdr:row>3</xdr:row>
      <xdr:rowOff>358139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C5F05E8-6FBC-4639-A8AE-736DB8D8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821" y="436276"/>
          <a:ext cx="304800" cy="34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</xdr:colOff>
      <xdr:row>3</xdr:row>
      <xdr:rowOff>35600</xdr:rowOff>
    </xdr:from>
    <xdr:to>
      <xdr:col>7</xdr:col>
      <xdr:colOff>365760</xdr:colOff>
      <xdr:row>4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1423B51-5FA9-4071-A386-AC811150F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420" y="454700"/>
          <a:ext cx="358140" cy="33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60960</xdr:colOff>
      <xdr:row>3</xdr:row>
      <xdr:rowOff>7620</xdr:rowOff>
    </xdr:from>
    <xdr:to>
      <xdr:col>8</xdr:col>
      <xdr:colOff>435379</xdr:colOff>
      <xdr:row>4</xdr:row>
      <xdr:rowOff>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F102BDA-98BF-43BE-952C-63F9FC3BF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7360" y="426720"/>
          <a:ext cx="37441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</xdr:row>
      <xdr:rowOff>36540</xdr:rowOff>
    </xdr:from>
    <xdr:to>
      <xdr:col>3</xdr:col>
      <xdr:colOff>556260</xdr:colOff>
      <xdr:row>3</xdr:row>
      <xdr:rowOff>342899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0464BD-D640-404B-A467-CD1EA9346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39460"/>
          <a:ext cx="441960" cy="306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3</xdr:row>
      <xdr:rowOff>46714</xdr:rowOff>
    </xdr:from>
    <xdr:to>
      <xdr:col>4</xdr:col>
      <xdr:colOff>609600</xdr:colOff>
      <xdr:row>3</xdr:row>
      <xdr:rowOff>320040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6A78FBA-4402-48CB-B666-A1F2F01B2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6060" y="549634"/>
          <a:ext cx="381000" cy="27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205740</xdr:colOff>
      <xdr:row>3</xdr:row>
      <xdr:rowOff>48073</xdr:rowOff>
    </xdr:from>
    <xdr:to>
      <xdr:col>5</xdr:col>
      <xdr:colOff>487680</xdr:colOff>
      <xdr:row>3</xdr:row>
      <xdr:rowOff>350518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E9318586-9D3E-4702-AA40-7D30E9091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640" y="550993"/>
          <a:ext cx="281940" cy="30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175261</xdr:colOff>
      <xdr:row>3</xdr:row>
      <xdr:rowOff>17176</xdr:rowOff>
    </xdr:from>
    <xdr:to>
      <xdr:col>6</xdr:col>
      <xdr:colOff>480061</xdr:colOff>
      <xdr:row>3</xdr:row>
      <xdr:rowOff>358139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84AD246A-6678-4A4F-B272-E5646E7EE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821" y="520096"/>
          <a:ext cx="304800" cy="34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</xdr:colOff>
      <xdr:row>3</xdr:row>
      <xdr:rowOff>35600</xdr:rowOff>
    </xdr:from>
    <xdr:to>
      <xdr:col>7</xdr:col>
      <xdr:colOff>365760</xdr:colOff>
      <xdr:row>4</xdr:row>
      <xdr:rowOff>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4D89D88-28D3-4F53-9536-C4CB7B6E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420" y="538520"/>
          <a:ext cx="358140" cy="33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60960</xdr:colOff>
      <xdr:row>3</xdr:row>
      <xdr:rowOff>7620</xdr:rowOff>
    </xdr:from>
    <xdr:to>
      <xdr:col>8</xdr:col>
      <xdr:colOff>435379</xdr:colOff>
      <xdr:row>4</xdr:row>
      <xdr:rowOff>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3AE6F9A1-E787-406A-AEE7-3963AAF0C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510540"/>
          <a:ext cx="37441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129540</xdr:colOff>
      <xdr:row>18</xdr:row>
      <xdr:rowOff>122976</xdr:rowOff>
    </xdr:from>
    <xdr:to>
      <xdr:col>3</xdr:col>
      <xdr:colOff>525780</xdr:colOff>
      <xdr:row>20</xdr:row>
      <xdr:rowOff>152400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81B5FED5-D453-4D4E-8449-A3D8AA6D7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4146336"/>
          <a:ext cx="1729740" cy="39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18</xdr:row>
      <xdr:rowOff>124248</xdr:rowOff>
    </xdr:from>
    <xdr:to>
      <xdr:col>6</xdr:col>
      <xdr:colOff>487680</xdr:colOff>
      <xdr:row>20</xdr:row>
      <xdr:rowOff>182879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48E83EBF-BB7E-413F-9CBF-37F82C99D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6060" y="4147608"/>
          <a:ext cx="1935480" cy="424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678180</xdr:colOff>
      <xdr:row>18</xdr:row>
      <xdr:rowOff>53340</xdr:rowOff>
    </xdr:from>
    <xdr:to>
      <xdr:col>8</xdr:col>
      <xdr:colOff>379858</xdr:colOff>
      <xdr:row>21</xdr:row>
      <xdr:rowOff>137159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A5328213-4D4B-48FD-8DD8-236262CEC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2040" y="4076700"/>
          <a:ext cx="1195198" cy="632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21</xdr:row>
      <xdr:rowOff>175260</xdr:rowOff>
    </xdr:from>
    <xdr:to>
      <xdr:col>3</xdr:col>
      <xdr:colOff>259080</xdr:colOff>
      <xdr:row>24</xdr:row>
      <xdr:rowOff>121920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B1CCA3C2-339D-4AEF-88A4-864F81B2F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4747260"/>
          <a:ext cx="157734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556260</xdr:colOff>
      <xdr:row>21</xdr:row>
      <xdr:rowOff>182406</xdr:rowOff>
    </xdr:from>
    <xdr:to>
      <xdr:col>5</xdr:col>
      <xdr:colOff>701040</xdr:colOff>
      <xdr:row>24</xdr:row>
      <xdr:rowOff>129540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9BC20A14-3827-425B-9988-4653CCFFC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9360" y="4754406"/>
          <a:ext cx="1706880" cy="49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678180</xdr:colOff>
      <xdr:row>22</xdr:row>
      <xdr:rowOff>22860</xdr:rowOff>
    </xdr:from>
    <xdr:to>
      <xdr:col>8</xdr:col>
      <xdr:colOff>177900</xdr:colOff>
      <xdr:row>25</xdr:row>
      <xdr:rowOff>152400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4DCFE26D-618F-4DBE-8C41-162A11AB1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2040" y="4777740"/>
          <a:ext cx="9932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17</xdr:row>
      <xdr:rowOff>114300</xdr:rowOff>
    </xdr:from>
    <xdr:to>
      <xdr:col>8</xdr:col>
      <xdr:colOff>838200</xdr:colOff>
      <xdr:row>26</xdr:row>
      <xdr:rowOff>7620</xdr:rowOff>
    </xdr:to>
    <xdr:sp macro="" textlink="">
      <xdr:nvSpPr>
        <xdr:cNvPr id="21" name="Прямоугольник: скругленные углы 20">
          <a:extLst>
            <a:ext uri="{FF2B5EF4-FFF2-40B4-BE49-F238E27FC236}">
              <a16:creationId xmlns:a16="http://schemas.microsoft.com/office/drawing/2014/main" id="{56CA86D0-E288-4868-A487-1FF9493EC09F}"/>
            </a:ext>
          </a:extLst>
        </xdr:cNvPr>
        <xdr:cNvSpPr/>
      </xdr:nvSpPr>
      <xdr:spPr>
        <a:xfrm>
          <a:off x="670560" y="3954780"/>
          <a:ext cx="5875020" cy="153924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3</xdr:row>
      <xdr:rowOff>36540</xdr:rowOff>
    </xdr:from>
    <xdr:to>
      <xdr:col>3</xdr:col>
      <xdr:colOff>556260</xdr:colOff>
      <xdr:row>3</xdr:row>
      <xdr:rowOff>342899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44C2E6-FDC7-47FE-866D-311F40F9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539460"/>
          <a:ext cx="441960" cy="306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3</xdr:row>
      <xdr:rowOff>46714</xdr:rowOff>
    </xdr:from>
    <xdr:to>
      <xdr:col>4</xdr:col>
      <xdr:colOff>609600</xdr:colOff>
      <xdr:row>3</xdr:row>
      <xdr:rowOff>320040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D91347D-0BA9-4126-86D6-F4F5E85B6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6060" y="549634"/>
          <a:ext cx="381000" cy="27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205740</xdr:colOff>
      <xdr:row>3</xdr:row>
      <xdr:rowOff>48073</xdr:rowOff>
    </xdr:from>
    <xdr:to>
      <xdr:col>5</xdr:col>
      <xdr:colOff>487680</xdr:colOff>
      <xdr:row>3</xdr:row>
      <xdr:rowOff>350518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DB4D839-3F49-4304-B910-2CFC56200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640" y="550993"/>
          <a:ext cx="281940" cy="30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175261</xdr:colOff>
      <xdr:row>3</xdr:row>
      <xdr:rowOff>17176</xdr:rowOff>
    </xdr:from>
    <xdr:to>
      <xdr:col>6</xdr:col>
      <xdr:colOff>480061</xdr:colOff>
      <xdr:row>3</xdr:row>
      <xdr:rowOff>358139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C5E22B4-F1BF-40C7-80DD-CD644F0F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821" y="520096"/>
          <a:ext cx="304800" cy="34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</xdr:colOff>
      <xdr:row>3</xdr:row>
      <xdr:rowOff>35600</xdr:rowOff>
    </xdr:from>
    <xdr:to>
      <xdr:col>7</xdr:col>
      <xdr:colOff>365760</xdr:colOff>
      <xdr:row>4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B6D81B8-7CF6-4B50-B8D9-ABBFDCFC6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420" y="538520"/>
          <a:ext cx="358140" cy="33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60960</xdr:colOff>
      <xdr:row>3</xdr:row>
      <xdr:rowOff>7620</xdr:rowOff>
    </xdr:from>
    <xdr:to>
      <xdr:col>8</xdr:col>
      <xdr:colOff>435379</xdr:colOff>
      <xdr:row>4</xdr:row>
      <xdr:rowOff>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37F7681-5A92-42BC-B3D3-25CF2E58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510540"/>
          <a:ext cx="37441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</xdr:row>
      <xdr:rowOff>36540</xdr:rowOff>
    </xdr:from>
    <xdr:to>
      <xdr:col>3</xdr:col>
      <xdr:colOff>556260</xdr:colOff>
      <xdr:row>3</xdr:row>
      <xdr:rowOff>342899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0220994-AEFA-40CE-B641-9811BF99D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539460"/>
          <a:ext cx="441960" cy="306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3</xdr:row>
      <xdr:rowOff>46714</xdr:rowOff>
    </xdr:from>
    <xdr:to>
      <xdr:col>4</xdr:col>
      <xdr:colOff>609600</xdr:colOff>
      <xdr:row>3</xdr:row>
      <xdr:rowOff>320040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B730D1A-97B9-44F0-A977-B08A3B1A7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0360" y="549634"/>
          <a:ext cx="381000" cy="27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205740</xdr:colOff>
      <xdr:row>3</xdr:row>
      <xdr:rowOff>48073</xdr:rowOff>
    </xdr:from>
    <xdr:to>
      <xdr:col>5</xdr:col>
      <xdr:colOff>487680</xdr:colOff>
      <xdr:row>3</xdr:row>
      <xdr:rowOff>350518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B5DFA9FA-74A0-43C8-900F-1CFBEF8EC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0940" y="550993"/>
          <a:ext cx="281940" cy="30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175261</xdr:colOff>
      <xdr:row>3</xdr:row>
      <xdr:rowOff>17176</xdr:rowOff>
    </xdr:from>
    <xdr:to>
      <xdr:col>6</xdr:col>
      <xdr:colOff>480061</xdr:colOff>
      <xdr:row>3</xdr:row>
      <xdr:rowOff>358139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E2A20EB-3575-4815-8450-5FE1ECE2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1" y="520096"/>
          <a:ext cx="304800" cy="34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</xdr:colOff>
      <xdr:row>3</xdr:row>
      <xdr:rowOff>35600</xdr:rowOff>
    </xdr:from>
    <xdr:to>
      <xdr:col>7</xdr:col>
      <xdr:colOff>365760</xdr:colOff>
      <xdr:row>4</xdr:row>
      <xdr:rowOff>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274CD6AE-8019-4A1F-94D1-30B17275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" y="538520"/>
          <a:ext cx="358140" cy="33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60960</xdr:colOff>
      <xdr:row>3</xdr:row>
      <xdr:rowOff>7620</xdr:rowOff>
    </xdr:from>
    <xdr:to>
      <xdr:col>8</xdr:col>
      <xdr:colOff>435379</xdr:colOff>
      <xdr:row>4</xdr:row>
      <xdr:rowOff>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692026BC-6FE8-4993-A17E-F177698BD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8340" y="510540"/>
          <a:ext cx="37441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3</xdr:row>
      <xdr:rowOff>36540</xdr:rowOff>
    </xdr:from>
    <xdr:to>
      <xdr:col>3</xdr:col>
      <xdr:colOff>556260</xdr:colOff>
      <xdr:row>3</xdr:row>
      <xdr:rowOff>342899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1ACEED4-EF4F-4465-B706-E733D48B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539460"/>
          <a:ext cx="441960" cy="306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3</xdr:row>
      <xdr:rowOff>46714</xdr:rowOff>
    </xdr:from>
    <xdr:to>
      <xdr:col>4</xdr:col>
      <xdr:colOff>609600</xdr:colOff>
      <xdr:row>3</xdr:row>
      <xdr:rowOff>320040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51C47A79-EA7E-4823-AD58-299929114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0360" y="549634"/>
          <a:ext cx="381000" cy="273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205740</xdr:colOff>
      <xdr:row>3</xdr:row>
      <xdr:rowOff>48073</xdr:rowOff>
    </xdr:from>
    <xdr:to>
      <xdr:col>5</xdr:col>
      <xdr:colOff>487680</xdr:colOff>
      <xdr:row>3</xdr:row>
      <xdr:rowOff>350518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B7586928-ACE4-46F6-AF60-F5E953AF3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0940" y="550993"/>
          <a:ext cx="281940" cy="30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175261</xdr:colOff>
      <xdr:row>3</xdr:row>
      <xdr:rowOff>17176</xdr:rowOff>
    </xdr:from>
    <xdr:to>
      <xdr:col>6</xdr:col>
      <xdr:colOff>480061</xdr:colOff>
      <xdr:row>3</xdr:row>
      <xdr:rowOff>358139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D0A01A63-1C10-4225-A371-6A364A33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1" y="520096"/>
          <a:ext cx="304800" cy="34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</xdr:colOff>
      <xdr:row>3</xdr:row>
      <xdr:rowOff>35600</xdr:rowOff>
    </xdr:from>
    <xdr:to>
      <xdr:col>7</xdr:col>
      <xdr:colOff>365760</xdr:colOff>
      <xdr:row>4</xdr:row>
      <xdr:rowOff>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319621A5-A754-4268-B301-EF2685412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720" y="538520"/>
          <a:ext cx="358140" cy="33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60960</xdr:colOff>
      <xdr:row>3</xdr:row>
      <xdr:rowOff>7620</xdr:rowOff>
    </xdr:from>
    <xdr:to>
      <xdr:col>8</xdr:col>
      <xdr:colOff>435379</xdr:colOff>
      <xdr:row>4</xdr:row>
      <xdr:rowOff>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78875FE-7D09-444C-B81E-02A33A7A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8340" y="510540"/>
          <a:ext cx="37441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20</xdr:row>
      <xdr:rowOff>39156</xdr:rowOff>
    </xdr:from>
    <xdr:to>
      <xdr:col>2</xdr:col>
      <xdr:colOff>601980</xdr:colOff>
      <xdr:row>22</xdr:row>
      <xdr:rowOff>68580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E665D6EE-0C8F-44DE-8865-CC1F9DEE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428276"/>
          <a:ext cx="1729740" cy="395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289560</xdr:colOff>
      <xdr:row>20</xdr:row>
      <xdr:rowOff>40428</xdr:rowOff>
    </xdr:from>
    <xdr:to>
      <xdr:col>5</xdr:col>
      <xdr:colOff>662940</xdr:colOff>
      <xdr:row>22</xdr:row>
      <xdr:rowOff>99059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DD8D1225-C458-4EAB-99D6-7A7849E8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7420" y="4429548"/>
          <a:ext cx="1935480" cy="424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281940</xdr:colOff>
      <xdr:row>19</xdr:row>
      <xdr:rowOff>106680</xdr:rowOff>
    </xdr:from>
    <xdr:to>
      <xdr:col>7</xdr:col>
      <xdr:colOff>699898</xdr:colOff>
      <xdr:row>23</xdr:row>
      <xdr:rowOff>7619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E9220B99-1925-4852-A01E-C11DF434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0560" y="4312920"/>
          <a:ext cx="1195198" cy="632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23</xdr:row>
      <xdr:rowOff>91440</xdr:rowOff>
    </xdr:from>
    <xdr:to>
      <xdr:col>2</xdr:col>
      <xdr:colOff>335280</xdr:colOff>
      <xdr:row>26</xdr:row>
      <xdr:rowOff>38100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FBAA1F01-9D30-4F76-B666-6404E2B17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029200"/>
          <a:ext cx="157734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</xdr:colOff>
      <xdr:row>23</xdr:row>
      <xdr:rowOff>98586</xdr:rowOff>
    </xdr:from>
    <xdr:to>
      <xdr:col>5</xdr:col>
      <xdr:colOff>167640</xdr:colOff>
      <xdr:row>26</xdr:row>
      <xdr:rowOff>45720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F577ADB2-16E3-4788-8918-02212077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20" y="5036346"/>
          <a:ext cx="1706880" cy="49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259080</xdr:colOff>
      <xdr:row>23</xdr:row>
      <xdr:rowOff>45720</xdr:rowOff>
    </xdr:from>
    <xdr:to>
      <xdr:col>7</xdr:col>
      <xdr:colOff>475080</xdr:colOff>
      <xdr:row>26</xdr:row>
      <xdr:rowOff>175260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875AB829-B6D8-46C6-A1C5-77221845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4983480"/>
          <a:ext cx="993240" cy="678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5</xdr:row>
      <xdr:rowOff>175260</xdr:rowOff>
    </xdr:from>
    <xdr:to>
      <xdr:col>10</xdr:col>
      <xdr:colOff>22860</xdr:colOff>
      <xdr:row>20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A0B6C81-E86C-469E-8B5E-C124D7A7A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1013460</xdr:colOff>
      <xdr:row>21</xdr:row>
      <xdr:rowOff>28302</xdr:rowOff>
    </xdr:from>
    <xdr:to>
      <xdr:col>1</xdr:col>
      <xdr:colOff>1295400</xdr:colOff>
      <xdr:row>21</xdr:row>
      <xdr:rowOff>350519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07582F5-A965-49AB-9821-8001F404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60" y="3746862"/>
          <a:ext cx="281940" cy="32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769620</xdr:colOff>
      <xdr:row>22</xdr:row>
      <xdr:rowOff>48150</xdr:rowOff>
    </xdr:from>
    <xdr:to>
      <xdr:col>1</xdr:col>
      <xdr:colOff>1402080</xdr:colOff>
      <xdr:row>22</xdr:row>
      <xdr:rowOff>304800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AB39748-D637-4557-A81A-B1B74E459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4147710"/>
          <a:ext cx="632460" cy="25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723900</xdr:colOff>
      <xdr:row>23</xdr:row>
      <xdr:rowOff>19878</xdr:rowOff>
    </xdr:from>
    <xdr:to>
      <xdr:col>1</xdr:col>
      <xdr:colOff>1501140</xdr:colOff>
      <xdr:row>23</xdr:row>
      <xdr:rowOff>335280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0A55984-EF7B-4C7C-8EA9-124507EC9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485198"/>
          <a:ext cx="777240" cy="315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784860</xdr:colOff>
      <xdr:row>24</xdr:row>
      <xdr:rowOff>77280</xdr:rowOff>
    </xdr:from>
    <xdr:to>
      <xdr:col>1</xdr:col>
      <xdr:colOff>1440180</xdr:colOff>
      <xdr:row>24</xdr:row>
      <xdr:rowOff>335280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AF19A059-905F-4186-9496-6F7DAE4BB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" y="3369120"/>
          <a:ext cx="655320" cy="2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1706880</xdr:colOff>
      <xdr:row>27</xdr:row>
      <xdr:rowOff>167640</xdr:rowOff>
    </xdr:from>
    <xdr:to>
      <xdr:col>5</xdr:col>
      <xdr:colOff>91440</xdr:colOff>
      <xdr:row>30</xdr:row>
      <xdr:rowOff>205740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10ADDAC-6E70-4F23-8D60-0AE122B3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4488180"/>
          <a:ext cx="269748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205740</xdr:colOff>
      <xdr:row>32</xdr:row>
      <xdr:rowOff>0</xdr:rowOff>
    </xdr:from>
    <xdr:to>
      <xdr:col>1</xdr:col>
      <xdr:colOff>1363980</xdr:colOff>
      <xdr:row>34</xdr:row>
      <xdr:rowOff>93526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9ED48CBF-A6C7-44A3-88BF-DA1AD8D37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" y="5189220"/>
          <a:ext cx="1158240" cy="505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1828800</xdr:colOff>
      <xdr:row>34</xdr:row>
      <xdr:rowOff>160020</xdr:rowOff>
    </xdr:from>
    <xdr:to>
      <xdr:col>1</xdr:col>
      <xdr:colOff>2156460</xdr:colOff>
      <xdr:row>35</xdr:row>
      <xdr:rowOff>243840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0F31218-26E4-445B-B457-3BADDF78B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03720"/>
          <a:ext cx="32766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365760</xdr:colOff>
      <xdr:row>13</xdr:row>
      <xdr:rowOff>137160</xdr:rowOff>
    </xdr:from>
    <xdr:to>
      <xdr:col>22</xdr:col>
      <xdr:colOff>38100</xdr:colOff>
      <xdr:row>15</xdr:row>
      <xdr:rowOff>63137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CEB1DA0-254A-4D9F-94AC-5E8F2EB7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1440" y="716280"/>
          <a:ext cx="281940" cy="32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556260</xdr:colOff>
      <xdr:row>14</xdr:row>
      <xdr:rowOff>190500</xdr:rowOff>
    </xdr:from>
    <xdr:to>
      <xdr:col>19</xdr:col>
      <xdr:colOff>579120</xdr:colOff>
      <xdr:row>16</xdr:row>
      <xdr:rowOff>50910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362C2B2F-3CCE-4FAD-A5D1-25A4DC87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3140" y="967740"/>
          <a:ext cx="632460" cy="25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14</xdr:row>
      <xdr:rowOff>154608</xdr:rowOff>
    </xdr:from>
    <xdr:to>
      <xdr:col>21</xdr:col>
      <xdr:colOff>243840</xdr:colOff>
      <xdr:row>16</xdr:row>
      <xdr:rowOff>73770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785D1E8-6368-42A4-B49A-3DFCF01A3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2280" y="931848"/>
          <a:ext cx="777240" cy="315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388620</xdr:colOff>
      <xdr:row>14</xdr:row>
      <xdr:rowOff>196770</xdr:rowOff>
    </xdr:from>
    <xdr:to>
      <xdr:col>22</xdr:col>
      <xdr:colOff>434340</xdr:colOff>
      <xdr:row>16</xdr:row>
      <xdr:rowOff>58530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5EC347E-62A7-417A-98AA-2C36289A7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4300" y="974010"/>
          <a:ext cx="655320" cy="2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</xdr:colOff>
      <xdr:row>38</xdr:row>
      <xdr:rowOff>58158</xdr:rowOff>
    </xdr:from>
    <xdr:to>
      <xdr:col>3</xdr:col>
      <xdr:colOff>480060</xdr:colOff>
      <xdr:row>40</xdr:row>
      <xdr:rowOff>114300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493B2AB-04A2-42D1-B36F-CC6BDECD1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6560" y="6283698"/>
          <a:ext cx="1226820" cy="467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449580</xdr:colOff>
      <xdr:row>27</xdr:row>
      <xdr:rowOff>68580</xdr:rowOff>
    </xdr:from>
    <xdr:to>
      <xdr:col>5</xdr:col>
      <xdr:colOff>365760</xdr:colOff>
      <xdr:row>30</xdr:row>
      <xdr:rowOff>327660</xdr:rowOff>
    </xdr:to>
    <xdr:sp macro="" textlink="">
      <xdr:nvSpPr>
        <xdr:cNvPr id="21" name="Прямоугольник: скругленные углы 20">
          <a:extLst>
            <a:ext uri="{FF2B5EF4-FFF2-40B4-BE49-F238E27FC236}">
              <a16:creationId xmlns:a16="http://schemas.microsoft.com/office/drawing/2014/main" id="{0D8489F9-07ED-47BA-BF99-857F63528F04}"/>
            </a:ext>
          </a:extLst>
        </xdr:cNvPr>
        <xdr:cNvSpPr/>
      </xdr:nvSpPr>
      <xdr:spPr>
        <a:xfrm>
          <a:off x="449580" y="3764280"/>
          <a:ext cx="4838700" cy="85344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1013460</xdr:colOff>
      <xdr:row>21</xdr:row>
      <xdr:rowOff>28302</xdr:rowOff>
    </xdr:from>
    <xdr:to>
      <xdr:col>1</xdr:col>
      <xdr:colOff>1295400</xdr:colOff>
      <xdr:row>21</xdr:row>
      <xdr:rowOff>350519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878688-EB3C-43EB-90D6-9ABAAA94E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60" y="1780902"/>
          <a:ext cx="281940" cy="32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769620</xdr:colOff>
      <xdr:row>22</xdr:row>
      <xdr:rowOff>48150</xdr:rowOff>
    </xdr:from>
    <xdr:to>
      <xdr:col>1</xdr:col>
      <xdr:colOff>1402080</xdr:colOff>
      <xdr:row>22</xdr:row>
      <xdr:rowOff>304800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E8F9E01-D9E3-4F42-8112-A50C27FEF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2181750"/>
          <a:ext cx="632460" cy="25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723900</xdr:colOff>
      <xdr:row>23</xdr:row>
      <xdr:rowOff>19878</xdr:rowOff>
    </xdr:from>
    <xdr:to>
      <xdr:col>1</xdr:col>
      <xdr:colOff>1501140</xdr:colOff>
      <xdr:row>23</xdr:row>
      <xdr:rowOff>335280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7508995-F14F-4422-80F2-D27640AFC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2519238"/>
          <a:ext cx="777240" cy="315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784860</xdr:colOff>
      <xdr:row>24</xdr:row>
      <xdr:rowOff>77280</xdr:rowOff>
    </xdr:from>
    <xdr:to>
      <xdr:col>1</xdr:col>
      <xdr:colOff>1440180</xdr:colOff>
      <xdr:row>24</xdr:row>
      <xdr:rowOff>335280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E94191C-7A59-4069-B4CA-0D3332B0E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460" y="2927160"/>
          <a:ext cx="655320" cy="2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388620</xdr:colOff>
      <xdr:row>26</xdr:row>
      <xdr:rowOff>99060</xdr:rowOff>
    </xdr:from>
    <xdr:to>
      <xdr:col>19</xdr:col>
      <xdr:colOff>403860</xdr:colOff>
      <xdr:row>37</xdr:row>
      <xdr:rowOff>137160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B92C6A7-CC5D-4CF2-B64F-B11C53CD6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1706880</xdr:colOff>
      <xdr:row>27</xdr:row>
      <xdr:rowOff>167640</xdr:rowOff>
    </xdr:from>
    <xdr:to>
      <xdr:col>5</xdr:col>
      <xdr:colOff>91440</xdr:colOff>
      <xdr:row>30</xdr:row>
      <xdr:rowOff>205740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1E286C6-C168-4D8A-ABC9-319B0178B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3817620"/>
          <a:ext cx="269748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205740</xdr:colOff>
      <xdr:row>32</xdr:row>
      <xdr:rowOff>0</xdr:rowOff>
    </xdr:from>
    <xdr:to>
      <xdr:col>1</xdr:col>
      <xdr:colOff>1363980</xdr:colOff>
      <xdr:row>34</xdr:row>
      <xdr:rowOff>93526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77E0290D-0C55-4C29-8BD6-EA012B725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" y="4884420"/>
          <a:ext cx="1158240" cy="505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1828800</xdr:colOff>
      <xdr:row>34</xdr:row>
      <xdr:rowOff>160020</xdr:rowOff>
    </xdr:from>
    <xdr:to>
      <xdr:col>1</xdr:col>
      <xdr:colOff>2156460</xdr:colOff>
      <xdr:row>35</xdr:row>
      <xdr:rowOff>243840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DA82DE-1616-4F34-966B-D9A86DC4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55920"/>
          <a:ext cx="32766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2286000</xdr:colOff>
      <xdr:row>38</xdr:row>
      <xdr:rowOff>121920</xdr:rowOff>
    </xdr:from>
    <xdr:to>
      <xdr:col>3</xdr:col>
      <xdr:colOff>419100</xdr:colOff>
      <xdr:row>40</xdr:row>
      <xdr:rowOff>178062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6CE65216-0183-4A38-9DBC-91CE62CE2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6286500"/>
          <a:ext cx="1226820" cy="467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373380</xdr:colOff>
      <xdr:row>13</xdr:row>
      <xdr:rowOff>129540</xdr:rowOff>
    </xdr:from>
    <xdr:to>
      <xdr:col>22</xdr:col>
      <xdr:colOff>45720</xdr:colOff>
      <xdr:row>15</xdr:row>
      <xdr:rowOff>55517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FF33D10C-ECEE-45E1-B1CB-8070FA4B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9060" y="708660"/>
          <a:ext cx="281940" cy="32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563880</xdr:colOff>
      <xdr:row>14</xdr:row>
      <xdr:rowOff>182880</xdr:rowOff>
    </xdr:from>
    <xdr:to>
      <xdr:col>19</xdr:col>
      <xdr:colOff>586740</xdr:colOff>
      <xdr:row>16</xdr:row>
      <xdr:rowOff>43290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6BE5ADBE-B165-4CA7-BEF9-A5CBD7FB7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0760" y="960120"/>
          <a:ext cx="632460" cy="25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83820</xdr:colOff>
      <xdr:row>14</xdr:row>
      <xdr:rowOff>146988</xdr:rowOff>
    </xdr:from>
    <xdr:to>
      <xdr:col>21</xdr:col>
      <xdr:colOff>251460</xdr:colOff>
      <xdr:row>16</xdr:row>
      <xdr:rowOff>66150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55293694-BB72-47BE-A6CC-EFD0705BC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9900" y="924228"/>
          <a:ext cx="777240" cy="315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396240</xdr:colOff>
      <xdr:row>14</xdr:row>
      <xdr:rowOff>189150</xdr:rowOff>
    </xdr:from>
    <xdr:to>
      <xdr:col>22</xdr:col>
      <xdr:colOff>441960</xdr:colOff>
      <xdr:row>16</xdr:row>
      <xdr:rowOff>50910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E3B240FF-3048-4277-AB27-B3A69B7BE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1920" y="966390"/>
          <a:ext cx="655320" cy="2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472440</xdr:colOff>
      <xdr:row>27</xdr:row>
      <xdr:rowOff>45720</xdr:rowOff>
    </xdr:from>
    <xdr:to>
      <xdr:col>5</xdr:col>
      <xdr:colOff>388620</xdr:colOff>
      <xdr:row>30</xdr:row>
      <xdr:rowOff>304800</xdr:rowOff>
    </xdr:to>
    <xdr:sp macro="" textlink="">
      <xdr:nvSpPr>
        <xdr:cNvPr id="15" name="Прямоугольник: скругленные углы 14">
          <a:extLst>
            <a:ext uri="{FF2B5EF4-FFF2-40B4-BE49-F238E27FC236}">
              <a16:creationId xmlns:a16="http://schemas.microsoft.com/office/drawing/2014/main" id="{86506888-2EA3-48D3-A800-8D78151A87DE}"/>
            </a:ext>
          </a:extLst>
        </xdr:cNvPr>
        <xdr:cNvSpPr/>
      </xdr:nvSpPr>
      <xdr:spPr>
        <a:xfrm>
          <a:off x="472440" y="3741420"/>
          <a:ext cx="4838700" cy="853440"/>
        </a:xfrm>
        <a:prstGeom prst="round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rgbClr val="00B05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500743</xdr:colOff>
      <xdr:row>23</xdr:row>
      <xdr:rowOff>135331</xdr:rowOff>
    </xdr:from>
    <xdr:to>
      <xdr:col>4</xdr:col>
      <xdr:colOff>805542</xdr:colOff>
      <xdr:row>24</xdr:row>
      <xdr:rowOff>155664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B4D1EBF-8F4E-4E26-94B9-CE46BFDA7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3572" y="5218960"/>
          <a:ext cx="304799" cy="248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500743</xdr:colOff>
      <xdr:row>23</xdr:row>
      <xdr:rowOff>135331</xdr:rowOff>
    </xdr:from>
    <xdr:to>
      <xdr:col>4</xdr:col>
      <xdr:colOff>805542</xdr:colOff>
      <xdr:row>24</xdr:row>
      <xdr:rowOff>155664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9FF71B-181D-4889-9449-F3191DD2A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4863" y="5172151"/>
          <a:ext cx="304799" cy="248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4</xdr:row>
      <xdr:rowOff>167640</xdr:rowOff>
    </xdr:from>
    <xdr:to>
      <xdr:col>7</xdr:col>
      <xdr:colOff>182880</xdr:colOff>
      <xdr:row>19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032306-805D-4C71-AD46-1B5CCCE8C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25</xdr:row>
      <xdr:rowOff>0</xdr:rowOff>
    </xdr:from>
    <xdr:to>
      <xdr:col>7</xdr:col>
      <xdr:colOff>198120</xdr:colOff>
      <xdr:row>40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B1E5959-5399-4BB0-976E-E5C400A47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</xdr:colOff>
      <xdr:row>46</xdr:row>
      <xdr:rowOff>167640</xdr:rowOff>
    </xdr:from>
    <xdr:to>
      <xdr:col>7</xdr:col>
      <xdr:colOff>205740</xdr:colOff>
      <xdr:row>61</xdr:row>
      <xdr:rowOff>167640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58BAC3-90D1-475F-9CBD-75FC9F62C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71</xdr:row>
      <xdr:rowOff>15240</xdr:rowOff>
    </xdr:from>
    <xdr:to>
      <xdr:col>9</xdr:col>
      <xdr:colOff>304800</xdr:colOff>
      <xdr:row>86</xdr:row>
      <xdr:rowOff>15240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573D327-8980-4B35-B31C-2CA0CAE6D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1318260</xdr:colOff>
      <xdr:row>93</xdr:row>
      <xdr:rowOff>175260</xdr:rowOff>
    </xdr:from>
    <xdr:to>
      <xdr:col>9</xdr:col>
      <xdr:colOff>289560</xdr:colOff>
      <xdr:row>108</xdr:row>
      <xdr:rowOff>175260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6B9A9AA-CA3D-44A4-B2A4-B874E3161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1325880</xdr:colOff>
      <xdr:row>115</xdr:row>
      <xdr:rowOff>0</xdr:rowOff>
    </xdr:from>
    <xdr:to>
      <xdr:col>9</xdr:col>
      <xdr:colOff>297180</xdr:colOff>
      <xdr:row>130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64FDBAE-7D16-4A14-B485-7D55D822B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22860</xdr:colOff>
      <xdr:row>138</xdr:row>
      <xdr:rowOff>15240</xdr:rowOff>
    </xdr:from>
    <xdr:to>
      <xdr:col>9</xdr:col>
      <xdr:colOff>327660</xdr:colOff>
      <xdr:row>153</xdr:row>
      <xdr:rowOff>15240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9F18EDD-5904-40F4-818C-BDD118C25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160</xdr:row>
      <xdr:rowOff>30480</xdr:rowOff>
    </xdr:from>
    <xdr:to>
      <xdr:col>9</xdr:col>
      <xdr:colOff>304800</xdr:colOff>
      <xdr:row>175</xdr:row>
      <xdr:rowOff>30480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CCECF36-C9C6-45A2-B3E1-DFC480FF7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137160</xdr:colOff>
      <xdr:row>24</xdr:row>
      <xdr:rowOff>102870</xdr:rowOff>
    </xdr:from>
    <xdr:to>
      <xdr:col>16</xdr:col>
      <xdr:colOff>198120</xdr:colOff>
      <xdr:row>39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C01BC5-9ADA-442A-9DAD-5EB180CFF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&#1089;&#1087;&#1077;&#1094;&#1080;&#1072;&#1083;&#1080;&#1089;&#1090;/&#1072;&#1085;&#1072;&#1083;&#1080;&#1090;&#1080;&#1082;&#1072;/mod2_analit/mod2_analit_pres/&#1055;&#1088;&#1086;&#1075;&#1085;&#1086;&#1079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&#1089;&#1087;&#1077;&#1094;&#1080;&#1072;&#1083;&#1080;&#1089;&#1090;/&#1072;&#1085;&#1072;&#1083;&#1080;&#1090;&#1080;&#1082;&#1072;/mod2_analit/mod2_analit_pres/&#1048;&#1089;&#1082;&#1072;&#1078;&#1077;&#1085;&#1080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>
        <row r="3">
          <cell r="G3">
            <v>90</v>
          </cell>
          <cell r="H3">
            <v>70</v>
          </cell>
          <cell r="I3">
            <v>80</v>
          </cell>
          <cell r="J3">
            <v>60</v>
          </cell>
          <cell r="K3">
            <v>70</v>
          </cell>
          <cell r="L3">
            <v>50</v>
          </cell>
          <cell r="M3">
            <v>70</v>
          </cell>
          <cell r="N3">
            <v>60</v>
          </cell>
          <cell r="O3">
            <v>80</v>
          </cell>
          <cell r="P3">
            <v>70</v>
          </cell>
          <cell r="Q3">
            <v>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>
        <row r="4">
          <cell r="B4" t="str">
            <v>Продажи</v>
          </cell>
          <cell r="C4">
            <v>100</v>
          </cell>
          <cell r="D4">
            <v>100</v>
          </cell>
          <cell r="E4">
            <v>100</v>
          </cell>
          <cell r="F4">
            <v>0</v>
          </cell>
          <cell r="G4">
            <v>100</v>
          </cell>
          <cell r="H4">
            <v>100</v>
          </cell>
          <cell r="I4">
            <v>100</v>
          </cell>
          <cell r="J4">
            <v>100</v>
          </cell>
          <cell r="K4">
            <v>100</v>
          </cell>
          <cell r="L4">
            <v>100</v>
          </cell>
          <cell r="M4">
            <v>100</v>
          </cell>
          <cell r="N4">
            <v>100</v>
          </cell>
        </row>
        <row r="24">
          <cell r="B24" t="str">
            <v>Продажи</v>
          </cell>
          <cell r="C24">
            <v>100</v>
          </cell>
          <cell r="D24">
            <v>100</v>
          </cell>
          <cell r="E24">
            <v>100</v>
          </cell>
          <cell r="F24">
            <v>0</v>
          </cell>
          <cell r="G24">
            <v>160</v>
          </cell>
          <cell r="H24">
            <v>80</v>
          </cell>
          <cell r="I24">
            <v>100</v>
          </cell>
          <cell r="J24">
            <v>100</v>
          </cell>
          <cell r="K24">
            <v>100</v>
          </cell>
          <cell r="L24">
            <v>100</v>
          </cell>
          <cell r="M24">
            <v>100</v>
          </cell>
          <cell r="N24">
            <v>100</v>
          </cell>
        </row>
        <row r="45">
          <cell r="B45" t="str">
            <v>Продажи</v>
          </cell>
          <cell r="C45">
            <v>124</v>
          </cell>
          <cell r="D45">
            <v>112</v>
          </cell>
          <cell r="E45">
            <v>124</v>
          </cell>
          <cell r="F45">
            <v>120</v>
          </cell>
          <cell r="G45">
            <v>124</v>
          </cell>
          <cell r="H45">
            <v>120</v>
          </cell>
          <cell r="I45">
            <v>124</v>
          </cell>
          <cell r="J45">
            <v>124</v>
          </cell>
          <cell r="K45">
            <v>120</v>
          </cell>
          <cell r="L45">
            <v>124</v>
          </cell>
          <cell r="M45">
            <v>120</v>
          </cell>
          <cell r="N45">
            <v>124</v>
          </cell>
        </row>
        <row r="68">
          <cell r="B68" t="str">
            <v>Продажи</v>
          </cell>
          <cell r="C68">
            <v>100</v>
          </cell>
          <cell r="D68">
            <v>100</v>
          </cell>
          <cell r="E68">
            <v>100</v>
          </cell>
          <cell r="F68">
            <v>0</v>
          </cell>
          <cell r="G68">
            <v>100</v>
          </cell>
          <cell r="H68">
            <v>100</v>
          </cell>
          <cell r="I68">
            <v>100</v>
          </cell>
          <cell r="J68">
            <v>100</v>
          </cell>
          <cell r="K68">
            <v>100</v>
          </cell>
          <cell r="L68">
            <v>100</v>
          </cell>
          <cell r="M68">
            <v>100</v>
          </cell>
          <cell r="N68">
            <v>100</v>
          </cell>
        </row>
        <row r="69">
          <cell r="B69" t="str">
            <v>Остатки на начало периода</v>
          </cell>
          <cell r="C69">
            <v>110</v>
          </cell>
          <cell r="D69">
            <v>110</v>
          </cell>
          <cell r="E69">
            <v>110</v>
          </cell>
          <cell r="F69">
            <v>10</v>
          </cell>
          <cell r="G69">
            <v>110</v>
          </cell>
          <cell r="H69">
            <v>110</v>
          </cell>
          <cell r="I69">
            <v>110</v>
          </cell>
          <cell r="J69">
            <v>110</v>
          </cell>
          <cell r="K69">
            <v>110</v>
          </cell>
          <cell r="L69">
            <v>110</v>
          </cell>
          <cell r="M69">
            <v>110</v>
          </cell>
          <cell r="N69">
            <v>110</v>
          </cell>
        </row>
        <row r="91">
          <cell r="B91" t="str">
            <v>Продажи</v>
          </cell>
          <cell r="C91">
            <v>100</v>
          </cell>
          <cell r="D91">
            <v>100</v>
          </cell>
          <cell r="E91">
            <v>100</v>
          </cell>
          <cell r="F91">
            <v>100</v>
          </cell>
          <cell r="G91">
            <v>120</v>
          </cell>
          <cell r="H91">
            <v>120</v>
          </cell>
          <cell r="I91">
            <v>120</v>
          </cell>
          <cell r="J91">
            <v>120</v>
          </cell>
          <cell r="K91">
            <v>120</v>
          </cell>
          <cell r="L91">
            <v>120</v>
          </cell>
          <cell r="M91">
            <v>120</v>
          </cell>
          <cell r="N91">
            <v>120</v>
          </cell>
        </row>
        <row r="92">
          <cell r="B92" t="str">
            <v>Продажи</v>
          </cell>
          <cell r="C92">
            <v>100</v>
          </cell>
          <cell r="D92">
            <v>100</v>
          </cell>
          <cell r="E92">
            <v>100</v>
          </cell>
          <cell r="F92">
            <v>100</v>
          </cell>
          <cell r="G92">
            <v>120</v>
          </cell>
          <cell r="H92">
            <v>100</v>
          </cell>
          <cell r="I92">
            <v>100</v>
          </cell>
          <cell r="J92">
            <v>100</v>
          </cell>
          <cell r="K92">
            <v>100</v>
          </cell>
          <cell r="L92">
            <v>100</v>
          </cell>
          <cell r="M92">
            <v>100</v>
          </cell>
          <cell r="N92">
            <v>100</v>
          </cell>
        </row>
        <row r="93">
          <cell r="B93" t="str">
            <v>Продажи</v>
          </cell>
          <cell r="C93">
            <v>100</v>
          </cell>
          <cell r="D93">
            <v>100</v>
          </cell>
          <cell r="E93">
            <v>100</v>
          </cell>
          <cell r="F93">
            <v>100</v>
          </cell>
          <cell r="G93">
            <v>120</v>
          </cell>
          <cell r="H93">
            <v>80</v>
          </cell>
          <cell r="I93">
            <v>100</v>
          </cell>
          <cell r="J93">
            <v>100</v>
          </cell>
          <cell r="K93">
            <v>100</v>
          </cell>
          <cell r="L93">
            <v>100</v>
          </cell>
          <cell r="M93">
            <v>100</v>
          </cell>
          <cell r="N93">
            <v>100</v>
          </cell>
        </row>
        <row r="113">
          <cell r="B113" t="str">
            <v>Продажи</v>
          </cell>
          <cell r="C113">
            <v>100</v>
          </cell>
          <cell r="D113">
            <v>100</v>
          </cell>
          <cell r="E113">
            <v>100</v>
          </cell>
          <cell r="F113">
            <v>300</v>
          </cell>
          <cell r="G113">
            <v>100</v>
          </cell>
          <cell r="H113">
            <v>100</v>
          </cell>
          <cell r="I113">
            <v>100</v>
          </cell>
          <cell r="J113">
            <v>100</v>
          </cell>
          <cell r="K113">
            <v>100</v>
          </cell>
          <cell r="L113">
            <v>100</v>
          </cell>
          <cell r="M113">
            <v>100</v>
          </cell>
          <cell r="N113">
            <v>100</v>
          </cell>
        </row>
        <row r="136">
          <cell r="B136" t="str">
            <v>Продажи</v>
          </cell>
          <cell r="C136">
            <v>100</v>
          </cell>
          <cell r="D136">
            <v>100</v>
          </cell>
          <cell r="E136">
            <v>100</v>
          </cell>
          <cell r="F136">
            <v>150</v>
          </cell>
          <cell r="G136">
            <v>50</v>
          </cell>
          <cell r="H136">
            <v>120</v>
          </cell>
          <cell r="I136">
            <v>80</v>
          </cell>
          <cell r="J136">
            <v>100</v>
          </cell>
          <cell r="K136">
            <v>100</v>
          </cell>
          <cell r="L136">
            <v>100</v>
          </cell>
          <cell r="M136">
            <v>100</v>
          </cell>
          <cell r="N136">
            <v>100</v>
          </cell>
        </row>
        <row r="158">
          <cell r="B158" t="str">
            <v>Месяц</v>
          </cell>
          <cell r="C158">
            <v>1</v>
          </cell>
          <cell r="D158">
            <v>2</v>
          </cell>
          <cell r="E158">
            <v>3</v>
          </cell>
          <cell r="F158">
            <v>4</v>
          </cell>
          <cell r="G158">
            <v>5</v>
          </cell>
          <cell r="H158">
            <v>6</v>
          </cell>
          <cell r="I158">
            <v>7</v>
          </cell>
          <cell r="J158">
            <v>8</v>
          </cell>
          <cell r="K158">
            <v>9</v>
          </cell>
          <cell r="L158">
            <v>10</v>
          </cell>
          <cell r="M158">
            <v>11</v>
          </cell>
          <cell r="N158">
            <v>12</v>
          </cell>
        </row>
        <row r="159">
          <cell r="B159" t="str">
            <v>Продажи</v>
          </cell>
          <cell r="C159">
            <v>50</v>
          </cell>
          <cell r="D159">
            <v>100</v>
          </cell>
          <cell r="E159">
            <v>200</v>
          </cell>
          <cell r="F159">
            <v>400</v>
          </cell>
          <cell r="G159">
            <v>600</v>
          </cell>
          <cell r="H159">
            <v>1300</v>
          </cell>
          <cell r="I159">
            <v>2500</v>
          </cell>
          <cell r="J159">
            <v>4000</v>
          </cell>
          <cell r="K159">
            <v>7000</v>
          </cell>
          <cell r="L159">
            <v>15000</v>
          </cell>
          <cell r="M159">
            <v>25000</v>
          </cell>
          <cell r="N159">
            <v>30000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36F8-91EC-4035-889B-6DB971727239}">
  <dimension ref="A2:I17"/>
  <sheetViews>
    <sheetView showGridLines="0" workbookViewId="0">
      <selection activeCell="I14" sqref="I14"/>
    </sheetView>
  </sheetViews>
  <sheetFormatPr defaultRowHeight="14.4"/>
  <cols>
    <col min="2" max="2" width="10.5546875" customWidth="1"/>
    <col min="4" max="4" width="10.33203125" customWidth="1"/>
    <col min="5" max="5" width="12.44140625" customWidth="1"/>
    <col min="6" max="6" width="10.33203125" customWidth="1"/>
    <col min="7" max="7" width="11.33203125" customWidth="1"/>
    <col min="8" max="8" width="10.44140625" style="5" customWidth="1"/>
    <col min="9" max="9" width="15" style="5" customWidth="1"/>
  </cols>
  <sheetData>
    <row r="2" spans="1:9" ht="21">
      <c r="B2" s="4" t="s">
        <v>4</v>
      </c>
    </row>
    <row r="3" spans="1:9" ht="4.2" customHeight="1"/>
    <row r="4" spans="1:9" ht="28.8" customHeight="1">
      <c r="B4" s="1" t="s">
        <v>0</v>
      </c>
      <c r="C4" s="1" t="s">
        <v>1</v>
      </c>
      <c r="D4" s="2"/>
      <c r="E4" s="2"/>
      <c r="F4" s="2"/>
      <c r="G4" s="2"/>
      <c r="H4" s="6" t="s">
        <v>3</v>
      </c>
      <c r="I4" s="6" t="s">
        <v>3</v>
      </c>
    </row>
    <row r="5" spans="1:9" ht="18">
      <c r="A5">
        <v>1</v>
      </c>
      <c r="B5" s="3">
        <v>2018</v>
      </c>
      <c r="C5" s="3">
        <v>149.9</v>
      </c>
      <c r="D5" s="3"/>
      <c r="E5" s="3"/>
      <c r="F5" s="3"/>
      <c r="G5" s="3"/>
      <c r="H5" s="7"/>
      <c r="I5" s="7"/>
    </row>
    <row r="6" spans="1:9" ht="18">
      <c r="A6">
        <v>2</v>
      </c>
      <c r="B6" s="3">
        <v>2019</v>
      </c>
      <c r="C6" s="3">
        <v>155.6</v>
      </c>
      <c r="D6" s="43"/>
      <c r="E6" s="43"/>
      <c r="F6" s="60"/>
      <c r="G6" s="60"/>
      <c r="H6" s="61"/>
      <c r="I6" s="61"/>
    </row>
    <row r="7" spans="1:9" ht="18">
      <c r="A7">
        <v>3</v>
      </c>
      <c r="B7" s="3">
        <v>2020</v>
      </c>
      <c r="C7" s="3">
        <v>168.3</v>
      </c>
      <c r="D7" s="43"/>
      <c r="E7" s="43"/>
      <c r="F7" s="60"/>
      <c r="G7" s="60"/>
      <c r="H7" s="61"/>
      <c r="I7" s="61"/>
    </row>
    <row r="8" spans="1:9" ht="18">
      <c r="A8">
        <v>4</v>
      </c>
      <c r="B8" s="3">
        <v>2021</v>
      </c>
      <c r="C8" s="3">
        <v>212</v>
      </c>
      <c r="D8" s="43"/>
      <c r="E8" s="43"/>
      <c r="F8" s="60"/>
      <c r="G8" s="60"/>
      <c r="H8" s="61"/>
      <c r="I8" s="61"/>
    </row>
    <row r="9" spans="1:9" ht="18">
      <c r="A9">
        <v>5</v>
      </c>
      <c r="B9" s="3">
        <v>2022</v>
      </c>
      <c r="C9" s="3">
        <v>280.60000000000002</v>
      </c>
      <c r="D9" s="43"/>
      <c r="E9" s="43"/>
      <c r="F9" s="60"/>
      <c r="G9" s="60"/>
      <c r="H9" s="61"/>
      <c r="I9" s="61"/>
    </row>
    <row r="10" spans="1:9" ht="18">
      <c r="A10">
        <v>6</v>
      </c>
      <c r="B10" s="3">
        <v>2023</v>
      </c>
      <c r="C10" s="3">
        <v>368.9</v>
      </c>
      <c r="D10" s="43"/>
      <c r="E10" s="43"/>
      <c r="F10" s="60"/>
      <c r="G10" s="60"/>
      <c r="H10" s="61"/>
      <c r="I10" s="61"/>
    </row>
    <row r="11" spans="1:9" ht="18">
      <c r="A11">
        <v>7</v>
      </c>
      <c r="B11" s="3">
        <v>2024</v>
      </c>
      <c r="C11" s="3">
        <v>468.4</v>
      </c>
      <c r="D11" s="43"/>
      <c r="E11" s="43"/>
      <c r="F11" s="60"/>
      <c r="G11" s="60"/>
      <c r="H11" s="61"/>
      <c r="I11" s="61"/>
    </row>
    <row r="12" spans="1:9" ht="18">
      <c r="B12" s="3" t="s">
        <v>2</v>
      </c>
      <c r="C12" s="3">
        <f>SUM(C5:C11)</f>
        <v>1803.6999999999998</v>
      </c>
      <c r="D12" s="3"/>
      <c r="E12" s="57">
        <f>SUM(E6:E11)</f>
        <v>0</v>
      </c>
      <c r="F12" s="3"/>
      <c r="G12" s="58">
        <f>PRODUCT(G6:G11)</f>
        <v>0</v>
      </c>
      <c r="H12" s="7"/>
      <c r="I12" s="7"/>
    </row>
    <row r="13" spans="1:9" ht="18">
      <c r="B13" s="3" t="s">
        <v>5</v>
      </c>
      <c r="C13" s="3">
        <f>AVERAGE(C5:C11)</f>
        <v>257.67142857142852</v>
      </c>
    </row>
    <row r="14" spans="1:9" ht="18">
      <c r="A14" s="9" t="s">
        <v>6</v>
      </c>
      <c r="E14" s="62"/>
    </row>
    <row r="15" spans="1:9" ht="18">
      <c r="A15" s="9" t="s">
        <v>7</v>
      </c>
    </row>
    <row r="16" spans="1:9" ht="18">
      <c r="A16" s="9" t="s">
        <v>8</v>
      </c>
      <c r="G16" s="62"/>
    </row>
    <row r="17" spans="1:1" ht="18">
      <c r="A17" s="9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0392-A3C7-4C76-BA6B-E1B9619D3702}">
  <dimension ref="A2:I17"/>
  <sheetViews>
    <sheetView showGridLines="0" topLeftCell="A4" workbookViewId="0">
      <selection activeCell="G16" sqref="G16"/>
    </sheetView>
  </sheetViews>
  <sheetFormatPr defaultRowHeight="14.4"/>
  <cols>
    <col min="2" max="2" width="10.33203125" customWidth="1"/>
    <col min="4" max="4" width="10.33203125" customWidth="1"/>
    <col min="5" max="5" width="12.44140625" customWidth="1"/>
    <col min="6" max="6" width="10.33203125" customWidth="1"/>
    <col min="7" max="7" width="11.33203125" customWidth="1"/>
    <col min="8" max="8" width="10.44140625" style="5" customWidth="1"/>
    <col min="9" max="9" width="15" style="5" customWidth="1"/>
  </cols>
  <sheetData>
    <row r="2" spans="1:9" ht="21">
      <c r="B2" s="4" t="s">
        <v>4</v>
      </c>
    </row>
    <row r="3" spans="1:9" ht="4.2" customHeight="1"/>
    <row r="4" spans="1:9" ht="28.8" customHeight="1">
      <c r="B4" s="1" t="s">
        <v>0</v>
      </c>
      <c r="C4" s="1" t="s">
        <v>1</v>
      </c>
      <c r="D4" s="2"/>
      <c r="E4" s="2"/>
      <c r="F4" s="2"/>
      <c r="G4" s="2"/>
      <c r="H4" s="6" t="s">
        <v>3</v>
      </c>
      <c r="I4" s="6" t="s">
        <v>3</v>
      </c>
    </row>
    <row r="5" spans="1:9" ht="18">
      <c r="A5">
        <v>1</v>
      </c>
      <c r="B5" s="3">
        <v>2018</v>
      </c>
      <c r="C5" s="3">
        <v>149.9</v>
      </c>
      <c r="D5" s="3"/>
      <c r="E5" s="3"/>
      <c r="F5" s="3"/>
      <c r="G5" s="3"/>
      <c r="H5" s="7"/>
      <c r="I5" s="7"/>
    </row>
    <row r="6" spans="1:9" ht="18">
      <c r="A6">
        <v>2</v>
      </c>
      <c r="B6" s="3">
        <v>2019</v>
      </c>
      <c r="C6" s="3">
        <v>155.6</v>
      </c>
      <c r="D6" s="57">
        <f>C6-$C$5</f>
        <v>5.6999999999999886</v>
      </c>
      <c r="E6" s="57">
        <f>C6-C5</f>
        <v>5.6999999999999886</v>
      </c>
      <c r="F6" s="58">
        <f>C6/$C$5</f>
        <v>1.0380253502334889</v>
      </c>
      <c r="G6" s="58">
        <f>C6/C5</f>
        <v>1.0380253502334889</v>
      </c>
      <c r="H6" s="59">
        <f>F6-100%</f>
        <v>3.8025350233488853E-2</v>
      </c>
      <c r="I6" s="59">
        <f>G6-100%</f>
        <v>3.8025350233488853E-2</v>
      </c>
    </row>
    <row r="7" spans="1:9" ht="18">
      <c r="A7">
        <v>3</v>
      </c>
      <c r="B7" s="3">
        <v>2020</v>
      </c>
      <c r="C7" s="3">
        <v>168.3</v>
      </c>
      <c r="D7" s="57">
        <f t="shared" ref="D7:D11" si="0">C7-$C$5</f>
        <v>18.400000000000006</v>
      </c>
      <c r="E7" s="57">
        <f t="shared" ref="E7:E11" si="1">C7-C6</f>
        <v>12.700000000000017</v>
      </c>
      <c r="F7" s="58">
        <f t="shared" ref="F7:F11" si="2">C7/$C$5</f>
        <v>1.1227484989993328</v>
      </c>
      <c r="G7" s="58">
        <f t="shared" ref="G7:G11" si="3">C7/C6</f>
        <v>1.0816195372750643</v>
      </c>
      <c r="H7" s="59">
        <f t="shared" ref="H7:I11" si="4">F7-100%</f>
        <v>0.12274849899933282</v>
      </c>
      <c r="I7" s="59">
        <f t="shared" si="4"/>
        <v>8.1619537275064324E-2</v>
      </c>
    </row>
    <row r="8" spans="1:9" ht="18">
      <c r="A8">
        <v>4</v>
      </c>
      <c r="B8" s="3">
        <v>2021</v>
      </c>
      <c r="C8" s="3">
        <v>212</v>
      </c>
      <c r="D8" s="57">
        <f t="shared" si="0"/>
        <v>62.099999999999994</v>
      </c>
      <c r="E8" s="57">
        <f t="shared" si="1"/>
        <v>43.699999999999989</v>
      </c>
      <c r="F8" s="58">
        <f t="shared" si="2"/>
        <v>1.4142761841227485</v>
      </c>
      <c r="G8" s="58">
        <f t="shared" si="3"/>
        <v>1.2596553773024359</v>
      </c>
      <c r="H8" s="59">
        <f t="shared" si="4"/>
        <v>0.41427618412274847</v>
      </c>
      <c r="I8" s="59">
        <f t="shared" si="4"/>
        <v>0.25965537730243593</v>
      </c>
    </row>
    <row r="9" spans="1:9" ht="18">
      <c r="A9">
        <v>5</v>
      </c>
      <c r="B9" s="3">
        <v>2022</v>
      </c>
      <c r="C9" s="3">
        <v>280.60000000000002</v>
      </c>
      <c r="D9" s="57">
        <f t="shared" si="0"/>
        <v>130.70000000000002</v>
      </c>
      <c r="E9" s="57">
        <f t="shared" si="1"/>
        <v>68.600000000000023</v>
      </c>
      <c r="F9" s="58">
        <f t="shared" si="2"/>
        <v>1.8719146097398267</v>
      </c>
      <c r="G9" s="58">
        <f t="shared" si="3"/>
        <v>1.3235849056603775</v>
      </c>
      <c r="H9" s="59">
        <f t="shared" si="4"/>
        <v>0.87191460973982671</v>
      </c>
      <c r="I9" s="59">
        <f t="shared" si="4"/>
        <v>0.32358490566037745</v>
      </c>
    </row>
    <row r="10" spans="1:9" ht="18">
      <c r="A10">
        <v>6</v>
      </c>
      <c r="B10" s="3">
        <v>2023</v>
      </c>
      <c r="C10" s="3">
        <v>368.9</v>
      </c>
      <c r="D10" s="57">
        <f t="shared" si="0"/>
        <v>218.99999999999997</v>
      </c>
      <c r="E10" s="57">
        <f t="shared" si="1"/>
        <v>88.299999999999955</v>
      </c>
      <c r="F10" s="58">
        <f t="shared" si="2"/>
        <v>2.4609739826551031</v>
      </c>
      <c r="G10" s="58">
        <f t="shared" si="3"/>
        <v>1.3146828225231644</v>
      </c>
      <c r="H10" s="59">
        <f t="shared" si="4"/>
        <v>1.4609739826551031</v>
      </c>
      <c r="I10" s="59">
        <f t="shared" si="4"/>
        <v>0.31468282252316437</v>
      </c>
    </row>
    <row r="11" spans="1:9" ht="18">
      <c r="A11">
        <v>7</v>
      </c>
      <c r="B11" s="3">
        <v>2024</v>
      </c>
      <c r="C11" s="3">
        <v>468.4</v>
      </c>
      <c r="D11" s="57">
        <f t="shared" si="0"/>
        <v>318.5</v>
      </c>
      <c r="E11" s="57">
        <f t="shared" si="1"/>
        <v>99.5</v>
      </c>
      <c r="F11" s="58">
        <f t="shared" si="2"/>
        <v>3.1247498332221477</v>
      </c>
      <c r="G11" s="58">
        <f t="shared" si="3"/>
        <v>1.2697207915424233</v>
      </c>
      <c r="H11" s="59">
        <f t="shared" si="4"/>
        <v>2.1247498332221477</v>
      </c>
      <c r="I11" s="59">
        <f t="shared" si="4"/>
        <v>0.26972079154242334</v>
      </c>
    </row>
    <row r="12" spans="1:9" ht="18">
      <c r="B12" s="3" t="s">
        <v>2</v>
      </c>
      <c r="C12" s="3">
        <f>SUM(C5:C11)</f>
        <v>1803.6999999999998</v>
      </c>
      <c r="D12" s="3"/>
      <c r="E12" s="57">
        <f>SUM(E6:E11)</f>
        <v>318.5</v>
      </c>
      <c r="F12" s="3"/>
      <c r="G12" s="58">
        <f>PRODUCT(G6:G11)</f>
        <v>3.1247498332221468</v>
      </c>
      <c r="H12" s="7"/>
      <c r="I12" s="7"/>
    </row>
    <row r="13" spans="1:9" ht="18">
      <c r="B13" s="8" t="s">
        <v>5</v>
      </c>
      <c r="C13" s="8">
        <f>AVERAGE(C5:C11)</f>
        <v>257.67142857142852</v>
      </c>
    </row>
    <row r="14" spans="1:9" ht="18">
      <c r="A14" s="9" t="s">
        <v>6</v>
      </c>
      <c r="B14" s="9"/>
      <c r="E14" s="63">
        <f>E12/6</f>
        <v>53.083333333333336</v>
      </c>
    </row>
    <row r="15" spans="1:9" ht="18">
      <c r="A15" s="9" t="s">
        <v>7</v>
      </c>
    </row>
    <row r="16" spans="1:9" ht="18">
      <c r="A16" s="9" t="s">
        <v>8</v>
      </c>
      <c r="G16" s="64">
        <f>GEOMEAN(G6:G11)</f>
        <v>1.2091194544599653</v>
      </c>
    </row>
    <row r="17" spans="1:1" ht="18">
      <c r="A17" s="9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0211-E361-4D3D-BA2F-31D62C291218}">
  <dimension ref="B2:I26"/>
  <sheetViews>
    <sheetView showGridLines="0" topLeftCell="B1" workbookViewId="0">
      <selection activeCell="J16" sqref="J16"/>
    </sheetView>
  </sheetViews>
  <sheetFormatPr defaultRowHeight="14.4"/>
  <cols>
    <col min="2" max="2" width="35.33203125" bestFit="1" customWidth="1"/>
  </cols>
  <sheetData>
    <row r="2" spans="2:9" ht="18">
      <c r="B2" s="10" t="s">
        <v>10</v>
      </c>
      <c r="C2" s="10"/>
      <c r="D2" s="10"/>
      <c r="E2" s="10"/>
      <c r="F2" s="10"/>
      <c r="G2" s="10"/>
      <c r="H2" s="10"/>
      <c r="I2" s="10"/>
    </row>
    <row r="3" spans="2:9" ht="18">
      <c r="B3" s="11" t="s">
        <v>0</v>
      </c>
      <c r="C3" s="11">
        <v>2018</v>
      </c>
      <c r="D3" s="11">
        <v>2019</v>
      </c>
      <c r="E3" s="11">
        <v>2020</v>
      </c>
      <c r="F3" s="11">
        <v>2021</v>
      </c>
      <c r="G3" s="11">
        <v>2022</v>
      </c>
      <c r="H3" s="11">
        <v>2023</v>
      </c>
      <c r="I3" s="11">
        <v>2024</v>
      </c>
    </row>
    <row r="4" spans="2:9" ht="18">
      <c r="B4" s="11" t="s">
        <v>11</v>
      </c>
      <c r="C4" s="11">
        <v>195.7</v>
      </c>
      <c r="D4" s="11">
        <v>225.16</v>
      </c>
      <c r="E4" s="11">
        <v>241.42</v>
      </c>
      <c r="F4" s="11">
        <v>215.6</v>
      </c>
      <c r="G4" s="11">
        <v>226.8</v>
      </c>
      <c r="H4" s="11">
        <v>258.8</v>
      </c>
      <c r="I4" s="11">
        <v>286.89999999999998</v>
      </c>
    </row>
    <row r="5" spans="2:9" ht="18">
      <c r="B5" s="11" t="s">
        <v>12</v>
      </c>
      <c r="C5" s="11">
        <v>74</v>
      </c>
      <c r="D5" s="11">
        <v>84.5</v>
      </c>
      <c r="E5" s="11">
        <v>93.2</v>
      </c>
      <c r="F5" s="11">
        <v>92</v>
      </c>
      <c r="G5" s="11">
        <v>88.5</v>
      </c>
      <c r="H5" s="11">
        <v>105</v>
      </c>
      <c r="I5" s="11">
        <v>116.2</v>
      </c>
    </row>
    <row r="6" spans="2:9" ht="18">
      <c r="B6" s="11" t="s">
        <v>13</v>
      </c>
      <c r="C6" s="11">
        <v>7</v>
      </c>
      <c r="D6" s="11">
        <v>5</v>
      </c>
      <c r="E6" s="11">
        <v>7</v>
      </c>
      <c r="F6" s="11">
        <v>5</v>
      </c>
      <c r="G6" s="11">
        <v>6</v>
      </c>
      <c r="H6" s="11">
        <v>7</v>
      </c>
      <c r="I6" s="11">
        <v>9</v>
      </c>
    </row>
    <row r="7" spans="2:9" ht="18">
      <c r="B7" s="11" t="s">
        <v>14</v>
      </c>
      <c r="C7" s="11">
        <v>71</v>
      </c>
      <c r="D7" s="11">
        <v>80</v>
      </c>
      <c r="E7" s="11">
        <v>38</v>
      </c>
      <c r="F7" s="11">
        <v>27</v>
      </c>
      <c r="G7" s="11">
        <v>29</v>
      </c>
      <c r="H7" s="11">
        <v>25</v>
      </c>
      <c r="I7" s="11">
        <v>104</v>
      </c>
    </row>
    <row r="8" spans="2:9" ht="18">
      <c r="B8" s="10"/>
      <c r="C8" s="10"/>
      <c r="D8" s="10"/>
      <c r="E8" s="10"/>
      <c r="F8" s="10"/>
      <c r="G8" s="10"/>
      <c r="H8" s="10"/>
      <c r="I8" s="10"/>
    </row>
    <row r="9" spans="2:9" ht="18">
      <c r="B9" s="10"/>
      <c r="C9" s="10"/>
      <c r="D9" s="10"/>
      <c r="E9" s="10"/>
      <c r="F9" s="10"/>
      <c r="G9" s="10"/>
      <c r="H9" s="10"/>
      <c r="I9" s="10"/>
    </row>
    <row r="10" spans="2:9" ht="18">
      <c r="B10" s="10" t="s">
        <v>116</v>
      </c>
      <c r="C10" s="10"/>
      <c r="D10" s="10"/>
      <c r="E10" s="10"/>
      <c r="F10" s="10"/>
      <c r="G10" s="10"/>
      <c r="H10" s="10"/>
      <c r="I10" s="10"/>
    </row>
    <row r="11" spans="2:9" ht="18">
      <c r="B11" s="11" t="s">
        <v>0</v>
      </c>
      <c r="C11" s="11">
        <v>2018</v>
      </c>
      <c r="D11" s="11">
        <v>2019</v>
      </c>
      <c r="E11" s="11">
        <v>2020</v>
      </c>
      <c r="F11" s="11">
        <v>2021</v>
      </c>
      <c r="G11" s="11">
        <v>2022</v>
      </c>
      <c r="H11" s="11">
        <v>2023</v>
      </c>
      <c r="I11" s="11">
        <v>2024</v>
      </c>
    </row>
    <row r="12" spans="2:9" ht="18">
      <c r="B12" s="11" t="s">
        <v>11</v>
      </c>
      <c r="C12" s="11"/>
      <c r="D12" s="12"/>
      <c r="E12" s="12"/>
      <c r="F12" s="12"/>
      <c r="G12" s="12"/>
      <c r="H12" s="12"/>
      <c r="I12" s="12"/>
    </row>
    <row r="13" spans="2:9" ht="18">
      <c r="B13" s="11" t="s">
        <v>12</v>
      </c>
      <c r="C13" s="11"/>
      <c r="D13" s="12"/>
      <c r="E13" s="12"/>
      <c r="F13" s="12"/>
      <c r="G13" s="12"/>
      <c r="H13" s="12"/>
      <c r="I13" s="12"/>
    </row>
    <row r="14" spans="2:9" ht="18">
      <c r="B14" s="11" t="s">
        <v>13</v>
      </c>
      <c r="C14" s="11"/>
      <c r="D14" s="12"/>
      <c r="E14" s="12"/>
      <c r="F14" s="12"/>
      <c r="G14" s="12"/>
      <c r="H14" s="12"/>
      <c r="I14" s="12"/>
    </row>
    <row r="15" spans="2:9" ht="18">
      <c r="B15" s="11" t="s">
        <v>14</v>
      </c>
      <c r="C15" s="11"/>
      <c r="D15" s="12"/>
      <c r="E15" s="12"/>
      <c r="F15" s="12"/>
      <c r="G15" s="12"/>
      <c r="H15" s="12"/>
      <c r="I15" s="12"/>
    </row>
    <row r="16" spans="2:9" ht="18">
      <c r="B16" s="10"/>
      <c r="C16" s="10"/>
      <c r="D16" s="10"/>
      <c r="E16" s="10"/>
      <c r="F16" s="10"/>
      <c r="G16" s="10"/>
      <c r="H16" s="10"/>
      <c r="I16" s="10"/>
    </row>
    <row r="17" spans="2:9" ht="18">
      <c r="B17" s="10"/>
      <c r="C17" s="10"/>
      <c r="D17" s="10"/>
      <c r="E17" s="10"/>
      <c r="F17" s="10"/>
      <c r="G17" s="10"/>
      <c r="H17" s="10"/>
      <c r="I17" s="10"/>
    </row>
    <row r="18" spans="2:9" ht="18">
      <c r="B18" s="10"/>
      <c r="C18" s="10"/>
      <c r="D18" s="10"/>
      <c r="E18" s="10"/>
      <c r="F18" s="10"/>
      <c r="G18" s="10"/>
      <c r="H18" s="10"/>
      <c r="I18" s="10"/>
    </row>
    <row r="19" spans="2:9" ht="18">
      <c r="B19" s="10"/>
      <c r="C19" s="10"/>
      <c r="D19" s="10"/>
      <c r="E19" s="10"/>
      <c r="F19" s="10"/>
      <c r="G19" s="10"/>
      <c r="H19" s="10"/>
      <c r="I19" s="10"/>
    </row>
    <row r="20" spans="2:9" ht="18">
      <c r="B20" s="10"/>
      <c r="C20" s="10"/>
      <c r="D20" s="10"/>
      <c r="E20" s="10"/>
      <c r="F20" s="10"/>
      <c r="G20" s="10"/>
      <c r="H20" s="10"/>
      <c r="I20" s="10"/>
    </row>
    <row r="21" spans="2:9" ht="18">
      <c r="B21" s="10"/>
      <c r="C21" s="10"/>
      <c r="D21" s="10"/>
      <c r="E21" s="10"/>
      <c r="F21" s="10"/>
      <c r="G21" s="10"/>
      <c r="H21" s="10"/>
      <c r="I21" s="10"/>
    </row>
    <row r="22" spans="2:9" ht="18">
      <c r="B22" s="10"/>
      <c r="C22" s="10"/>
      <c r="D22" s="10"/>
      <c r="E22" s="10"/>
      <c r="F22" s="10"/>
      <c r="G22" s="10"/>
      <c r="H22" s="10"/>
      <c r="I22" s="10"/>
    </row>
    <row r="23" spans="2:9" ht="18">
      <c r="B23" s="10"/>
      <c r="C23" s="10"/>
      <c r="D23" s="10"/>
      <c r="E23" s="10"/>
      <c r="F23" s="10"/>
      <c r="G23" s="10"/>
      <c r="H23" s="10"/>
      <c r="I23" s="10"/>
    </row>
    <row r="24" spans="2:9" ht="18">
      <c r="B24" s="10"/>
      <c r="C24" s="10"/>
      <c r="D24" s="10"/>
      <c r="E24" s="10"/>
      <c r="F24" s="10"/>
      <c r="G24" s="10"/>
      <c r="H24" s="10"/>
      <c r="I24" s="10"/>
    </row>
    <row r="25" spans="2:9" ht="18">
      <c r="B25" s="10"/>
      <c r="C25" s="10"/>
      <c r="D25" s="10"/>
      <c r="E25" s="10"/>
      <c r="F25" s="10"/>
      <c r="G25" s="10"/>
      <c r="H25" s="10"/>
      <c r="I25" s="10"/>
    </row>
    <row r="26" spans="2:9" ht="18">
      <c r="B26" s="10"/>
      <c r="C26" s="10"/>
      <c r="D26" s="10"/>
      <c r="E26" s="10"/>
      <c r="F26" s="10"/>
      <c r="G26" s="10"/>
      <c r="H26" s="10"/>
      <c r="I2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3C37-418A-4E48-9848-2E3A20DC1F16}">
  <dimension ref="B2:I26"/>
  <sheetViews>
    <sheetView showGridLines="0" topLeftCell="B1" workbookViewId="0">
      <selection activeCell="H19" sqref="H19"/>
    </sheetView>
  </sheetViews>
  <sheetFormatPr defaultRowHeight="14.4"/>
  <cols>
    <col min="2" max="2" width="35.33203125" bestFit="1" customWidth="1"/>
  </cols>
  <sheetData>
    <row r="2" spans="2:9" ht="18">
      <c r="B2" s="10" t="s">
        <v>10</v>
      </c>
      <c r="C2" s="10"/>
      <c r="D2" s="10"/>
      <c r="E2" s="10"/>
      <c r="F2" s="10"/>
      <c r="G2" s="10"/>
      <c r="H2" s="10"/>
      <c r="I2" s="10"/>
    </row>
    <row r="3" spans="2:9" ht="18">
      <c r="B3" s="11" t="s">
        <v>0</v>
      </c>
      <c r="C3" s="11">
        <v>2018</v>
      </c>
      <c r="D3" s="11">
        <v>2019</v>
      </c>
      <c r="E3" s="11">
        <v>2020</v>
      </c>
      <c r="F3" s="11">
        <v>2021</v>
      </c>
      <c r="G3" s="11">
        <v>2022</v>
      </c>
      <c r="H3" s="11">
        <v>2023</v>
      </c>
      <c r="I3" s="11">
        <v>2024</v>
      </c>
    </row>
    <row r="4" spans="2:9" ht="18">
      <c r="B4" s="11" t="s">
        <v>11</v>
      </c>
      <c r="C4" s="11">
        <v>195.7</v>
      </c>
      <c r="D4" s="11">
        <v>225.16</v>
      </c>
      <c r="E4" s="11">
        <v>241.42</v>
      </c>
      <c r="F4" s="11">
        <v>215.6</v>
      </c>
      <c r="G4" s="11">
        <v>226.8</v>
      </c>
      <c r="H4" s="11">
        <v>258.8</v>
      </c>
      <c r="I4" s="11">
        <v>286.89999999999998</v>
      </c>
    </row>
    <row r="5" spans="2:9" ht="18">
      <c r="B5" s="11" t="s">
        <v>12</v>
      </c>
      <c r="C5" s="11">
        <v>74</v>
      </c>
      <c r="D5" s="11">
        <v>84.5</v>
      </c>
      <c r="E5" s="11">
        <v>93.2</v>
      </c>
      <c r="F5" s="11">
        <v>92</v>
      </c>
      <c r="G5" s="11">
        <v>88.5</v>
      </c>
      <c r="H5" s="11">
        <v>105</v>
      </c>
      <c r="I5" s="11">
        <v>116.2</v>
      </c>
    </row>
    <row r="6" spans="2:9" ht="18">
      <c r="B6" s="11" t="s">
        <v>13</v>
      </c>
      <c r="C6" s="11">
        <v>7</v>
      </c>
      <c r="D6" s="11">
        <v>5</v>
      </c>
      <c r="E6" s="11">
        <v>7</v>
      </c>
      <c r="F6" s="11">
        <v>5</v>
      </c>
      <c r="G6" s="11">
        <v>6</v>
      </c>
      <c r="H6" s="11">
        <v>7</v>
      </c>
      <c r="I6" s="11">
        <v>9</v>
      </c>
    </row>
    <row r="7" spans="2:9" ht="18">
      <c r="B7" s="11" t="s">
        <v>14</v>
      </c>
      <c r="C7" s="11">
        <v>71</v>
      </c>
      <c r="D7" s="11">
        <v>80</v>
      </c>
      <c r="E7" s="11">
        <v>38</v>
      </c>
      <c r="F7" s="11">
        <v>27</v>
      </c>
      <c r="G7" s="11">
        <v>29</v>
      </c>
      <c r="H7" s="11">
        <v>25</v>
      </c>
      <c r="I7" s="11">
        <v>104</v>
      </c>
    </row>
    <row r="8" spans="2:9" ht="18">
      <c r="B8" s="10"/>
      <c r="C8" s="10"/>
      <c r="D8" s="10"/>
      <c r="E8" s="10"/>
      <c r="F8" s="10"/>
      <c r="G8" s="10"/>
      <c r="H8" s="10"/>
      <c r="I8" s="10"/>
    </row>
    <row r="9" spans="2:9" ht="18">
      <c r="B9" s="10"/>
      <c r="C9" s="10"/>
      <c r="D9" s="10"/>
      <c r="E9" s="10"/>
      <c r="F9" s="10"/>
      <c r="G9" s="10"/>
      <c r="H9" s="10"/>
      <c r="I9" s="10"/>
    </row>
    <row r="10" spans="2:9" ht="18">
      <c r="B10" s="10" t="s">
        <v>116</v>
      </c>
      <c r="C10" s="10"/>
      <c r="D10" s="10"/>
      <c r="E10" s="10"/>
      <c r="F10" s="10"/>
      <c r="G10" s="10"/>
      <c r="H10" s="10"/>
      <c r="I10" s="10"/>
    </row>
    <row r="11" spans="2:9" ht="18">
      <c r="B11" s="11" t="s">
        <v>0</v>
      </c>
      <c r="C11" s="11">
        <v>2018</v>
      </c>
      <c r="D11" s="11">
        <v>2019</v>
      </c>
      <c r="E11" s="11">
        <v>2020</v>
      </c>
      <c r="F11" s="11">
        <v>2021</v>
      </c>
      <c r="G11" s="11">
        <v>2022</v>
      </c>
      <c r="H11" s="11">
        <v>2023</v>
      </c>
      <c r="I11" s="11">
        <v>2024</v>
      </c>
    </row>
    <row r="12" spans="2:9" ht="18">
      <c r="B12" s="11" t="s">
        <v>11</v>
      </c>
      <c r="C12" s="11"/>
      <c r="D12" s="12">
        <f>D4/$C4</f>
        <v>1.1505365355135413</v>
      </c>
      <c r="E12" s="12">
        <f t="shared" ref="E12:I15" si="0">E4/$C4</f>
        <v>1.233622892181911</v>
      </c>
      <c r="F12" s="12">
        <f t="shared" si="0"/>
        <v>1.1016862544711292</v>
      </c>
      <c r="G12" s="12">
        <f t="shared" si="0"/>
        <v>1.1589167092488504</v>
      </c>
      <c r="H12" s="12">
        <f t="shared" si="0"/>
        <v>1.3224322943280533</v>
      </c>
      <c r="I12" s="12">
        <f t="shared" si="0"/>
        <v>1.4660194174757282</v>
      </c>
    </row>
    <row r="13" spans="2:9" ht="18">
      <c r="B13" s="11" t="s">
        <v>12</v>
      </c>
      <c r="C13" s="11"/>
      <c r="D13" s="12">
        <f>D5/$C5</f>
        <v>1.1418918918918919</v>
      </c>
      <c r="E13" s="12">
        <f t="shared" si="0"/>
        <v>1.2594594594594595</v>
      </c>
      <c r="F13" s="12">
        <f t="shared" si="0"/>
        <v>1.2432432432432432</v>
      </c>
      <c r="G13" s="12">
        <f t="shared" si="0"/>
        <v>1.1959459459459461</v>
      </c>
      <c r="H13" s="12">
        <f t="shared" si="0"/>
        <v>1.4189189189189189</v>
      </c>
      <c r="I13" s="12">
        <f t="shared" si="0"/>
        <v>1.5702702702702702</v>
      </c>
    </row>
    <row r="14" spans="2:9" ht="18">
      <c r="B14" s="11" t="s">
        <v>13</v>
      </c>
      <c r="C14" s="11"/>
      <c r="D14" s="12">
        <f>D6/$C6</f>
        <v>0.7142857142857143</v>
      </c>
      <c r="E14" s="12">
        <f t="shared" si="0"/>
        <v>1</v>
      </c>
      <c r="F14" s="12">
        <f t="shared" si="0"/>
        <v>0.7142857142857143</v>
      </c>
      <c r="G14" s="12">
        <f t="shared" si="0"/>
        <v>0.8571428571428571</v>
      </c>
      <c r="H14" s="12">
        <f t="shared" si="0"/>
        <v>1</v>
      </c>
      <c r="I14" s="12">
        <f t="shared" si="0"/>
        <v>1.2857142857142858</v>
      </c>
    </row>
    <row r="15" spans="2:9" ht="18">
      <c r="B15" s="11" t="s">
        <v>14</v>
      </c>
      <c r="C15" s="11"/>
      <c r="D15" s="12">
        <f>D7/$C7</f>
        <v>1.1267605633802817</v>
      </c>
      <c r="E15" s="12">
        <f t="shared" si="0"/>
        <v>0.53521126760563376</v>
      </c>
      <c r="F15" s="12">
        <f t="shared" si="0"/>
        <v>0.38028169014084506</v>
      </c>
      <c r="G15" s="12">
        <f t="shared" si="0"/>
        <v>0.40845070422535212</v>
      </c>
      <c r="H15" s="12">
        <f t="shared" si="0"/>
        <v>0.352112676056338</v>
      </c>
      <c r="I15" s="12">
        <f t="shared" si="0"/>
        <v>1.4647887323943662</v>
      </c>
    </row>
    <row r="16" spans="2:9" ht="18">
      <c r="B16" s="10"/>
      <c r="C16" s="10"/>
      <c r="D16" s="10"/>
      <c r="E16" s="10"/>
      <c r="F16" s="10"/>
      <c r="G16" s="10"/>
      <c r="H16" s="10"/>
      <c r="I16" s="10"/>
    </row>
    <row r="17" spans="2:9" ht="18">
      <c r="B17" s="10"/>
      <c r="C17" s="10"/>
      <c r="D17" s="10"/>
      <c r="E17" s="10"/>
      <c r="F17" s="10"/>
      <c r="G17" s="10"/>
      <c r="H17" s="10"/>
      <c r="I17" s="10"/>
    </row>
    <row r="18" spans="2:9" ht="18">
      <c r="B18" s="10"/>
      <c r="C18" s="10"/>
      <c r="D18" s="10"/>
      <c r="E18" s="10"/>
      <c r="F18" s="10"/>
      <c r="G18" s="10"/>
      <c r="H18" s="10"/>
      <c r="I18" s="10"/>
    </row>
    <row r="19" spans="2:9" ht="18">
      <c r="B19" s="10"/>
      <c r="C19" s="10"/>
      <c r="D19" s="10"/>
      <c r="E19" s="10"/>
      <c r="F19" s="10"/>
      <c r="G19" s="10"/>
      <c r="H19" s="10"/>
      <c r="I19" s="10"/>
    </row>
    <row r="20" spans="2:9" ht="18">
      <c r="B20" s="10"/>
      <c r="C20" s="10"/>
      <c r="D20" s="10"/>
      <c r="E20" s="10"/>
      <c r="F20" s="10"/>
      <c r="G20" s="10"/>
      <c r="H20" s="10"/>
      <c r="I20" s="10"/>
    </row>
    <row r="21" spans="2:9" ht="18">
      <c r="B21" s="10"/>
      <c r="C21" s="10"/>
      <c r="D21" s="10"/>
      <c r="E21" s="10"/>
      <c r="F21" s="10"/>
      <c r="G21" s="10"/>
      <c r="H21" s="10"/>
      <c r="I21" s="10"/>
    </row>
    <row r="22" spans="2:9" ht="18">
      <c r="B22" s="10"/>
      <c r="C22" s="10"/>
      <c r="D22" s="10"/>
      <c r="E22" s="10"/>
      <c r="F22" s="10"/>
      <c r="G22" s="10"/>
      <c r="H22" s="10"/>
      <c r="I22" s="10"/>
    </row>
    <row r="23" spans="2:9" ht="18">
      <c r="B23" s="10"/>
      <c r="C23" s="10"/>
      <c r="D23" s="10"/>
      <c r="E23" s="10"/>
      <c r="F23" s="10"/>
      <c r="G23" s="10"/>
      <c r="H23" s="10"/>
      <c r="I23" s="10"/>
    </row>
    <row r="24" spans="2:9" ht="18">
      <c r="B24" s="10"/>
      <c r="C24" s="10"/>
      <c r="D24" s="10"/>
      <c r="E24" s="10"/>
      <c r="F24" s="10"/>
      <c r="G24" s="10"/>
      <c r="H24" s="10"/>
      <c r="I24" s="10"/>
    </row>
    <row r="25" spans="2:9" ht="18">
      <c r="B25" s="10"/>
      <c r="C25" s="10"/>
      <c r="D25" s="10"/>
      <c r="E25" s="10"/>
      <c r="F25" s="10"/>
      <c r="G25" s="10"/>
      <c r="H25" s="10"/>
      <c r="I25" s="10"/>
    </row>
    <row r="26" spans="2:9" ht="18">
      <c r="B26" s="10"/>
      <c r="C26" s="10"/>
      <c r="D26" s="10"/>
      <c r="E26" s="10"/>
      <c r="F26" s="10"/>
      <c r="G26" s="10"/>
      <c r="H26" s="10"/>
      <c r="I2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C4DC-362C-4FE3-86BF-AA39CE0F03F9}">
  <dimension ref="B1:H24"/>
  <sheetViews>
    <sheetView showGridLines="0" topLeftCell="B3" workbookViewId="0">
      <selection activeCell="C20" sqref="C20:H20"/>
    </sheetView>
  </sheetViews>
  <sheetFormatPr defaultRowHeight="14.4"/>
  <cols>
    <col min="2" max="2" width="49.77734375" customWidth="1"/>
  </cols>
  <sheetData>
    <row r="1" spans="2:8" ht="18">
      <c r="B1" s="10"/>
      <c r="C1" s="10"/>
      <c r="D1" s="10"/>
      <c r="E1" s="10"/>
      <c r="F1" s="10"/>
      <c r="G1" s="10"/>
      <c r="H1" s="10"/>
    </row>
    <row r="2" spans="2:8" ht="18">
      <c r="B2" s="10" t="s">
        <v>10</v>
      </c>
      <c r="C2" s="10"/>
      <c r="D2" s="10"/>
      <c r="E2" s="10"/>
      <c r="F2" s="10"/>
      <c r="G2" s="10"/>
      <c r="H2" s="10"/>
    </row>
    <row r="3" spans="2:8" ht="18">
      <c r="B3" s="11" t="s">
        <v>0</v>
      </c>
      <c r="C3" s="11">
        <v>2019</v>
      </c>
      <c r="D3" s="11">
        <v>2020</v>
      </c>
      <c r="E3" s="11">
        <v>2021</v>
      </c>
      <c r="F3" s="11">
        <v>2022</v>
      </c>
      <c r="G3" s="11">
        <v>2023</v>
      </c>
      <c r="H3" s="11">
        <v>2024</v>
      </c>
    </row>
    <row r="4" spans="2:8" ht="18">
      <c r="B4" s="11" t="s">
        <v>11</v>
      </c>
      <c r="C4" s="11">
        <v>225.16</v>
      </c>
      <c r="D4" s="11">
        <v>241.42</v>
      </c>
      <c r="E4" s="11">
        <v>215.6</v>
      </c>
      <c r="F4" s="11">
        <v>226.8</v>
      </c>
      <c r="G4" s="11">
        <v>258.8</v>
      </c>
      <c r="H4" s="11">
        <v>286.89999999999998</v>
      </c>
    </row>
    <row r="5" spans="2:8" ht="18">
      <c r="B5" s="11" t="s">
        <v>12</v>
      </c>
      <c r="C5" s="11">
        <v>84.5</v>
      </c>
      <c r="D5" s="11">
        <v>93.2</v>
      </c>
      <c r="E5" s="11">
        <v>92</v>
      </c>
      <c r="F5" s="11">
        <v>88.5</v>
      </c>
      <c r="G5" s="11">
        <v>105</v>
      </c>
      <c r="H5" s="11">
        <v>116.2</v>
      </c>
    </row>
    <row r="6" spans="2:8" ht="18">
      <c r="B6" s="11" t="s">
        <v>13</v>
      </c>
      <c r="C6" s="11">
        <v>5</v>
      </c>
      <c r="D6" s="11">
        <v>7</v>
      </c>
      <c r="E6" s="11">
        <v>5</v>
      </c>
      <c r="F6" s="11">
        <v>6</v>
      </c>
      <c r="G6" s="11">
        <v>7</v>
      </c>
      <c r="H6" s="11">
        <v>9</v>
      </c>
    </row>
    <row r="7" spans="2:8" ht="18">
      <c r="B7" s="11" t="s">
        <v>14</v>
      </c>
      <c r="C7" s="11">
        <v>80</v>
      </c>
      <c r="D7" s="11">
        <v>38</v>
      </c>
      <c r="E7" s="11">
        <v>27</v>
      </c>
      <c r="F7" s="11">
        <v>29</v>
      </c>
      <c r="G7" s="11">
        <v>25</v>
      </c>
      <c r="H7" s="11">
        <v>104</v>
      </c>
    </row>
    <row r="8" spans="2:8" ht="18">
      <c r="B8" s="10"/>
      <c r="C8" s="10"/>
      <c r="D8" s="10"/>
      <c r="E8" s="10"/>
      <c r="F8" s="10"/>
      <c r="G8" s="10"/>
      <c r="H8" s="10"/>
    </row>
    <row r="9" spans="2:8" ht="18">
      <c r="B9" s="10" t="s">
        <v>88</v>
      </c>
    </row>
    <row r="11" spans="2:8" ht="18">
      <c r="B11" s="11" t="s">
        <v>0</v>
      </c>
      <c r="C11" s="11">
        <v>2019</v>
      </c>
      <c r="D11" s="11">
        <v>2020</v>
      </c>
      <c r="E11" s="11">
        <v>2021</v>
      </c>
      <c r="F11" s="11">
        <v>2022</v>
      </c>
      <c r="G11" s="11">
        <v>2023</v>
      </c>
      <c r="H11" s="11">
        <v>2024</v>
      </c>
    </row>
    <row r="12" spans="2:8" ht="18">
      <c r="B12" s="11" t="s">
        <v>11</v>
      </c>
      <c r="C12" s="76"/>
      <c r="D12" s="77"/>
      <c r="E12" s="76"/>
      <c r="F12" s="77"/>
      <c r="G12" s="76"/>
      <c r="H12" s="77"/>
    </row>
    <row r="13" spans="2:8" ht="18">
      <c r="B13" s="11" t="s">
        <v>12</v>
      </c>
      <c r="C13" s="76"/>
      <c r="D13" s="77"/>
      <c r="E13" s="76"/>
      <c r="F13" s="77"/>
      <c r="G13" s="76"/>
      <c r="H13" s="77"/>
    </row>
    <row r="14" spans="2:8" ht="18">
      <c r="B14" s="11" t="s">
        <v>13</v>
      </c>
      <c r="C14" s="76"/>
      <c r="D14" s="77"/>
      <c r="E14" s="76"/>
      <c r="F14" s="77"/>
      <c r="G14" s="76"/>
      <c r="H14" s="77"/>
    </row>
    <row r="15" spans="2:8" ht="18">
      <c r="B15" s="11" t="s">
        <v>14</v>
      </c>
      <c r="C15" s="76"/>
      <c r="D15" s="77"/>
      <c r="E15" s="76"/>
      <c r="F15" s="77"/>
      <c r="G15" s="76"/>
      <c r="H15" s="77"/>
    </row>
    <row r="18" spans="2:8" ht="18">
      <c r="B18" s="10" t="s">
        <v>55</v>
      </c>
      <c r="C18" s="10" t="s">
        <v>89</v>
      </c>
    </row>
    <row r="20" spans="2:8" ht="18">
      <c r="B20" s="11" t="s">
        <v>0</v>
      </c>
      <c r="C20" s="11">
        <v>2019</v>
      </c>
      <c r="D20" s="11">
        <v>2020</v>
      </c>
      <c r="E20" s="11">
        <v>2021</v>
      </c>
      <c r="F20" s="11">
        <v>2022</v>
      </c>
      <c r="G20" s="11">
        <v>2023</v>
      </c>
      <c r="H20" s="11">
        <v>2024</v>
      </c>
    </row>
    <row r="21" spans="2:8" ht="18">
      <c r="B21" s="11" t="s">
        <v>11</v>
      </c>
      <c r="D21" s="43"/>
      <c r="E21" s="43"/>
      <c r="F21" s="43"/>
      <c r="G21" s="43"/>
      <c r="H21" s="43"/>
    </row>
    <row r="22" spans="2:8" ht="18">
      <c r="B22" s="11" t="s">
        <v>12</v>
      </c>
      <c r="C22" s="2"/>
      <c r="D22" s="43"/>
      <c r="E22" s="43"/>
      <c r="F22" s="43"/>
      <c r="G22" s="43"/>
      <c r="H22" s="43"/>
    </row>
    <row r="23" spans="2:8" ht="18">
      <c r="B23" s="11" t="s">
        <v>13</v>
      </c>
      <c r="C23" s="2"/>
      <c r="D23" s="43"/>
      <c r="E23" s="43"/>
      <c r="F23" s="43"/>
      <c r="G23" s="43"/>
      <c r="H23" s="43"/>
    </row>
    <row r="24" spans="2:8" ht="18">
      <c r="B24" s="11" t="s">
        <v>14</v>
      </c>
      <c r="C24" s="2"/>
      <c r="D24" s="43"/>
      <c r="E24" s="43"/>
      <c r="F24" s="43"/>
      <c r="G24" s="43"/>
      <c r="H24" s="43"/>
    </row>
  </sheetData>
  <mergeCells count="12"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4DBB-B99C-433D-987A-0ADC7FAF362C}">
  <dimension ref="B1:H24"/>
  <sheetViews>
    <sheetView showGridLines="0" topLeftCell="B5" workbookViewId="0">
      <selection activeCell="K12" sqref="K12"/>
    </sheetView>
  </sheetViews>
  <sheetFormatPr defaultRowHeight="14.4"/>
  <cols>
    <col min="2" max="2" width="49.77734375" customWidth="1"/>
  </cols>
  <sheetData>
    <row r="1" spans="2:8" ht="18">
      <c r="B1" s="10"/>
      <c r="C1" s="10"/>
      <c r="D1" s="10"/>
      <c r="E1" s="10"/>
      <c r="F1" s="10"/>
      <c r="G1" s="10"/>
      <c r="H1" s="10"/>
    </row>
    <row r="2" spans="2:8" ht="18">
      <c r="B2" s="10" t="s">
        <v>10</v>
      </c>
      <c r="C2" s="10"/>
      <c r="D2" s="10"/>
      <c r="E2" s="10"/>
      <c r="F2" s="10"/>
      <c r="G2" s="10"/>
      <c r="H2" s="10"/>
    </row>
    <row r="3" spans="2:8" ht="18">
      <c r="B3" s="11" t="s">
        <v>0</v>
      </c>
      <c r="C3" s="11">
        <v>2019</v>
      </c>
      <c r="D3" s="11">
        <v>2020</v>
      </c>
      <c r="E3" s="11">
        <v>2021</v>
      </c>
      <c r="F3" s="11">
        <v>2022</v>
      </c>
      <c r="G3" s="11">
        <v>2023</v>
      </c>
      <c r="H3" s="11">
        <v>2024</v>
      </c>
    </row>
    <row r="4" spans="2:8" ht="18">
      <c r="B4" s="11" t="s">
        <v>11</v>
      </c>
      <c r="C4" s="11">
        <v>225.16</v>
      </c>
      <c r="D4" s="11">
        <v>241.42</v>
      </c>
      <c r="E4" s="11">
        <v>215.6</v>
      </c>
      <c r="F4" s="11">
        <v>226.8</v>
      </c>
      <c r="G4" s="11">
        <v>258.8</v>
      </c>
      <c r="H4" s="11">
        <v>286.89999999999998</v>
      </c>
    </row>
    <row r="5" spans="2:8" ht="18">
      <c r="B5" s="11" t="s">
        <v>12</v>
      </c>
      <c r="C5" s="11">
        <v>84.5</v>
      </c>
      <c r="D5" s="11">
        <v>93.2</v>
      </c>
      <c r="E5" s="11">
        <v>92</v>
      </c>
      <c r="F5" s="11">
        <v>88.5</v>
      </c>
      <c r="G5" s="11">
        <v>105</v>
      </c>
      <c r="H5" s="11">
        <v>116.2</v>
      </c>
    </row>
    <row r="6" spans="2:8" ht="18">
      <c r="B6" s="11" t="s">
        <v>13</v>
      </c>
      <c r="C6" s="11">
        <v>5</v>
      </c>
      <c r="D6" s="11">
        <v>7</v>
      </c>
      <c r="E6" s="11">
        <v>5</v>
      </c>
      <c r="F6" s="11">
        <v>6</v>
      </c>
      <c r="G6" s="11">
        <v>7</v>
      </c>
      <c r="H6" s="11">
        <v>9</v>
      </c>
    </row>
    <row r="7" spans="2:8" ht="18">
      <c r="B7" s="11" t="s">
        <v>14</v>
      </c>
      <c r="C7" s="11">
        <v>80</v>
      </c>
      <c r="D7" s="11">
        <v>38</v>
      </c>
      <c r="E7" s="11">
        <v>27</v>
      </c>
      <c r="F7" s="11">
        <v>29</v>
      </c>
      <c r="G7" s="11">
        <v>25</v>
      </c>
      <c r="H7" s="11">
        <v>104</v>
      </c>
    </row>
    <row r="8" spans="2:8" ht="18">
      <c r="B8" s="10"/>
      <c r="C8" s="10"/>
      <c r="D8" s="10"/>
      <c r="E8" s="10"/>
      <c r="F8" s="10"/>
      <c r="G8" s="10"/>
      <c r="H8" s="10"/>
    </row>
    <row r="9" spans="2:8" ht="18">
      <c r="B9" s="10" t="s">
        <v>88</v>
      </c>
    </row>
    <row r="11" spans="2:8" ht="18">
      <c r="B11" s="11" t="s">
        <v>0</v>
      </c>
      <c r="C11" s="11">
        <v>2019</v>
      </c>
      <c r="D11" s="11">
        <v>2020</v>
      </c>
      <c r="E11" s="11">
        <v>2021</v>
      </c>
      <c r="F11" s="11">
        <v>2022</v>
      </c>
      <c r="G11" s="11">
        <v>2023</v>
      </c>
      <c r="H11" s="11">
        <v>2024</v>
      </c>
    </row>
    <row r="12" spans="2:8" ht="18">
      <c r="B12" s="11" t="s">
        <v>11</v>
      </c>
      <c r="C12" s="76">
        <f>AVERAGE(C4:D4)</f>
        <v>233.29</v>
      </c>
      <c r="D12" s="77"/>
      <c r="E12" s="76">
        <f t="shared" ref="E12" si="0">AVERAGE(E4:F4)</f>
        <v>221.2</v>
      </c>
      <c r="F12" s="77"/>
      <c r="G12" s="76">
        <f t="shared" ref="G12" si="1">AVERAGE(G4:H4)</f>
        <v>272.85000000000002</v>
      </c>
      <c r="H12" s="77"/>
    </row>
    <row r="13" spans="2:8" ht="18">
      <c r="B13" s="11" t="s">
        <v>12</v>
      </c>
      <c r="C13" s="76">
        <f t="shared" ref="C13:G15" si="2">AVERAGE(C5:D5)</f>
        <v>88.85</v>
      </c>
      <c r="D13" s="77"/>
      <c r="E13" s="76">
        <f t="shared" si="2"/>
        <v>90.25</v>
      </c>
      <c r="F13" s="77"/>
      <c r="G13" s="76">
        <f t="shared" si="2"/>
        <v>110.6</v>
      </c>
      <c r="H13" s="77"/>
    </row>
    <row r="14" spans="2:8" ht="18">
      <c r="B14" s="11" t="s">
        <v>13</v>
      </c>
      <c r="C14" s="76">
        <f t="shared" si="2"/>
        <v>6</v>
      </c>
      <c r="D14" s="77"/>
      <c r="E14" s="76">
        <f t="shared" si="2"/>
        <v>5.5</v>
      </c>
      <c r="F14" s="77"/>
      <c r="G14" s="76">
        <f t="shared" si="2"/>
        <v>8</v>
      </c>
      <c r="H14" s="77"/>
    </row>
    <row r="15" spans="2:8" ht="18">
      <c r="B15" s="11" t="s">
        <v>14</v>
      </c>
      <c r="C15" s="76">
        <f t="shared" si="2"/>
        <v>59</v>
      </c>
      <c r="D15" s="77"/>
      <c r="E15" s="76">
        <f t="shared" si="2"/>
        <v>28</v>
      </c>
      <c r="F15" s="77"/>
      <c r="G15" s="76">
        <f t="shared" si="2"/>
        <v>64.5</v>
      </c>
      <c r="H15" s="77"/>
    </row>
    <row r="18" spans="2:8" ht="18">
      <c r="B18" s="10" t="s">
        <v>55</v>
      </c>
      <c r="C18" s="10" t="s">
        <v>89</v>
      </c>
    </row>
    <row r="20" spans="2:8" ht="18">
      <c r="B20" s="11" t="s">
        <v>0</v>
      </c>
      <c r="C20" s="11">
        <v>2019</v>
      </c>
      <c r="D20" s="11">
        <v>2020</v>
      </c>
      <c r="E20" s="11">
        <v>2021</v>
      </c>
      <c r="F20" s="11">
        <v>2022</v>
      </c>
      <c r="G20" s="11">
        <v>2023</v>
      </c>
      <c r="H20" s="11">
        <v>2024</v>
      </c>
    </row>
    <row r="21" spans="2:8" ht="18">
      <c r="B21" s="11" t="s">
        <v>11</v>
      </c>
      <c r="C21" s="62"/>
      <c r="D21" s="43">
        <f t="shared" ref="D21:H24" si="3">AVERAGE(C4:D4)</f>
        <v>233.29</v>
      </c>
      <c r="E21" s="43">
        <f t="shared" si="3"/>
        <v>228.51</v>
      </c>
      <c r="F21" s="43">
        <f t="shared" si="3"/>
        <v>221.2</v>
      </c>
      <c r="G21" s="43">
        <f t="shared" si="3"/>
        <v>242.8</v>
      </c>
      <c r="H21" s="43">
        <f t="shared" si="3"/>
        <v>272.85000000000002</v>
      </c>
    </row>
    <row r="22" spans="2:8" ht="18">
      <c r="B22" s="11" t="s">
        <v>12</v>
      </c>
      <c r="C22" s="62"/>
      <c r="D22" s="43">
        <f t="shared" si="3"/>
        <v>88.85</v>
      </c>
      <c r="E22" s="43">
        <f t="shared" si="3"/>
        <v>92.6</v>
      </c>
      <c r="F22" s="43">
        <f t="shared" si="3"/>
        <v>90.25</v>
      </c>
      <c r="G22" s="43">
        <f t="shared" si="3"/>
        <v>96.75</v>
      </c>
      <c r="H22" s="43">
        <f t="shared" si="3"/>
        <v>110.6</v>
      </c>
    </row>
    <row r="23" spans="2:8" ht="18">
      <c r="B23" s="11" t="s">
        <v>13</v>
      </c>
      <c r="C23" s="62"/>
      <c r="D23" s="43">
        <f t="shared" si="3"/>
        <v>6</v>
      </c>
      <c r="E23" s="43">
        <f t="shared" si="3"/>
        <v>6</v>
      </c>
      <c r="F23" s="43">
        <f t="shared" si="3"/>
        <v>5.5</v>
      </c>
      <c r="G23" s="43">
        <f t="shared" si="3"/>
        <v>6.5</v>
      </c>
      <c r="H23" s="43">
        <f t="shared" si="3"/>
        <v>8</v>
      </c>
    </row>
    <row r="24" spans="2:8" ht="18">
      <c r="B24" s="11" t="s">
        <v>14</v>
      </c>
      <c r="C24" s="62"/>
      <c r="D24" s="43">
        <f t="shared" si="3"/>
        <v>59</v>
      </c>
      <c r="E24" s="43">
        <f t="shared" si="3"/>
        <v>32.5</v>
      </c>
      <c r="F24" s="43">
        <f t="shared" si="3"/>
        <v>28</v>
      </c>
      <c r="G24" s="43">
        <f t="shared" si="3"/>
        <v>27</v>
      </c>
      <c r="H24" s="43">
        <f t="shared" si="3"/>
        <v>64.5</v>
      </c>
    </row>
  </sheetData>
  <mergeCells count="12">
    <mergeCell ref="C14:D14"/>
    <mergeCell ref="E14:F14"/>
    <mergeCell ref="G14:H14"/>
    <mergeCell ref="C15:D15"/>
    <mergeCell ref="E15:F15"/>
    <mergeCell ref="G15:H15"/>
    <mergeCell ref="C12:D12"/>
    <mergeCell ref="E12:F12"/>
    <mergeCell ref="G12:H12"/>
    <mergeCell ref="C13:D13"/>
    <mergeCell ref="E13:F13"/>
    <mergeCell ref="G13:H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ADAF-5C42-4ABA-8BF6-34D6E3E60F79}">
  <dimension ref="C2:N3"/>
  <sheetViews>
    <sheetView showGridLines="0" workbookViewId="0">
      <selection activeCell="O16" sqref="O16"/>
    </sheetView>
  </sheetViews>
  <sheetFormatPr defaultRowHeight="14.4"/>
  <sheetData>
    <row r="2" spans="3:14" ht="18"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  <c r="I2" s="11">
        <v>7</v>
      </c>
      <c r="J2" s="11">
        <v>8</v>
      </c>
      <c r="K2" s="11">
        <v>9</v>
      </c>
      <c r="L2" s="11">
        <v>10</v>
      </c>
      <c r="M2" s="11">
        <v>11</v>
      </c>
      <c r="N2" s="11">
        <v>12</v>
      </c>
    </row>
    <row r="3" spans="3:14" ht="18">
      <c r="C3" s="11">
        <v>90</v>
      </c>
      <c r="D3" s="11">
        <v>70</v>
      </c>
      <c r="E3" s="11">
        <v>80</v>
      </c>
      <c r="F3" s="11">
        <v>60</v>
      </c>
      <c r="G3" s="11">
        <v>70</v>
      </c>
      <c r="H3" s="11">
        <v>50</v>
      </c>
      <c r="I3" s="11">
        <v>70</v>
      </c>
      <c r="J3" s="11">
        <v>60</v>
      </c>
      <c r="K3" s="11">
        <v>80</v>
      </c>
      <c r="L3" s="11">
        <v>70</v>
      </c>
      <c r="M3" s="11">
        <v>90</v>
      </c>
      <c r="N3" s="1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E90A-8B90-4D4C-8A6D-F6D27FFAF5B2}">
  <dimension ref="B2:R44"/>
  <sheetViews>
    <sheetView showGridLines="0" topLeftCell="A3" workbookViewId="0">
      <selection activeCell="C27" sqref="C27"/>
    </sheetView>
  </sheetViews>
  <sheetFormatPr defaultRowHeight="14.4"/>
  <cols>
    <col min="2" max="2" width="33.44140625" bestFit="1" customWidth="1"/>
    <col min="3" max="3" width="11.6640625" bestFit="1" customWidth="1"/>
    <col min="15" max="15" width="13.109375" bestFit="1" customWidth="1"/>
  </cols>
  <sheetData>
    <row r="2" spans="2:18" ht="15.6">
      <c r="B2" s="17"/>
      <c r="C2" s="18" t="s">
        <v>25</v>
      </c>
      <c r="D2" s="18" t="s">
        <v>26</v>
      </c>
      <c r="E2" s="18" t="s">
        <v>27</v>
      </c>
      <c r="F2" s="18" t="s">
        <v>28</v>
      </c>
      <c r="G2" s="18" t="s">
        <v>29</v>
      </c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  <c r="N2" s="18" t="s">
        <v>36</v>
      </c>
      <c r="O2" s="30" t="s">
        <v>63</v>
      </c>
      <c r="P2" s="30" t="s">
        <v>64</v>
      </c>
      <c r="Q2" s="44"/>
      <c r="R2" s="45" t="s">
        <v>90</v>
      </c>
    </row>
    <row r="3" spans="2:18" ht="15.6">
      <c r="B3" s="19" t="s">
        <v>37</v>
      </c>
      <c r="C3" s="19">
        <v>960</v>
      </c>
      <c r="D3" s="19">
        <v>1140</v>
      </c>
      <c r="E3" s="19">
        <v>1260</v>
      </c>
      <c r="F3" s="19">
        <v>1140</v>
      </c>
      <c r="G3" s="19">
        <v>1800</v>
      </c>
      <c r="H3" s="19">
        <v>1980</v>
      </c>
      <c r="I3" s="19">
        <v>1260</v>
      </c>
      <c r="J3" s="19">
        <v>1340</v>
      </c>
      <c r="K3" s="19">
        <v>1240</v>
      </c>
      <c r="L3" s="19">
        <v>1800</v>
      </c>
      <c r="M3" s="19">
        <v>2200</v>
      </c>
      <c r="N3" s="19">
        <v>2600</v>
      </c>
      <c r="O3" s="19">
        <f>SUM(C3:N3)</f>
        <v>18720</v>
      </c>
      <c r="P3" s="19">
        <f>AVERAGE(C3:N3)</f>
        <v>1560</v>
      </c>
      <c r="R3" s="45" t="s">
        <v>91</v>
      </c>
    </row>
    <row r="4" spans="2:18" ht="15.6" hidden="1">
      <c r="B4" s="19" t="s">
        <v>38</v>
      </c>
      <c r="C4" s="19">
        <v>2400</v>
      </c>
      <c r="D4" s="19">
        <v>2850</v>
      </c>
      <c r="E4" s="19">
        <v>3150</v>
      </c>
      <c r="F4" s="19">
        <v>2850</v>
      </c>
      <c r="G4" s="19">
        <v>4500</v>
      </c>
      <c r="H4" s="19">
        <v>4950</v>
      </c>
      <c r="I4" s="19">
        <v>3150</v>
      </c>
      <c r="J4" s="19">
        <v>3350</v>
      </c>
      <c r="K4" s="19">
        <v>3100</v>
      </c>
      <c r="L4" s="19">
        <v>4500</v>
      </c>
      <c r="M4" s="19">
        <v>5500</v>
      </c>
      <c r="N4" s="19">
        <v>6500</v>
      </c>
      <c r="R4" s="45"/>
    </row>
    <row r="5" spans="2:18" ht="15.6" hidden="1">
      <c r="B5" s="19" t="s">
        <v>39</v>
      </c>
      <c r="C5" s="19">
        <v>1248</v>
      </c>
      <c r="D5" s="19">
        <v>1482</v>
      </c>
      <c r="E5" s="19">
        <v>1638</v>
      </c>
      <c r="F5" s="19">
        <v>1482</v>
      </c>
      <c r="G5" s="19">
        <v>2340</v>
      </c>
      <c r="H5" s="19">
        <v>2574</v>
      </c>
      <c r="I5" s="19">
        <v>1638</v>
      </c>
      <c r="J5" s="19">
        <v>1742</v>
      </c>
      <c r="K5" s="19">
        <v>1612</v>
      </c>
      <c r="L5" s="19">
        <v>2340</v>
      </c>
      <c r="M5" s="19">
        <v>2860</v>
      </c>
      <c r="N5" s="19">
        <v>3380</v>
      </c>
      <c r="R5" s="45"/>
    </row>
    <row r="6" spans="2:18" ht="15.6" hidden="1">
      <c r="B6" s="19" t="s">
        <v>40</v>
      </c>
      <c r="C6" s="19">
        <v>58</v>
      </c>
      <c r="D6" s="19">
        <v>68</v>
      </c>
      <c r="E6" s="19">
        <v>76</v>
      </c>
      <c r="F6" s="19">
        <v>68</v>
      </c>
      <c r="G6" s="19">
        <v>108</v>
      </c>
      <c r="H6" s="19">
        <v>119</v>
      </c>
      <c r="I6" s="19">
        <v>76</v>
      </c>
      <c r="J6" s="19">
        <v>80</v>
      </c>
      <c r="K6" s="19">
        <v>74</v>
      </c>
      <c r="L6" s="19">
        <v>108</v>
      </c>
      <c r="M6" s="19">
        <v>132</v>
      </c>
      <c r="N6" s="19">
        <v>156</v>
      </c>
      <c r="R6" s="45"/>
    </row>
    <row r="7" spans="2:18" ht="15.6" hidden="1">
      <c r="B7" s="19" t="s">
        <v>41</v>
      </c>
      <c r="C7" s="19">
        <v>72</v>
      </c>
      <c r="D7" s="19">
        <v>86</v>
      </c>
      <c r="E7" s="19">
        <v>95</v>
      </c>
      <c r="F7" s="19">
        <v>86</v>
      </c>
      <c r="G7" s="19">
        <v>135</v>
      </c>
      <c r="H7" s="19">
        <v>149</v>
      </c>
      <c r="I7" s="19">
        <v>94</v>
      </c>
      <c r="J7" s="19">
        <v>101</v>
      </c>
      <c r="K7" s="19">
        <v>93</v>
      </c>
      <c r="L7" s="19">
        <v>135</v>
      </c>
      <c r="M7" s="19">
        <v>165</v>
      </c>
      <c r="N7" s="19">
        <v>195</v>
      </c>
      <c r="R7" s="45"/>
    </row>
    <row r="8" spans="2:18" ht="15.6" hidden="1">
      <c r="B8" s="19" t="s">
        <v>42</v>
      </c>
      <c r="C8" s="19">
        <v>48</v>
      </c>
      <c r="D8" s="19">
        <v>57</v>
      </c>
      <c r="E8" s="19">
        <v>63</v>
      </c>
      <c r="F8" s="19">
        <v>57</v>
      </c>
      <c r="G8" s="19">
        <v>90</v>
      </c>
      <c r="H8" s="19">
        <v>99</v>
      </c>
      <c r="I8" s="19">
        <v>63</v>
      </c>
      <c r="J8" s="19">
        <v>67</v>
      </c>
      <c r="K8" s="19">
        <v>62</v>
      </c>
      <c r="L8" s="19">
        <v>90</v>
      </c>
      <c r="M8" s="19">
        <v>110</v>
      </c>
      <c r="N8" s="19">
        <v>130</v>
      </c>
      <c r="R8" s="45"/>
    </row>
    <row r="9" spans="2:18" ht="15.6" hidden="1">
      <c r="B9" s="19" t="s">
        <v>43</v>
      </c>
      <c r="C9" s="19">
        <v>2600</v>
      </c>
      <c r="D9" s="19">
        <v>4031</v>
      </c>
      <c r="E9" s="19">
        <v>1089</v>
      </c>
      <c r="F9" s="19">
        <v>6985</v>
      </c>
      <c r="G9" s="19">
        <v>1556</v>
      </c>
      <c r="H9" s="19">
        <v>1775</v>
      </c>
      <c r="I9" s="19">
        <v>7759</v>
      </c>
      <c r="J9" s="19">
        <v>1158</v>
      </c>
      <c r="K9" s="19">
        <v>3072</v>
      </c>
      <c r="L9" s="19">
        <v>1556</v>
      </c>
      <c r="M9" s="19">
        <v>17211</v>
      </c>
      <c r="N9" s="19">
        <v>2247</v>
      </c>
      <c r="R9" s="45"/>
    </row>
    <row r="10" spans="2:18" ht="15.6" hidden="1">
      <c r="B10" s="19" t="s">
        <v>44</v>
      </c>
      <c r="C10" s="19">
        <v>3020</v>
      </c>
      <c r="D10" s="19">
        <v>7460</v>
      </c>
      <c r="E10" s="19">
        <v>3268</v>
      </c>
      <c r="F10" s="19">
        <v>2956</v>
      </c>
      <c r="G10" s="19">
        <v>5668</v>
      </c>
      <c r="H10" s="19">
        <v>17530</v>
      </c>
      <c r="I10" s="19">
        <v>3266</v>
      </c>
      <c r="J10" s="19">
        <v>3474</v>
      </c>
      <c r="K10" s="19">
        <v>7216</v>
      </c>
      <c r="L10" s="19">
        <v>4668</v>
      </c>
      <c r="M10" s="19">
        <v>5704</v>
      </c>
      <c r="N10" s="19">
        <v>6740</v>
      </c>
      <c r="R10" s="45"/>
    </row>
    <row r="11" spans="2:18" ht="15.6" hidden="1">
      <c r="B11" s="19" t="s">
        <v>45</v>
      </c>
      <c r="C11" s="19">
        <v>6000</v>
      </c>
      <c r="D11" s="19">
        <v>2300</v>
      </c>
      <c r="E11" s="19">
        <v>10890</v>
      </c>
      <c r="F11" s="19">
        <v>3850</v>
      </c>
      <c r="G11" s="19">
        <v>14700</v>
      </c>
      <c r="H11" s="19">
        <v>4650</v>
      </c>
      <c r="I11" s="19">
        <v>4220</v>
      </c>
      <c r="J11" s="19">
        <v>11580</v>
      </c>
      <c r="K11" s="19">
        <v>4720</v>
      </c>
      <c r="L11" s="19">
        <v>15560</v>
      </c>
      <c r="M11" s="19">
        <v>3700</v>
      </c>
      <c r="N11" s="19">
        <v>22470</v>
      </c>
      <c r="R11" s="45"/>
    </row>
    <row r="12" spans="2:18" ht="15.6" hidden="1">
      <c r="B12" s="19" t="s">
        <v>46</v>
      </c>
      <c r="C12" s="19">
        <v>1920</v>
      </c>
      <c r="D12" s="19">
        <v>1680</v>
      </c>
      <c r="E12" s="19">
        <v>5080</v>
      </c>
      <c r="F12" s="19">
        <v>2280</v>
      </c>
      <c r="G12" s="19">
        <v>3600</v>
      </c>
      <c r="H12" s="19">
        <v>7600</v>
      </c>
      <c r="I12" s="19">
        <v>2520</v>
      </c>
      <c r="J12" s="19">
        <v>1600</v>
      </c>
      <c r="K12" s="19">
        <v>2480</v>
      </c>
      <c r="L12" s="19">
        <v>4600</v>
      </c>
      <c r="M12" s="19">
        <v>4400</v>
      </c>
      <c r="N12" s="19">
        <v>10200</v>
      </c>
      <c r="R12" s="45"/>
    </row>
    <row r="13" spans="2:18" ht="15.6" hidden="1">
      <c r="B13" s="19" t="s">
        <v>47</v>
      </c>
      <c r="C13" s="38">
        <v>2880</v>
      </c>
      <c r="D13" s="38">
        <v>4020</v>
      </c>
      <c r="E13" s="38">
        <v>1220</v>
      </c>
      <c r="F13" s="38">
        <v>3420</v>
      </c>
      <c r="G13" s="38">
        <v>5400</v>
      </c>
      <c r="H13" s="38">
        <v>2300</v>
      </c>
      <c r="I13" s="38">
        <v>3780</v>
      </c>
      <c r="J13" s="38">
        <v>5100</v>
      </c>
      <c r="K13" s="38">
        <v>3720</v>
      </c>
      <c r="L13" s="38">
        <v>4400</v>
      </c>
      <c r="M13" s="38">
        <v>6600</v>
      </c>
      <c r="N13" s="38">
        <v>7800</v>
      </c>
      <c r="R13" s="45"/>
    </row>
    <row r="14" spans="2:18" ht="15.6"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R14" s="45" t="s">
        <v>92</v>
      </c>
    </row>
    <row r="15" spans="2:18" ht="15.6">
      <c r="R15" s="45" t="s">
        <v>93</v>
      </c>
    </row>
    <row r="16" spans="2:18" ht="15.6">
      <c r="B16" s="17" t="s">
        <v>55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R16" s="45" t="s">
        <v>94</v>
      </c>
    </row>
    <row r="17" spans="2:18" ht="15.6">
      <c r="R17" s="45" t="s">
        <v>97</v>
      </c>
    </row>
    <row r="18" spans="2:18" ht="15.6">
      <c r="R18" s="45" t="s">
        <v>95</v>
      </c>
    </row>
    <row r="19" spans="2:18" ht="18">
      <c r="B19" s="29" t="s">
        <v>57</v>
      </c>
      <c r="C19" s="28">
        <v>1</v>
      </c>
      <c r="D19" s="28">
        <v>2</v>
      </c>
      <c r="E19" s="28">
        <v>3</v>
      </c>
      <c r="F19" s="28">
        <v>4</v>
      </c>
      <c r="G19" s="28">
        <v>5</v>
      </c>
      <c r="H19" s="28">
        <v>6</v>
      </c>
      <c r="I19" s="28">
        <v>7</v>
      </c>
      <c r="J19" s="28">
        <v>8</v>
      </c>
      <c r="K19" s="28">
        <v>9</v>
      </c>
      <c r="L19" s="28">
        <v>10</v>
      </c>
      <c r="M19" s="28">
        <v>11</v>
      </c>
      <c r="N19" s="28">
        <v>12</v>
      </c>
      <c r="O19" s="28" t="s">
        <v>65</v>
      </c>
      <c r="R19" s="45" t="s">
        <v>102</v>
      </c>
    </row>
    <row r="20" spans="2:18" ht="18" hidden="1">
      <c r="B20" s="29" t="s">
        <v>58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2:18" ht="18" hidden="1">
      <c r="B21" s="29" t="s">
        <v>59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2:18" ht="30" customHeight="1">
      <c r="B22" s="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R22" s="48" t="s">
        <v>101</v>
      </c>
    </row>
    <row r="23" spans="2:18" ht="28.8" customHeight="1">
      <c r="B23" s="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31">
        <f>SUM(C23:N23)</f>
        <v>0</v>
      </c>
    </row>
    <row r="24" spans="2:18" ht="27.6" customHeight="1">
      <c r="B24" s="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31">
        <f>SUM(C24:N24)</f>
        <v>0</v>
      </c>
    </row>
    <row r="25" spans="2:18" ht="27" customHeight="1"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2:18" ht="18">
      <c r="B26" s="10" t="s">
        <v>60</v>
      </c>
      <c r="C26" s="43">
        <v>883.64</v>
      </c>
    </row>
    <row r="27" spans="2:18" ht="18">
      <c r="B27" s="10" t="s">
        <v>61</v>
      </c>
      <c r="C27" s="43">
        <v>104.06</v>
      </c>
    </row>
    <row r="30" spans="2:18" ht="18">
      <c r="B30" s="10" t="s">
        <v>62</v>
      </c>
      <c r="F30" s="32"/>
      <c r="G30" s="33" t="s">
        <v>66</v>
      </c>
      <c r="J30" s="32" t="s">
        <v>56</v>
      </c>
      <c r="K30" s="65"/>
    </row>
    <row r="31" spans="2:18" ht="32.4" customHeight="1">
      <c r="G31" s="10" t="s">
        <v>96</v>
      </c>
    </row>
    <row r="32" spans="2:18" ht="18">
      <c r="B32" s="10" t="s">
        <v>67</v>
      </c>
    </row>
    <row r="33" spans="2:7" ht="18">
      <c r="C33" s="34" t="s">
        <v>68</v>
      </c>
      <c r="D33" s="35"/>
      <c r="E33" s="36"/>
      <c r="F33" s="36" t="s">
        <v>56</v>
      </c>
      <c r="G33" s="66"/>
    </row>
    <row r="36" spans="2:7" ht="22.8">
      <c r="B36" s="37" t="s">
        <v>69</v>
      </c>
      <c r="C36" s="71"/>
      <c r="E36" s="47" t="s">
        <v>98</v>
      </c>
      <c r="G36" s="34" t="s">
        <v>103</v>
      </c>
    </row>
    <row r="38" spans="2:7" ht="18">
      <c r="B38" s="37" t="s">
        <v>70</v>
      </c>
      <c r="C38" s="67"/>
      <c r="D38" s="67"/>
      <c r="G38" s="34" t="s">
        <v>99</v>
      </c>
    </row>
    <row r="39" spans="2:7" ht="18">
      <c r="G39" s="34" t="s">
        <v>100</v>
      </c>
    </row>
    <row r="44" spans="2:7" ht="25.8">
      <c r="B44" s="55" t="s">
        <v>104</v>
      </c>
      <c r="C44" s="67"/>
      <c r="E44" s="56" t="s">
        <v>105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931D-A2F4-457A-842B-A8E2C283828A}">
  <dimension ref="B2:R44"/>
  <sheetViews>
    <sheetView showGridLines="0" topLeftCell="A24" workbookViewId="0">
      <selection activeCell="C44" sqref="C44"/>
    </sheetView>
  </sheetViews>
  <sheetFormatPr defaultRowHeight="14.4"/>
  <cols>
    <col min="2" max="2" width="33.44140625" bestFit="1" customWidth="1"/>
    <col min="3" max="3" width="11.6640625" bestFit="1" customWidth="1"/>
    <col min="15" max="15" width="13.109375" bestFit="1" customWidth="1"/>
  </cols>
  <sheetData>
    <row r="2" spans="2:18" ht="15.6">
      <c r="B2" s="17"/>
      <c r="C2" s="18" t="s">
        <v>25</v>
      </c>
      <c r="D2" s="18" t="s">
        <v>26</v>
      </c>
      <c r="E2" s="18" t="s">
        <v>27</v>
      </c>
      <c r="F2" s="18" t="s">
        <v>28</v>
      </c>
      <c r="G2" s="18" t="s">
        <v>29</v>
      </c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  <c r="N2" s="18" t="s">
        <v>36</v>
      </c>
      <c r="O2" s="30" t="s">
        <v>63</v>
      </c>
      <c r="P2" s="30" t="s">
        <v>64</v>
      </c>
      <c r="R2" s="45" t="s">
        <v>90</v>
      </c>
    </row>
    <row r="3" spans="2:18" ht="15.6">
      <c r="B3" s="19" t="s">
        <v>37</v>
      </c>
      <c r="C3" s="19">
        <v>960</v>
      </c>
      <c r="D3" s="19">
        <v>1140</v>
      </c>
      <c r="E3" s="19">
        <v>1260</v>
      </c>
      <c r="F3" s="19">
        <v>1140</v>
      </c>
      <c r="G3" s="19">
        <v>1800</v>
      </c>
      <c r="H3" s="19">
        <v>1980</v>
      </c>
      <c r="I3" s="19">
        <v>1260</v>
      </c>
      <c r="J3" s="19">
        <v>1340</v>
      </c>
      <c r="K3" s="19">
        <v>1240</v>
      </c>
      <c r="L3" s="19">
        <v>1800</v>
      </c>
      <c r="M3" s="19">
        <v>2200</v>
      </c>
      <c r="N3" s="19">
        <v>2600</v>
      </c>
      <c r="O3" s="19">
        <f>SUM(C3:N3)</f>
        <v>18720</v>
      </c>
      <c r="P3" s="19">
        <f>AVERAGE(C3:N3)</f>
        <v>1560</v>
      </c>
      <c r="R3" s="45" t="s">
        <v>91</v>
      </c>
    </row>
    <row r="4" spans="2:18" ht="15.6" hidden="1">
      <c r="B4" s="19" t="s">
        <v>38</v>
      </c>
      <c r="C4" s="19">
        <v>2400</v>
      </c>
      <c r="D4" s="19">
        <v>2850</v>
      </c>
      <c r="E4" s="19">
        <v>3150</v>
      </c>
      <c r="F4" s="19">
        <v>2850</v>
      </c>
      <c r="G4" s="19">
        <v>4500</v>
      </c>
      <c r="H4" s="19">
        <v>4950</v>
      </c>
      <c r="I4" s="19">
        <v>3150</v>
      </c>
      <c r="J4" s="19">
        <v>3350</v>
      </c>
      <c r="K4" s="19">
        <v>3100</v>
      </c>
      <c r="L4" s="19">
        <v>4500</v>
      </c>
      <c r="M4" s="19">
        <v>5500</v>
      </c>
      <c r="N4" s="19">
        <v>6500</v>
      </c>
      <c r="R4" s="45"/>
    </row>
    <row r="5" spans="2:18" ht="15.6" hidden="1">
      <c r="B5" s="19" t="s">
        <v>39</v>
      </c>
      <c r="C5" s="19">
        <v>1248</v>
      </c>
      <c r="D5" s="19">
        <v>1482</v>
      </c>
      <c r="E5" s="19">
        <v>1638</v>
      </c>
      <c r="F5" s="19">
        <v>1482</v>
      </c>
      <c r="G5" s="19">
        <v>2340</v>
      </c>
      <c r="H5" s="19">
        <v>2574</v>
      </c>
      <c r="I5" s="19">
        <v>1638</v>
      </c>
      <c r="J5" s="19">
        <v>1742</v>
      </c>
      <c r="K5" s="19">
        <v>1612</v>
      </c>
      <c r="L5" s="19">
        <v>2340</v>
      </c>
      <c r="M5" s="19">
        <v>2860</v>
      </c>
      <c r="N5" s="19">
        <v>3380</v>
      </c>
      <c r="R5" s="45"/>
    </row>
    <row r="6" spans="2:18" ht="15.6" hidden="1">
      <c r="B6" s="19" t="s">
        <v>40</v>
      </c>
      <c r="C6" s="19">
        <v>58</v>
      </c>
      <c r="D6" s="19">
        <v>68</v>
      </c>
      <c r="E6" s="19">
        <v>76</v>
      </c>
      <c r="F6" s="19">
        <v>68</v>
      </c>
      <c r="G6" s="19">
        <v>108</v>
      </c>
      <c r="H6" s="19">
        <v>119</v>
      </c>
      <c r="I6" s="19">
        <v>76</v>
      </c>
      <c r="J6" s="19">
        <v>80</v>
      </c>
      <c r="K6" s="19">
        <v>74</v>
      </c>
      <c r="L6" s="19">
        <v>108</v>
      </c>
      <c r="M6" s="19">
        <v>132</v>
      </c>
      <c r="N6" s="19">
        <v>156</v>
      </c>
      <c r="R6" s="45"/>
    </row>
    <row r="7" spans="2:18" ht="15.6" hidden="1">
      <c r="B7" s="19" t="s">
        <v>41</v>
      </c>
      <c r="C7" s="19">
        <v>72</v>
      </c>
      <c r="D7" s="19">
        <v>86</v>
      </c>
      <c r="E7" s="19">
        <v>95</v>
      </c>
      <c r="F7" s="19">
        <v>86</v>
      </c>
      <c r="G7" s="19">
        <v>135</v>
      </c>
      <c r="H7" s="19">
        <v>149</v>
      </c>
      <c r="I7" s="19">
        <v>94</v>
      </c>
      <c r="J7" s="19">
        <v>101</v>
      </c>
      <c r="K7" s="19">
        <v>93</v>
      </c>
      <c r="L7" s="19">
        <v>135</v>
      </c>
      <c r="M7" s="19">
        <v>165</v>
      </c>
      <c r="N7" s="19">
        <v>195</v>
      </c>
      <c r="R7" s="45"/>
    </row>
    <row r="8" spans="2:18" ht="15.6" hidden="1">
      <c r="B8" s="19" t="s">
        <v>42</v>
      </c>
      <c r="C8" s="19">
        <v>48</v>
      </c>
      <c r="D8" s="19">
        <v>57</v>
      </c>
      <c r="E8" s="19">
        <v>63</v>
      </c>
      <c r="F8" s="19">
        <v>57</v>
      </c>
      <c r="G8" s="19">
        <v>90</v>
      </c>
      <c r="H8" s="19">
        <v>99</v>
      </c>
      <c r="I8" s="19">
        <v>63</v>
      </c>
      <c r="J8" s="19">
        <v>67</v>
      </c>
      <c r="K8" s="19">
        <v>62</v>
      </c>
      <c r="L8" s="19">
        <v>90</v>
      </c>
      <c r="M8" s="19">
        <v>110</v>
      </c>
      <c r="N8" s="19">
        <v>130</v>
      </c>
      <c r="R8" s="45"/>
    </row>
    <row r="9" spans="2:18" ht="15.6" hidden="1">
      <c r="B9" s="19" t="s">
        <v>43</v>
      </c>
      <c r="C9" s="19">
        <v>2600</v>
      </c>
      <c r="D9" s="19">
        <v>4031</v>
      </c>
      <c r="E9" s="19">
        <v>1089</v>
      </c>
      <c r="F9" s="19">
        <v>6985</v>
      </c>
      <c r="G9" s="19">
        <v>1556</v>
      </c>
      <c r="H9" s="19">
        <v>1775</v>
      </c>
      <c r="I9" s="19">
        <v>7759</v>
      </c>
      <c r="J9" s="19">
        <v>1158</v>
      </c>
      <c r="K9" s="19">
        <v>3072</v>
      </c>
      <c r="L9" s="19">
        <v>1556</v>
      </c>
      <c r="M9" s="19">
        <v>17211</v>
      </c>
      <c r="N9" s="19">
        <v>2247</v>
      </c>
      <c r="R9" s="45"/>
    </row>
    <row r="10" spans="2:18" ht="15.6" hidden="1">
      <c r="B10" s="19" t="s">
        <v>44</v>
      </c>
      <c r="C10" s="19">
        <v>3020</v>
      </c>
      <c r="D10" s="19">
        <v>7460</v>
      </c>
      <c r="E10" s="19">
        <v>3268</v>
      </c>
      <c r="F10" s="19">
        <v>2956</v>
      </c>
      <c r="G10" s="19">
        <v>5668</v>
      </c>
      <c r="H10" s="19">
        <v>17530</v>
      </c>
      <c r="I10" s="19">
        <v>3266</v>
      </c>
      <c r="J10" s="19">
        <v>3474</v>
      </c>
      <c r="K10" s="19">
        <v>7216</v>
      </c>
      <c r="L10" s="19">
        <v>4668</v>
      </c>
      <c r="M10" s="19">
        <v>5704</v>
      </c>
      <c r="N10" s="19">
        <v>6740</v>
      </c>
      <c r="R10" s="45"/>
    </row>
    <row r="11" spans="2:18" ht="15.6" hidden="1">
      <c r="B11" s="19" t="s">
        <v>45</v>
      </c>
      <c r="C11" s="19">
        <v>6000</v>
      </c>
      <c r="D11" s="19">
        <v>2300</v>
      </c>
      <c r="E11" s="19">
        <v>10890</v>
      </c>
      <c r="F11" s="19">
        <v>3850</v>
      </c>
      <c r="G11" s="19">
        <v>14700</v>
      </c>
      <c r="H11" s="19">
        <v>4650</v>
      </c>
      <c r="I11" s="19">
        <v>4220</v>
      </c>
      <c r="J11" s="19">
        <v>11580</v>
      </c>
      <c r="K11" s="19">
        <v>4720</v>
      </c>
      <c r="L11" s="19">
        <v>15560</v>
      </c>
      <c r="M11" s="19">
        <v>3700</v>
      </c>
      <c r="N11" s="19">
        <v>22470</v>
      </c>
      <c r="R11" s="45"/>
    </row>
    <row r="12" spans="2:18" ht="15.6" hidden="1">
      <c r="B12" s="19" t="s">
        <v>46</v>
      </c>
      <c r="C12" s="19">
        <v>1920</v>
      </c>
      <c r="D12" s="19">
        <v>1680</v>
      </c>
      <c r="E12" s="19">
        <v>5080</v>
      </c>
      <c r="F12" s="19">
        <v>2280</v>
      </c>
      <c r="G12" s="19">
        <v>3600</v>
      </c>
      <c r="H12" s="19">
        <v>7600</v>
      </c>
      <c r="I12" s="19">
        <v>2520</v>
      </c>
      <c r="J12" s="19">
        <v>1600</v>
      </c>
      <c r="K12" s="19">
        <v>2480</v>
      </c>
      <c r="L12" s="19">
        <v>4600</v>
      </c>
      <c r="M12" s="19">
        <v>4400</v>
      </c>
      <c r="N12" s="19">
        <v>10200</v>
      </c>
      <c r="R12" s="45"/>
    </row>
    <row r="13" spans="2:18" ht="15.6" hidden="1">
      <c r="B13" s="19" t="s">
        <v>47</v>
      </c>
      <c r="C13" s="38">
        <v>2880</v>
      </c>
      <c r="D13" s="38">
        <v>4020</v>
      </c>
      <c r="E13" s="38">
        <v>1220</v>
      </c>
      <c r="F13" s="38">
        <v>3420</v>
      </c>
      <c r="G13" s="38">
        <v>5400</v>
      </c>
      <c r="H13" s="38">
        <v>2300</v>
      </c>
      <c r="I13" s="38">
        <v>3780</v>
      </c>
      <c r="J13" s="38">
        <v>5100</v>
      </c>
      <c r="K13" s="38">
        <v>3720</v>
      </c>
      <c r="L13" s="38">
        <v>4400</v>
      </c>
      <c r="M13" s="38">
        <v>6600</v>
      </c>
      <c r="N13" s="38">
        <v>7800</v>
      </c>
      <c r="R13" s="45"/>
    </row>
    <row r="14" spans="2:18" ht="15.6"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R14" s="45" t="s">
        <v>92</v>
      </c>
    </row>
    <row r="15" spans="2:18" ht="15.6">
      <c r="R15" s="45" t="s">
        <v>93</v>
      </c>
    </row>
    <row r="16" spans="2:18" ht="15.6">
      <c r="B16" s="17" t="s">
        <v>55</v>
      </c>
      <c r="D16" s="19">
        <f t="shared" ref="D16:N16" si="0">AVERAGE(C3:D3)</f>
        <v>1050</v>
      </c>
      <c r="E16" s="19">
        <f t="shared" si="0"/>
        <v>1200</v>
      </c>
      <c r="F16" s="19">
        <f t="shared" si="0"/>
        <v>1200</v>
      </c>
      <c r="G16" s="19">
        <f t="shared" si="0"/>
        <v>1470</v>
      </c>
      <c r="H16" s="19">
        <f t="shared" si="0"/>
        <v>1890</v>
      </c>
      <c r="I16" s="19">
        <f t="shared" si="0"/>
        <v>1620</v>
      </c>
      <c r="J16" s="19">
        <f t="shared" si="0"/>
        <v>1300</v>
      </c>
      <c r="K16" s="19">
        <f t="shared" si="0"/>
        <v>1290</v>
      </c>
      <c r="L16" s="19">
        <f t="shared" si="0"/>
        <v>1520</v>
      </c>
      <c r="M16" s="19">
        <f t="shared" si="0"/>
        <v>2000</v>
      </c>
      <c r="N16" s="19">
        <f t="shared" si="0"/>
        <v>2400</v>
      </c>
      <c r="R16" s="45" t="s">
        <v>94</v>
      </c>
    </row>
    <row r="17" spans="2:18" ht="15.6">
      <c r="R17" s="45" t="s">
        <v>97</v>
      </c>
    </row>
    <row r="18" spans="2:18" ht="15.6">
      <c r="R18" s="45" t="s">
        <v>95</v>
      </c>
    </row>
    <row r="19" spans="2:18" ht="18">
      <c r="B19" s="29" t="s">
        <v>57</v>
      </c>
      <c r="C19" s="28">
        <v>1</v>
      </c>
      <c r="D19" s="28">
        <v>2</v>
      </c>
      <c r="E19" s="28">
        <v>3</v>
      </c>
      <c r="F19" s="28">
        <v>4</v>
      </c>
      <c r="G19" s="28">
        <v>5</v>
      </c>
      <c r="H19" s="28">
        <v>6</v>
      </c>
      <c r="I19" s="28">
        <v>7</v>
      </c>
      <c r="J19" s="28">
        <v>8</v>
      </c>
      <c r="K19" s="28">
        <v>9</v>
      </c>
      <c r="L19" s="28">
        <v>10</v>
      </c>
      <c r="M19" s="28">
        <v>11</v>
      </c>
      <c r="N19" s="28">
        <v>12</v>
      </c>
      <c r="O19" s="28" t="s">
        <v>65</v>
      </c>
      <c r="R19" s="45" t="s">
        <v>102</v>
      </c>
    </row>
    <row r="20" spans="2:18" ht="18" hidden="1">
      <c r="B20" s="29" t="s">
        <v>58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2:18" ht="18" hidden="1">
      <c r="B21" s="29" t="s">
        <v>59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2:18" ht="30" customHeight="1">
      <c r="B22" s="5"/>
      <c r="C22" s="46">
        <f>$C$26+$C$27*C19</f>
        <v>987.7</v>
      </c>
      <c r="D22" s="46">
        <f t="shared" ref="D22:N22" si="1">$C$26+$C$27*D19</f>
        <v>1091.76</v>
      </c>
      <c r="E22" s="46">
        <f t="shared" si="1"/>
        <v>1195.82</v>
      </c>
      <c r="F22" s="46">
        <f t="shared" si="1"/>
        <v>1299.8800000000001</v>
      </c>
      <c r="G22" s="46">
        <f t="shared" si="1"/>
        <v>1403.94</v>
      </c>
      <c r="H22" s="46">
        <f t="shared" si="1"/>
        <v>1508</v>
      </c>
      <c r="I22" s="46">
        <f t="shared" si="1"/>
        <v>1612.06</v>
      </c>
      <c r="J22" s="46">
        <f t="shared" si="1"/>
        <v>1716.12</v>
      </c>
      <c r="K22" s="46">
        <f t="shared" si="1"/>
        <v>1820.1799999999998</v>
      </c>
      <c r="L22" s="46">
        <f t="shared" si="1"/>
        <v>1924.2399999999998</v>
      </c>
      <c r="M22" s="46">
        <f t="shared" si="1"/>
        <v>2028.3000000000002</v>
      </c>
      <c r="N22" s="46">
        <f t="shared" si="1"/>
        <v>2132.36</v>
      </c>
      <c r="O22" s="42"/>
      <c r="R22" s="48" t="s">
        <v>101</v>
      </c>
    </row>
    <row r="23" spans="2:18" ht="28.8" customHeight="1">
      <c r="B23" s="5"/>
      <c r="C23" s="46">
        <f t="shared" ref="C23:N23" si="2">(C22-C3)^2</f>
        <v>767.29000000000246</v>
      </c>
      <c r="D23" s="46">
        <f t="shared" si="2"/>
        <v>2327.097600000001</v>
      </c>
      <c r="E23" s="46">
        <f t="shared" si="2"/>
        <v>4119.0724000000082</v>
      </c>
      <c r="F23" s="46">
        <f t="shared" si="2"/>
        <v>25561.614400000035</v>
      </c>
      <c r="G23" s="46">
        <f t="shared" si="2"/>
        <v>156863.52359999996</v>
      </c>
      <c r="H23" s="46">
        <f t="shared" si="2"/>
        <v>222784</v>
      </c>
      <c r="I23" s="46">
        <f t="shared" si="2"/>
        <v>123946.24359999996</v>
      </c>
      <c r="J23" s="46">
        <f t="shared" si="2"/>
        <v>141466.25439999992</v>
      </c>
      <c r="K23" s="46">
        <f t="shared" si="2"/>
        <v>336608.83239999978</v>
      </c>
      <c r="L23" s="46">
        <f t="shared" si="2"/>
        <v>15435.577599999946</v>
      </c>
      <c r="M23" s="46">
        <f t="shared" si="2"/>
        <v>29480.889999999938</v>
      </c>
      <c r="N23" s="46">
        <f t="shared" si="2"/>
        <v>218687.16959999988</v>
      </c>
      <c r="O23" s="49">
        <f>SUM(C23:N23)</f>
        <v>1278047.5655999994</v>
      </c>
    </row>
    <row r="24" spans="2:18" ht="27.6" customHeight="1">
      <c r="B24" s="5"/>
      <c r="C24" s="46">
        <f>(C22-$P$3)^2</f>
        <v>327527.28999999992</v>
      </c>
      <c r="D24" s="46">
        <f t="shared" ref="D24:N24" si="3">(D22-$P$3)^2</f>
        <v>219248.69760000001</v>
      </c>
      <c r="E24" s="46">
        <f t="shared" si="3"/>
        <v>132627.07240000003</v>
      </c>
      <c r="F24" s="46">
        <f t="shared" si="3"/>
        <v>67662.414399999936</v>
      </c>
      <c r="G24" s="46">
        <f t="shared" si="3"/>
        <v>24354.723599999983</v>
      </c>
      <c r="H24" s="46">
        <f t="shared" si="3"/>
        <v>2704</v>
      </c>
      <c r="I24" s="46">
        <f t="shared" si="3"/>
        <v>2710.2435999999943</v>
      </c>
      <c r="J24" s="46">
        <f t="shared" si="3"/>
        <v>24373.454399999966</v>
      </c>
      <c r="K24" s="46">
        <f t="shared" si="3"/>
        <v>67693.632399999915</v>
      </c>
      <c r="L24" s="46">
        <f t="shared" si="3"/>
        <v>132670.77759999983</v>
      </c>
      <c r="M24" s="46">
        <f t="shared" si="3"/>
        <v>219304.89000000016</v>
      </c>
      <c r="N24" s="46">
        <f t="shared" si="3"/>
        <v>327595.96960000013</v>
      </c>
      <c r="O24" s="49">
        <f>SUM(C24:N24)</f>
        <v>1548473.1655999999</v>
      </c>
    </row>
    <row r="25" spans="2:18" ht="27" customHeight="1"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2:18" ht="18">
      <c r="B26" s="10" t="s">
        <v>60</v>
      </c>
      <c r="C26" s="43">
        <v>883.64</v>
      </c>
    </row>
    <row r="27" spans="2:18" ht="18">
      <c r="B27" s="10" t="s">
        <v>61</v>
      </c>
      <c r="C27" s="43">
        <v>104.06</v>
      </c>
    </row>
    <row r="30" spans="2:18" ht="18">
      <c r="B30" s="10" t="s">
        <v>62</v>
      </c>
      <c r="F30" s="32"/>
      <c r="G30" s="33" t="s">
        <v>66</v>
      </c>
      <c r="J30" s="32" t="s">
        <v>56</v>
      </c>
      <c r="K30" s="65">
        <f>(12-2)*O24/((2-1)*O23)</f>
        <v>12.115927507541905</v>
      </c>
    </row>
    <row r="31" spans="2:18" ht="32.4" customHeight="1">
      <c r="G31" s="10" t="s">
        <v>96</v>
      </c>
    </row>
    <row r="32" spans="2:18" ht="18">
      <c r="B32" s="10" t="s">
        <v>67</v>
      </c>
    </row>
    <row r="33" spans="2:7" ht="18">
      <c r="C33" s="34" t="s">
        <v>68</v>
      </c>
      <c r="D33" s="35"/>
      <c r="E33" s="36"/>
      <c r="F33" s="36" t="s">
        <v>56</v>
      </c>
      <c r="G33" s="66">
        <f>SQRT($O$23/(12-2))</f>
        <v>357.49791126662535</v>
      </c>
    </row>
    <row r="36" spans="2:7" ht="22.8">
      <c r="B36" s="37" t="s">
        <v>69</v>
      </c>
      <c r="C36" s="71">
        <f>_xlfn.T.INV.2T(0.05,11)</f>
        <v>2.2009851600916384</v>
      </c>
      <c r="E36" s="47" t="s">
        <v>98</v>
      </c>
      <c r="G36" s="34" t="s">
        <v>103</v>
      </c>
    </row>
    <row r="38" spans="2:7" ht="18">
      <c r="B38" s="37" t="s">
        <v>70</v>
      </c>
      <c r="C38" s="67">
        <f>$C$26+$C$27*13-$C$36*$G$33</f>
        <v>1449.5724025384002</v>
      </c>
      <c r="D38" s="67">
        <f>$C$26+$C$27*13+$C$36*$G$33</f>
        <v>3023.2675974616</v>
      </c>
      <c r="F38" s="34" t="s">
        <v>99</v>
      </c>
    </row>
    <row r="39" spans="2:7" ht="18">
      <c r="F39" s="34" t="s">
        <v>100</v>
      </c>
    </row>
    <row r="44" spans="2:7" ht="25.8">
      <c r="B44" s="55" t="s">
        <v>104</v>
      </c>
      <c r="C44" s="43">
        <f>_xlfn.F.INV(0.95,1,10)</f>
        <v>4.9646027437307128</v>
      </c>
      <c r="E44" s="56" t="s">
        <v>105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790A-2B9E-41DF-ABE1-C92E09ED9AF7}">
  <dimension ref="A2:I38"/>
  <sheetViews>
    <sheetView showGridLines="0" zoomScaleNormal="100" workbookViewId="0">
      <selection activeCell="B4" sqref="B4:D4"/>
    </sheetView>
  </sheetViews>
  <sheetFormatPr defaultRowHeight="14.4"/>
  <cols>
    <col min="1" max="1" width="12.77734375" bestFit="1" customWidth="1"/>
    <col min="2" max="2" width="7.88671875" customWidth="1"/>
    <col min="4" max="4" width="6.6640625" customWidth="1"/>
    <col min="5" max="5" width="20.77734375" bestFit="1" customWidth="1"/>
    <col min="6" max="6" width="27.77734375" bestFit="1" customWidth="1"/>
    <col min="8" max="8" width="14.88671875" customWidth="1"/>
  </cols>
  <sheetData>
    <row r="2" spans="1:6" ht="18">
      <c r="A2" s="10"/>
      <c r="B2" s="10" t="s">
        <v>71</v>
      </c>
      <c r="C2" s="10"/>
      <c r="D2" s="10"/>
      <c r="E2" s="10"/>
      <c r="F2" s="10"/>
    </row>
    <row r="3" spans="1:6" ht="18">
      <c r="A3" s="79" t="s">
        <v>15</v>
      </c>
      <c r="B3" s="79" t="s">
        <v>72</v>
      </c>
      <c r="C3" s="79"/>
      <c r="D3" s="79"/>
      <c r="E3" s="79"/>
      <c r="F3" s="79" t="s">
        <v>74</v>
      </c>
    </row>
    <row r="4" spans="1:6" ht="18">
      <c r="A4" s="79"/>
      <c r="B4" s="11">
        <v>2022</v>
      </c>
      <c r="C4" s="11">
        <v>2023</v>
      </c>
      <c r="D4" s="11">
        <v>2024</v>
      </c>
      <c r="E4" s="11" t="s">
        <v>73</v>
      </c>
      <c r="F4" s="79"/>
    </row>
    <row r="5" spans="1:6" ht="18">
      <c r="A5" s="11">
        <v>1</v>
      </c>
      <c r="B5" s="11">
        <v>7.5</v>
      </c>
      <c r="C5" s="11">
        <v>8</v>
      </c>
      <c r="D5" s="11">
        <v>7.9</v>
      </c>
      <c r="E5" s="43"/>
      <c r="F5" s="50"/>
    </row>
    <row r="6" spans="1:6" ht="18">
      <c r="A6" s="11">
        <v>2</v>
      </c>
      <c r="B6" s="11">
        <v>7.8</v>
      </c>
      <c r="C6" s="11">
        <v>7.2</v>
      </c>
      <c r="D6" s="11">
        <v>6</v>
      </c>
      <c r="E6" s="43"/>
      <c r="F6" s="50"/>
    </row>
    <row r="7" spans="1:6" ht="18">
      <c r="A7" s="11">
        <v>3</v>
      </c>
      <c r="B7" s="11">
        <v>7.4</v>
      </c>
      <c r="C7" s="11">
        <v>7.9</v>
      </c>
      <c r="D7" s="11">
        <v>7.2</v>
      </c>
      <c r="E7" s="43"/>
      <c r="F7" s="50"/>
    </row>
    <row r="8" spans="1:6" ht="18">
      <c r="A8" s="11">
        <v>4</v>
      </c>
      <c r="B8" s="11">
        <v>7.1</v>
      </c>
      <c r="C8" s="11">
        <v>6.9</v>
      </c>
      <c r="D8" s="11">
        <v>7.9</v>
      </c>
      <c r="E8" s="43"/>
      <c r="F8" s="50"/>
    </row>
    <row r="9" spans="1:6" ht="18">
      <c r="A9" s="11">
        <v>5</v>
      </c>
      <c r="B9" s="11">
        <v>8.1</v>
      </c>
      <c r="C9" s="11">
        <v>7.9</v>
      </c>
      <c r="D9" s="11">
        <v>8.3000000000000007</v>
      </c>
      <c r="E9" s="43"/>
      <c r="F9" s="50"/>
    </row>
    <row r="10" spans="1:6" ht="18">
      <c r="A10" s="11">
        <v>6</v>
      </c>
      <c r="B10" s="11">
        <v>10.1</v>
      </c>
      <c r="C10" s="11">
        <v>12.1</v>
      </c>
      <c r="D10" s="11">
        <v>10.199999999999999</v>
      </c>
      <c r="E10" s="43"/>
      <c r="F10" s="50"/>
    </row>
    <row r="11" spans="1:6" ht="18">
      <c r="A11" s="11">
        <v>7</v>
      </c>
      <c r="B11" s="11">
        <v>14</v>
      </c>
      <c r="C11" s="11">
        <v>16.2</v>
      </c>
      <c r="D11" s="11">
        <v>16.600000000000001</v>
      </c>
      <c r="E11" s="43"/>
      <c r="F11" s="50"/>
    </row>
    <row r="12" spans="1:6" ht="18">
      <c r="A12" s="11">
        <v>8</v>
      </c>
      <c r="B12" s="11">
        <v>12</v>
      </c>
      <c r="C12" s="11">
        <v>12.1</v>
      </c>
      <c r="D12" s="11">
        <v>12.5</v>
      </c>
      <c r="E12" s="43"/>
      <c r="F12" s="50"/>
    </row>
    <row r="13" spans="1:6" ht="18">
      <c r="A13" s="11">
        <v>9</v>
      </c>
      <c r="B13" s="11">
        <v>10</v>
      </c>
      <c r="C13" s="11">
        <v>12.1</v>
      </c>
      <c r="D13" s="11">
        <v>11.5</v>
      </c>
      <c r="E13" s="43"/>
      <c r="F13" s="50"/>
    </row>
    <row r="14" spans="1:6" ht="18">
      <c r="A14" s="11">
        <v>10</v>
      </c>
      <c r="B14" s="11">
        <v>8.9</v>
      </c>
      <c r="C14" s="11">
        <v>9</v>
      </c>
      <c r="D14" s="11">
        <v>9.4</v>
      </c>
      <c r="E14" s="43"/>
      <c r="F14" s="50"/>
    </row>
    <row r="15" spans="1:6" ht="18">
      <c r="A15" s="11">
        <v>11</v>
      </c>
      <c r="B15" s="11">
        <v>7.6</v>
      </c>
      <c r="C15" s="11">
        <v>9.5</v>
      </c>
      <c r="D15" s="11">
        <v>8.5</v>
      </c>
      <c r="E15" s="51"/>
      <c r="F15" s="50"/>
    </row>
    <row r="16" spans="1:6" ht="18">
      <c r="A16" s="11">
        <v>12</v>
      </c>
      <c r="B16" s="11">
        <v>8.5</v>
      </c>
      <c r="C16" s="11">
        <v>8.1</v>
      </c>
      <c r="D16" s="11">
        <v>8.6</v>
      </c>
      <c r="E16" s="43"/>
      <c r="F16" s="50"/>
    </row>
    <row r="17" spans="1:9" ht="18">
      <c r="A17" s="11" t="s">
        <v>75</v>
      </c>
      <c r="B17" s="11"/>
      <c r="C17" s="11"/>
      <c r="D17" s="11"/>
      <c r="E17" s="43"/>
      <c r="F17" s="43"/>
    </row>
    <row r="18" spans="1:9" ht="18">
      <c r="A18" s="11" t="s">
        <v>76</v>
      </c>
      <c r="B18" s="11"/>
      <c r="C18" s="11"/>
      <c r="D18" s="11"/>
      <c r="E18" s="51"/>
      <c r="F18" s="43"/>
    </row>
    <row r="19" spans="1:9" ht="18">
      <c r="A19" s="10"/>
      <c r="B19" s="10"/>
      <c r="C19" s="10"/>
      <c r="D19" s="10"/>
      <c r="E19" s="10"/>
      <c r="F19" s="10"/>
    </row>
    <row r="23" spans="1:9" ht="15" customHeight="1">
      <c r="A23" s="10"/>
      <c r="B23" s="10" t="s">
        <v>77</v>
      </c>
      <c r="C23" s="10"/>
      <c r="D23" s="10"/>
      <c r="E23" s="10"/>
      <c r="F23" s="10"/>
      <c r="G23" s="10"/>
    </row>
    <row r="24" spans="1:9" ht="18" customHeight="1">
      <c r="A24" s="11" t="s">
        <v>78</v>
      </c>
      <c r="B24" s="79" t="s">
        <v>83</v>
      </c>
      <c r="C24" s="79"/>
      <c r="D24" s="79"/>
      <c r="E24" s="78"/>
      <c r="F24" s="78" t="s">
        <v>84</v>
      </c>
      <c r="G24" s="78" t="s">
        <v>85</v>
      </c>
      <c r="H24" s="80" t="s">
        <v>86</v>
      </c>
    </row>
    <row r="25" spans="1:9" ht="37.799999999999997" customHeight="1">
      <c r="A25" s="11"/>
      <c r="B25" s="28">
        <v>1</v>
      </c>
      <c r="C25" s="28">
        <v>2</v>
      </c>
      <c r="D25" s="28">
        <v>3</v>
      </c>
      <c r="E25" s="78"/>
      <c r="F25" s="78"/>
      <c r="G25" s="78"/>
      <c r="H25" s="81"/>
    </row>
    <row r="26" spans="1:9" ht="18">
      <c r="A26" s="11" t="s">
        <v>79</v>
      </c>
      <c r="B26" s="11">
        <v>25</v>
      </c>
      <c r="C26" s="11">
        <v>30</v>
      </c>
      <c r="D26" s="11">
        <v>26</v>
      </c>
      <c r="E26" s="43"/>
      <c r="F26" s="52"/>
      <c r="G26" s="43"/>
      <c r="H26" s="69"/>
    </row>
    <row r="27" spans="1:9" ht="18">
      <c r="A27" s="11" t="s">
        <v>80</v>
      </c>
      <c r="B27" s="11">
        <v>125</v>
      </c>
      <c r="C27" s="11">
        <v>120</v>
      </c>
      <c r="D27" s="11">
        <v>130</v>
      </c>
      <c r="E27" s="43"/>
      <c r="F27" s="52"/>
      <c r="G27" s="43"/>
      <c r="H27" s="69"/>
    </row>
    <row r="28" spans="1:9" ht="18">
      <c r="A28" s="11" t="s">
        <v>81</v>
      </c>
      <c r="B28" s="11">
        <v>180</v>
      </c>
      <c r="C28" s="11">
        <v>160</v>
      </c>
      <c r="D28" s="11">
        <v>182</v>
      </c>
      <c r="E28" s="43"/>
      <c r="F28" s="52"/>
      <c r="G28" s="43"/>
      <c r="H28" s="69"/>
    </row>
    <row r="29" spans="1:9" ht="18">
      <c r="A29" s="11" t="s">
        <v>82</v>
      </c>
      <c r="B29" s="11">
        <v>30</v>
      </c>
      <c r="C29" s="11">
        <v>20</v>
      </c>
      <c r="D29" s="11">
        <v>31</v>
      </c>
      <c r="E29" s="43"/>
      <c r="F29" s="52"/>
      <c r="G29" s="43"/>
      <c r="H29" s="69"/>
    </row>
    <row r="30" spans="1:9" ht="21">
      <c r="A30" s="11" t="s">
        <v>75</v>
      </c>
      <c r="B30" s="11"/>
      <c r="C30" s="11"/>
      <c r="D30" s="11"/>
      <c r="E30" s="43"/>
      <c r="F30" s="43"/>
      <c r="G30" s="43"/>
      <c r="H30" s="43"/>
      <c r="I30" s="68" t="s">
        <v>87</v>
      </c>
    </row>
    <row r="31" spans="1:9" ht="18">
      <c r="A31" s="10"/>
      <c r="B31" s="10"/>
      <c r="C31" s="10"/>
      <c r="D31" s="10"/>
      <c r="E31" s="10"/>
      <c r="F31" s="10"/>
      <c r="G31" s="10"/>
    </row>
    <row r="32" spans="1:9" ht="18">
      <c r="A32" s="10"/>
      <c r="B32" s="10"/>
      <c r="C32" s="10"/>
      <c r="D32" s="10"/>
      <c r="E32" s="10"/>
      <c r="F32" s="10"/>
      <c r="G32" s="10"/>
    </row>
    <row r="33" spans="1:7" ht="18">
      <c r="A33" s="10"/>
      <c r="B33" s="10"/>
      <c r="C33" s="10"/>
      <c r="D33" s="10"/>
      <c r="E33" s="10"/>
      <c r="F33" s="10"/>
      <c r="G33" s="10"/>
    </row>
    <row r="34" spans="1:7" ht="18">
      <c r="A34" s="10"/>
      <c r="B34" s="10"/>
      <c r="C34" s="10"/>
      <c r="D34" s="10"/>
      <c r="E34" s="10"/>
      <c r="F34" s="10"/>
      <c r="G34" s="10"/>
    </row>
    <row r="35" spans="1:7" ht="18">
      <c r="A35" s="10"/>
      <c r="B35" s="10"/>
      <c r="C35" s="10"/>
      <c r="D35" s="10"/>
      <c r="E35" s="10"/>
      <c r="F35" s="10"/>
      <c r="G35" s="10"/>
    </row>
    <row r="36" spans="1:7" ht="18">
      <c r="A36" s="10"/>
      <c r="B36" s="10"/>
      <c r="C36" s="10"/>
      <c r="D36" s="10"/>
      <c r="E36" s="10"/>
      <c r="F36" s="10"/>
      <c r="G36" s="10"/>
    </row>
    <row r="37" spans="1:7" ht="18">
      <c r="A37" s="10"/>
      <c r="B37" s="10"/>
      <c r="C37" s="10"/>
      <c r="D37" s="10"/>
      <c r="E37" s="10"/>
      <c r="F37" s="10"/>
      <c r="G37" s="10"/>
    </row>
    <row r="38" spans="1:7" ht="18">
      <c r="A38" s="10"/>
      <c r="B38" s="10"/>
      <c r="C38" s="10"/>
      <c r="D38" s="10"/>
      <c r="E38" s="10"/>
      <c r="F38" s="10"/>
      <c r="G38" s="10"/>
    </row>
  </sheetData>
  <mergeCells count="8">
    <mergeCell ref="G24:G25"/>
    <mergeCell ref="B24:D24"/>
    <mergeCell ref="H24:H25"/>
    <mergeCell ref="A3:A4"/>
    <mergeCell ref="B3:E3"/>
    <mergeCell ref="F3:F4"/>
    <mergeCell ref="E24:E25"/>
    <mergeCell ref="F24:F25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6D5F-0691-4C7E-985C-E5362958B575}">
  <dimension ref="A2:I38"/>
  <sheetViews>
    <sheetView showGridLines="0" topLeftCell="A10" zoomScaleNormal="100" workbookViewId="0">
      <selection activeCell="E13" sqref="E13"/>
    </sheetView>
  </sheetViews>
  <sheetFormatPr defaultRowHeight="14.4"/>
  <cols>
    <col min="1" max="1" width="12.77734375" bestFit="1" customWidth="1"/>
    <col min="2" max="2" width="7.88671875" customWidth="1"/>
    <col min="4" max="4" width="6.6640625" customWidth="1"/>
    <col min="5" max="5" width="20.77734375" bestFit="1" customWidth="1"/>
    <col min="6" max="6" width="27.77734375" bestFit="1" customWidth="1"/>
    <col min="8" max="8" width="14.88671875" customWidth="1"/>
  </cols>
  <sheetData>
    <row r="2" spans="1:6" ht="18">
      <c r="A2" s="10"/>
      <c r="B2" s="10" t="s">
        <v>71</v>
      </c>
      <c r="C2" s="10"/>
      <c r="D2" s="10"/>
      <c r="E2" s="10"/>
      <c r="F2" s="10"/>
    </row>
    <row r="3" spans="1:6" ht="18">
      <c r="A3" s="79" t="s">
        <v>15</v>
      </c>
      <c r="B3" s="79" t="s">
        <v>72</v>
      </c>
      <c r="C3" s="79"/>
      <c r="D3" s="79"/>
      <c r="E3" s="79"/>
      <c r="F3" s="79" t="s">
        <v>74</v>
      </c>
    </row>
    <row r="4" spans="1:6" ht="18">
      <c r="A4" s="79"/>
      <c r="B4" s="11">
        <v>2022</v>
      </c>
      <c r="C4" s="11">
        <v>2023</v>
      </c>
      <c r="D4" s="11">
        <v>2024</v>
      </c>
      <c r="E4" s="11" t="s">
        <v>73</v>
      </c>
      <c r="F4" s="79"/>
    </row>
    <row r="5" spans="1:6" ht="18">
      <c r="A5" s="11">
        <v>1</v>
      </c>
      <c r="B5" s="11">
        <v>7.5</v>
      </c>
      <c r="C5" s="11">
        <v>8</v>
      </c>
      <c r="D5" s="11">
        <v>7.9</v>
      </c>
      <c r="E5" s="11">
        <f>AVERAGE(B5:D5)</f>
        <v>7.8</v>
      </c>
      <c r="F5" s="41">
        <f>E5/$E$18</f>
        <v>0.82442748091603058</v>
      </c>
    </row>
    <row r="6" spans="1:6" ht="18">
      <c r="A6" s="11">
        <v>2</v>
      </c>
      <c r="B6" s="11">
        <v>7.8</v>
      </c>
      <c r="C6" s="11">
        <v>7.2</v>
      </c>
      <c r="D6" s="11">
        <v>6</v>
      </c>
      <c r="E6" s="11">
        <f t="shared" ref="E6:E16" si="0">AVERAGE(B6:D6)</f>
        <v>7</v>
      </c>
      <c r="F6" s="41">
        <f t="shared" ref="F6:F16" si="1">E6/$E$18</f>
        <v>0.73987081620669415</v>
      </c>
    </row>
    <row r="7" spans="1:6" ht="18">
      <c r="A7" s="11">
        <v>3</v>
      </c>
      <c r="B7" s="11">
        <v>7.4</v>
      </c>
      <c r="C7" s="11">
        <v>7.9</v>
      </c>
      <c r="D7" s="11">
        <v>7.2</v>
      </c>
      <c r="E7" s="11">
        <f t="shared" si="0"/>
        <v>7.5</v>
      </c>
      <c r="F7" s="41">
        <f t="shared" si="1"/>
        <v>0.79271873165002937</v>
      </c>
    </row>
    <row r="8" spans="1:6" ht="18">
      <c r="A8" s="11">
        <v>4</v>
      </c>
      <c r="B8" s="11">
        <v>7.1</v>
      </c>
      <c r="C8" s="11">
        <v>6.9</v>
      </c>
      <c r="D8" s="11">
        <v>7.9</v>
      </c>
      <c r="E8" s="11">
        <f t="shared" si="0"/>
        <v>7.3</v>
      </c>
      <c r="F8" s="41">
        <f t="shared" si="1"/>
        <v>0.77157956547269524</v>
      </c>
    </row>
    <row r="9" spans="1:6" ht="18">
      <c r="A9" s="11">
        <v>5</v>
      </c>
      <c r="B9" s="11">
        <v>8.1</v>
      </c>
      <c r="C9" s="11">
        <v>7.9</v>
      </c>
      <c r="D9" s="11">
        <v>8.3000000000000007</v>
      </c>
      <c r="E9" s="11">
        <f t="shared" si="0"/>
        <v>8.1</v>
      </c>
      <c r="F9" s="41">
        <f t="shared" si="1"/>
        <v>0.85613623018203178</v>
      </c>
    </row>
    <row r="10" spans="1:6" ht="18">
      <c r="A10" s="11">
        <v>6</v>
      </c>
      <c r="B10" s="11">
        <v>10.1</v>
      </c>
      <c r="C10" s="11">
        <v>12.1</v>
      </c>
      <c r="D10" s="11">
        <v>10.199999999999999</v>
      </c>
      <c r="E10" s="11">
        <f t="shared" si="0"/>
        <v>10.799999999999999</v>
      </c>
      <c r="F10" s="41">
        <f t="shared" si="1"/>
        <v>1.1415149735760421</v>
      </c>
    </row>
    <row r="11" spans="1:6" ht="18">
      <c r="A11" s="11">
        <v>7</v>
      </c>
      <c r="B11" s="11">
        <v>14</v>
      </c>
      <c r="C11" s="11">
        <v>16.2</v>
      </c>
      <c r="D11" s="11">
        <v>16.600000000000001</v>
      </c>
      <c r="E11" s="11">
        <f t="shared" si="0"/>
        <v>15.6</v>
      </c>
      <c r="F11" s="41">
        <f t="shared" si="1"/>
        <v>1.6488549618320612</v>
      </c>
    </row>
    <row r="12" spans="1:6" ht="18">
      <c r="A12" s="11">
        <v>8</v>
      </c>
      <c r="B12" s="11">
        <v>12</v>
      </c>
      <c r="C12" s="11">
        <v>12.1</v>
      </c>
      <c r="D12" s="11">
        <v>12.5</v>
      </c>
      <c r="E12" s="11">
        <f t="shared" si="0"/>
        <v>12.200000000000001</v>
      </c>
      <c r="F12" s="41">
        <f t="shared" si="1"/>
        <v>1.2894891368173813</v>
      </c>
    </row>
    <row r="13" spans="1:6" ht="18">
      <c r="A13" s="11">
        <v>9</v>
      </c>
      <c r="B13" s="11">
        <v>10</v>
      </c>
      <c r="C13" s="11">
        <v>12.1</v>
      </c>
      <c r="D13" s="11">
        <v>11.5</v>
      </c>
      <c r="E13" s="11">
        <f t="shared" si="0"/>
        <v>11.200000000000001</v>
      </c>
      <c r="F13" s="41">
        <f t="shared" si="1"/>
        <v>1.1837933059307106</v>
      </c>
    </row>
    <row r="14" spans="1:6" ht="18">
      <c r="A14" s="11">
        <v>10</v>
      </c>
      <c r="B14" s="11">
        <v>8.9</v>
      </c>
      <c r="C14" s="11">
        <v>9</v>
      </c>
      <c r="D14" s="11">
        <v>9.4</v>
      </c>
      <c r="E14" s="11">
        <f t="shared" si="0"/>
        <v>9.1</v>
      </c>
      <c r="F14" s="41">
        <f t="shared" si="1"/>
        <v>0.96183206106870234</v>
      </c>
    </row>
    <row r="15" spans="1:6" ht="18">
      <c r="A15" s="11">
        <v>11</v>
      </c>
      <c r="B15" s="11">
        <v>7.6</v>
      </c>
      <c r="C15" s="11">
        <v>9.5</v>
      </c>
      <c r="D15" s="11">
        <v>8.5</v>
      </c>
      <c r="E15" s="40">
        <f t="shared" si="0"/>
        <v>8.5333333333333332</v>
      </c>
      <c r="F15" s="41">
        <f t="shared" si="1"/>
        <v>0.90193775689958899</v>
      </c>
    </row>
    <row r="16" spans="1:6" ht="18">
      <c r="A16" s="11">
        <v>12</v>
      </c>
      <c r="B16" s="11">
        <v>8.5</v>
      </c>
      <c r="C16" s="11">
        <v>8.1</v>
      </c>
      <c r="D16" s="11">
        <v>8.6</v>
      </c>
      <c r="E16" s="11">
        <f t="shared" si="0"/>
        <v>8.4</v>
      </c>
      <c r="F16" s="41">
        <f t="shared" si="1"/>
        <v>0.88784497944803298</v>
      </c>
    </row>
    <row r="17" spans="1:9" ht="18">
      <c r="A17" s="11" t="s">
        <v>75</v>
      </c>
      <c r="B17" s="11"/>
      <c r="C17" s="11"/>
      <c r="D17" s="11"/>
      <c r="E17" s="11"/>
      <c r="F17" s="11"/>
    </row>
    <row r="18" spans="1:9" ht="18">
      <c r="A18" s="11" t="s">
        <v>76</v>
      </c>
      <c r="B18" s="11"/>
      <c r="C18" s="11"/>
      <c r="D18" s="11"/>
      <c r="E18" s="40">
        <f>AVERAGE(E5:E16)</f>
        <v>9.4611111111111104</v>
      </c>
      <c r="F18" s="11"/>
    </row>
    <row r="19" spans="1:9" ht="18">
      <c r="A19" s="10"/>
      <c r="B19" s="10"/>
      <c r="C19" s="10"/>
      <c r="D19" s="10"/>
      <c r="E19" s="10"/>
      <c r="F19" s="10"/>
    </row>
    <row r="23" spans="1:9" ht="15" customHeight="1">
      <c r="A23" s="10"/>
      <c r="B23" s="10" t="s">
        <v>77</v>
      </c>
      <c r="C23" s="10"/>
      <c r="D23" s="10"/>
      <c r="E23" s="10"/>
      <c r="F23" s="10"/>
      <c r="G23" s="10"/>
    </row>
    <row r="24" spans="1:9" ht="18" customHeight="1">
      <c r="A24" s="11" t="s">
        <v>78</v>
      </c>
      <c r="B24" s="79" t="s">
        <v>83</v>
      </c>
      <c r="C24" s="79"/>
      <c r="D24" s="79"/>
      <c r="E24" s="78"/>
      <c r="F24" s="78" t="s">
        <v>84</v>
      </c>
      <c r="G24" s="78" t="s">
        <v>85</v>
      </c>
      <c r="H24" s="80" t="s">
        <v>86</v>
      </c>
    </row>
    <row r="25" spans="1:9" ht="37.799999999999997" customHeight="1">
      <c r="A25" s="11"/>
      <c r="B25" s="28">
        <v>1</v>
      </c>
      <c r="C25" s="28">
        <v>2</v>
      </c>
      <c r="D25" s="28">
        <v>3</v>
      </c>
      <c r="E25" s="78"/>
      <c r="F25" s="78"/>
      <c r="G25" s="78"/>
      <c r="H25" s="81"/>
    </row>
    <row r="26" spans="1:9" ht="18">
      <c r="A26" s="11" t="s">
        <v>79</v>
      </c>
      <c r="B26" s="11">
        <v>25</v>
      </c>
      <c r="C26" s="11">
        <v>30</v>
      </c>
      <c r="D26" s="11">
        <v>26</v>
      </c>
      <c r="E26" s="11">
        <f>AVERAGE(B26:D26)</f>
        <v>27</v>
      </c>
      <c r="F26" s="39">
        <f>E26 /$E$30</f>
        <v>0.30594900849858359</v>
      </c>
      <c r="G26" s="11">
        <f>E26-$E$30</f>
        <v>-61.25</v>
      </c>
      <c r="H26" s="70">
        <f>$H$30/4*F26</f>
        <v>29.830028328611899</v>
      </c>
    </row>
    <row r="27" spans="1:9" ht="18">
      <c r="A27" s="11" t="s">
        <v>80</v>
      </c>
      <c r="B27" s="11">
        <v>125</v>
      </c>
      <c r="C27" s="11">
        <v>120</v>
      </c>
      <c r="D27" s="11">
        <v>130</v>
      </c>
      <c r="E27" s="11">
        <f t="shared" ref="E27:E29" si="2">AVERAGE(B27:D27)</f>
        <v>125</v>
      </c>
      <c r="F27" s="39">
        <f t="shared" ref="F27:F29" si="3">E27 /$E$30</f>
        <v>1.4164305949008498</v>
      </c>
      <c r="G27" s="11">
        <f t="shared" ref="G27:G29" si="4">E27-$E$30</f>
        <v>36.75</v>
      </c>
      <c r="H27" s="70">
        <f t="shared" ref="H27:H29" si="5">$H$30/4*F27</f>
        <v>138.10198300283284</v>
      </c>
    </row>
    <row r="28" spans="1:9" ht="18">
      <c r="A28" s="11" t="s">
        <v>81</v>
      </c>
      <c r="B28" s="11">
        <v>180</v>
      </c>
      <c r="C28" s="11">
        <v>160</v>
      </c>
      <c r="D28" s="11">
        <v>182</v>
      </c>
      <c r="E28" s="11">
        <f t="shared" si="2"/>
        <v>174</v>
      </c>
      <c r="F28" s="39">
        <f t="shared" si="3"/>
        <v>1.9716713881019829</v>
      </c>
      <c r="G28" s="11">
        <f t="shared" si="4"/>
        <v>85.75</v>
      </c>
      <c r="H28" s="70">
        <f t="shared" si="5"/>
        <v>192.23796033994333</v>
      </c>
    </row>
    <row r="29" spans="1:9" ht="18">
      <c r="A29" s="11" t="s">
        <v>82</v>
      </c>
      <c r="B29" s="11">
        <v>30</v>
      </c>
      <c r="C29" s="11">
        <v>20</v>
      </c>
      <c r="D29" s="11">
        <v>31</v>
      </c>
      <c r="E29" s="11">
        <f t="shared" si="2"/>
        <v>27</v>
      </c>
      <c r="F29" s="39">
        <f t="shared" si="3"/>
        <v>0.30594900849858359</v>
      </c>
      <c r="G29" s="11">
        <f t="shared" si="4"/>
        <v>-61.25</v>
      </c>
      <c r="H29" s="70">
        <f t="shared" si="5"/>
        <v>29.830028328611899</v>
      </c>
    </row>
    <row r="30" spans="1:9" ht="21">
      <c r="A30" s="11" t="s">
        <v>75</v>
      </c>
      <c r="B30" s="11"/>
      <c r="C30" s="11"/>
      <c r="D30" s="11"/>
      <c r="E30" s="11">
        <f>AVERAGE(E26:E29)</f>
        <v>88.25</v>
      </c>
      <c r="F30" s="11"/>
      <c r="G30" s="11">
        <f>SUM(G26:G29)</f>
        <v>0</v>
      </c>
      <c r="H30" s="11">
        <v>390</v>
      </c>
      <c r="I30" s="68" t="s">
        <v>87</v>
      </c>
    </row>
    <row r="31" spans="1:9" ht="18">
      <c r="A31" s="10"/>
      <c r="B31" s="10"/>
      <c r="C31" s="10"/>
      <c r="D31" s="10"/>
      <c r="E31" s="10"/>
      <c r="F31" s="10"/>
      <c r="G31" s="10"/>
    </row>
    <row r="32" spans="1:9" ht="18">
      <c r="A32" s="10"/>
      <c r="B32" s="10"/>
      <c r="C32" s="10"/>
      <c r="D32" s="10"/>
      <c r="E32" s="10"/>
      <c r="F32" s="10"/>
      <c r="G32" s="10"/>
    </row>
    <row r="33" spans="1:7" ht="18">
      <c r="A33" s="10"/>
      <c r="B33" s="10"/>
      <c r="C33" s="10"/>
      <c r="D33" s="10"/>
      <c r="E33" s="10"/>
      <c r="F33" s="10"/>
      <c r="G33" s="10"/>
    </row>
    <row r="34" spans="1:7" ht="18">
      <c r="A34" s="10"/>
      <c r="B34" s="10"/>
      <c r="C34" s="10"/>
      <c r="D34" s="10"/>
      <c r="E34" s="10"/>
      <c r="F34" s="10"/>
      <c r="G34" s="10"/>
    </row>
    <row r="35" spans="1:7" ht="18">
      <c r="A35" s="10"/>
      <c r="B35" s="10"/>
      <c r="C35" s="10"/>
      <c r="D35" s="10"/>
      <c r="E35" s="10"/>
      <c r="F35" s="10"/>
      <c r="G35" s="10"/>
    </row>
    <row r="36" spans="1:7" ht="18">
      <c r="A36" s="10"/>
      <c r="B36" s="10"/>
      <c r="C36" s="10"/>
      <c r="D36" s="10"/>
      <c r="E36" s="10"/>
      <c r="F36" s="10"/>
      <c r="G36" s="10"/>
    </row>
    <row r="37" spans="1:7" ht="18">
      <c r="A37" s="10"/>
      <c r="B37" s="10"/>
      <c r="C37" s="10"/>
      <c r="D37" s="10"/>
      <c r="E37" s="10"/>
      <c r="F37" s="10"/>
      <c r="G37" s="10"/>
    </row>
    <row r="38" spans="1:7" ht="18">
      <c r="A38" s="10"/>
      <c r="B38" s="10"/>
      <c r="C38" s="10"/>
      <c r="D38" s="10"/>
      <c r="E38" s="10"/>
      <c r="F38" s="10"/>
      <c r="G38" s="10"/>
    </row>
  </sheetData>
  <mergeCells count="8">
    <mergeCell ref="G24:G25"/>
    <mergeCell ref="H24:H25"/>
    <mergeCell ref="A3:A4"/>
    <mergeCell ref="B3:E3"/>
    <mergeCell ref="F3:F4"/>
    <mergeCell ref="B24:D24"/>
    <mergeCell ref="E24:E25"/>
    <mergeCell ref="F24:F25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80DC-C696-4573-9564-512ACA72A74E}">
  <dimension ref="B2:N159"/>
  <sheetViews>
    <sheetView showGridLines="0" workbookViewId="0">
      <selection activeCell="P165" sqref="P165"/>
    </sheetView>
  </sheetViews>
  <sheetFormatPr defaultRowHeight="14.4"/>
  <cols>
    <col min="2" max="2" width="12.5546875" customWidth="1"/>
    <col min="12" max="14" width="10.88671875" bestFit="1" customWidth="1"/>
  </cols>
  <sheetData>
    <row r="2" spans="2:14" ht="15" thickBot="1"/>
    <row r="3" spans="2:14" ht="23.4" thickBot="1">
      <c r="B3" s="13" t="s">
        <v>15</v>
      </c>
      <c r="C3" s="13">
        <v>1</v>
      </c>
      <c r="D3" s="13">
        <v>2</v>
      </c>
      <c r="E3" s="13">
        <v>3</v>
      </c>
      <c r="F3" s="13">
        <v>4</v>
      </c>
      <c r="G3" s="13">
        <v>5</v>
      </c>
      <c r="H3" s="13">
        <v>6</v>
      </c>
      <c r="I3" s="13">
        <v>7</v>
      </c>
      <c r="J3" s="13">
        <v>8</v>
      </c>
      <c r="K3" s="13">
        <v>9</v>
      </c>
      <c r="L3" s="13">
        <v>10</v>
      </c>
      <c r="M3" s="13">
        <v>11</v>
      </c>
      <c r="N3" s="13">
        <v>12</v>
      </c>
    </row>
    <row r="4" spans="2:14" ht="46.8" thickTop="1" thickBot="1">
      <c r="B4" s="14" t="s">
        <v>16</v>
      </c>
      <c r="C4" s="14">
        <v>100</v>
      </c>
      <c r="D4" s="14">
        <v>100</v>
      </c>
      <c r="E4" s="14">
        <v>100</v>
      </c>
      <c r="F4" s="14">
        <v>0</v>
      </c>
      <c r="G4" s="14">
        <v>100</v>
      </c>
      <c r="H4" s="14">
        <v>100</v>
      </c>
      <c r="I4" s="14">
        <v>100</v>
      </c>
      <c r="J4" s="14">
        <v>100</v>
      </c>
      <c r="K4" s="14">
        <v>100</v>
      </c>
      <c r="L4" s="14">
        <v>100</v>
      </c>
      <c r="M4" s="14">
        <v>100</v>
      </c>
      <c r="N4" s="14">
        <v>100</v>
      </c>
    </row>
    <row r="22" spans="2:14" ht="24" thickBot="1">
      <c r="F22" s="15" t="s">
        <v>17</v>
      </c>
    </row>
    <row r="23" spans="2:14" ht="23.4" thickBot="1">
      <c r="B23" s="13" t="s">
        <v>15</v>
      </c>
      <c r="C23" s="13">
        <v>1</v>
      </c>
      <c r="D23" s="13">
        <v>2</v>
      </c>
      <c r="E23" s="13">
        <v>3</v>
      </c>
      <c r="F23" s="13">
        <v>4</v>
      </c>
      <c r="G23" s="13">
        <v>5</v>
      </c>
      <c r="H23" s="13">
        <v>6</v>
      </c>
      <c r="I23" s="13">
        <v>7</v>
      </c>
      <c r="J23" s="13">
        <v>8</v>
      </c>
      <c r="K23" s="13">
        <v>9</v>
      </c>
      <c r="L23" s="13">
        <v>10</v>
      </c>
      <c r="M23" s="13">
        <v>11</v>
      </c>
      <c r="N23" s="13">
        <v>12</v>
      </c>
    </row>
    <row r="24" spans="2:14" ht="46.8" thickTop="1" thickBot="1">
      <c r="B24" s="14" t="s">
        <v>16</v>
      </c>
      <c r="C24" s="14">
        <v>100</v>
      </c>
      <c r="D24" s="14">
        <v>100</v>
      </c>
      <c r="E24" s="14">
        <v>100</v>
      </c>
      <c r="F24" s="14">
        <v>0</v>
      </c>
      <c r="G24" s="14">
        <v>160</v>
      </c>
      <c r="H24" s="14">
        <v>80</v>
      </c>
      <c r="I24" s="14">
        <v>100</v>
      </c>
      <c r="J24" s="14">
        <v>100</v>
      </c>
      <c r="K24" s="14">
        <v>100</v>
      </c>
      <c r="L24" s="14">
        <v>100</v>
      </c>
      <c r="M24" s="14">
        <v>100</v>
      </c>
      <c r="N24" s="14">
        <v>100</v>
      </c>
    </row>
    <row r="43" spans="2:14" ht="24" thickBot="1">
      <c r="F43" s="15" t="s">
        <v>18</v>
      </c>
    </row>
    <row r="44" spans="2:14" ht="23.4" thickBot="1">
      <c r="B44" s="13" t="s">
        <v>15</v>
      </c>
      <c r="C44" s="13">
        <v>1</v>
      </c>
      <c r="D44" s="13">
        <v>2</v>
      </c>
      <c r="E44" s="13">
        <v>3</v>
      </c>
      <c r="F44" s="13">
        <v>4</v>
      </c>
      <c r="G44" s="13">
        <v>5</v>
      </c>
      <c r="H44" s="13">
        <v>6</v>
      </c>
      <c r="I44" s="13">
        <v>7</v>
      </c>
      <c r="J44" s="13">
        <v>8</v>
      </c>
      <c r="K44" s="13">
        <v>9</v>
      </c>
      <c r="L44" s="13">
        <v>10</v>
      </c>
      <c r="M44" s="13">
        <v>11</v>
      </c>
      <c r="N44" s="13">
        <v>12</v>
      </c>
    </row>
    <row r="45" spans="2:14" ht="46.8" thickTop="1" thickBot="1">
      <c r="B45" s="14" t="s">
        <v>16</v>
      </c>
      <c r="C45" s="14">
        <f>C46*4</f>
        <v>124</v>
      </c>
      <c r="D45" s="14">
        <f t="shared" ref="D45:N45" si="0">D46*4</f>
        <v>112</v>
      </c>
      <c r="E45" s="14">
        <f t="shared" si="0"/>
        <v>124</v>
      </c>
      <c r="F45" s="14">
        <f t="shared" si="0"/>
        <v>120</v>
      </c>
      <c r="G45" s="14">
        <f t="shared" si="0"/>
        <v>124</v>
      </c>
      <c r="H45" s="14">
        <f t="shared" si="0"/>
        <v>120</v>
      </c>
      <c r="I45" s="14">
        <f t="shared" si="0"/>
        <v>124</v>
      </c>
      <c r="J45" s="14">
        <f t="shared" si="0"/>
        <v>124</v>
      </c>
      <c r="K45" s="14">
        <f t="shared" si="0"/>
        <v>120</v>
      </c>
      <c r="L45" s="14">
        <f t="shared" si="0"/>
        <v>124</v>
      </c>
      <c r="M45" s="14">
        <f t="shared" si="0"/>
        <v>120</v>
      </c>
      <c r="N45" s="14">
        <f t="shared" si="0"/>
        <v>124</v>
      </c>
    </row>
    <row r="46" spans="2:14" ht="21">
      <c r="C46" s="4">
        <v>31</v>
      </c>
      <c r="D46" s="4">
        <v>28</v>
      </c>
      <c r="E46" s="4">
        <v>31</v>
      </c>
      <c r="F46" s="4">
        <v>30</v>
      </c>
      <c r="G46" s="4">
        <v>31</v>
      </c>
      <c r="H46" s="4">
        <v>30</v>
      </c>
      <c r="I46" s="4">
        <v>31</v>
      </c>
      <c r="J46" s="4">
        <v>31</v>
      </c>
      <c r="K46" s="4">
        <v>30</v>
      </c>
      <c r="L46" s="4">
        <v>31</v>
      </c>
      <c r="M46" s="4">
        <v>30</v>
      </c>
      <c r="N46" s="4">
        <v>31</v>
      </c>
    </row>
    <row r="66" spans="2:14" ht="24" thickBot="1">
      <c r="F66" s="15" t="s">
        <v>19</v>
      </c>
    </row>
    <row r="67" spans="2:14" ht="23.4" thickBot="1">
      <c r="B67" s="13" t="s">
        <v>15</v>
      </c>
      <c r="C67" s="13">
        <v>1</v>
      </c>
      <c r="D67" s="13">
        <v>2</v>
      </c>
      <c r="E67" s="13">
        <v>3</v>
      </c>
      <c r="F67" s="13">
        <v>4</v>
      </c>
      <c r="G67" s="13">
        <v>5</v>
      </c>
      <c r="H67" s="13">
        <v>6</v>
      </c>
      <c r="I67" s="13">
        <v>7</v>
      </c>
      <c r="J67" s="13">
        <v>8</v>
      </c>
      <c r="K67" s="13">
        <v>9</v>
      </c>
      <c r="L67" s="13">
        <v>10</v>
      </c>
      <c r="M67" s="13">
        <v>11</v>
      </c>
      <c r="N67" s="13">
        <v>12</v>
      </c>
    </row>
    <row r="68" spans="2:14" ht="46.8" thickTop="1" thickBot="1">
      <c r="B68" s="14" t="s">
        <v>16</v>
      </c>
      <c r="C68" s="14">
        <v>100</v>
      </c>
      <c r="D68" s="14">
        <v>100</v>
      </c>
      <c r="E68" s="14">
        <v>100</v>
      </c>
      <c r="F68" s="14">
        <v>0</v>
      </c>
      <c r="G68" s="14">
        <v>100</v>
      </c>
      <c r="H68" s="14">
        <v>100</v>
      </c>
      <c r="I68" s="14">
        <v>100</v>
      </c>
      <c r="J68" s="14">
        <v>100</v>
      </c>
      <c r="K68" s="14">
        <v>100</v>
      </c>
      <c r="L68" s="14">
        <v>100</v>
      </c>
      <c r="M68" s="14">
        <v>100</v>
      </c>
      <c r="N68" s="14">
        <v>100</v>
      </c>
    </row>
    <row r="69" spans="2:14" ht="70.2" thickBot="1">
      <c r="B69" s="16" t="s">
        <v>20</v>
      </c>
      <c r="C69" s="13">
        <v>110</v>
      </c>
      <c r="D69" s="13">
        <v>110</v>
      </c>
      <c r="E69" s="13">
        <v>110</v>
      </c>
      <c r="F69" s="13">
        <v>10</v>
      </c>
      <c r="G69" s="13">
        <v>110</v>
      </c>
      <c r="H69" s="13">
        <v>110</v>
      </c>
      <c r="I69" s="13">
        <v>110</v>
      </c>
      <c r="J69" s="13">
        <v>110</v>
      </c>
      <c r="K69" s="13">
        <v>110</v>
      </c>
      <c r="L69" s="13">
        <v>110</v>
      </c>
      <c r="M69" s="13">
        <v>110</v>
      </c>
      <c r="N69" s="13">
        <v>110</v>
      </c>
    </row>
    <row r="70" spans="2:14" ht="15" thickTop="1"/>
    <row r="89" spans="2:14" ht="24" thickBot="1">
      <c r="F89" s="15" t="s">
        <v>21</v>
      </c>
    </row>
    <row r="90" spans="2:14" ht="23.4" thickBot="1">
      <c r="B90" s="13" t="s">
        <v>15</v>
      </c>
      <c r="C90" s="13">
        <v>1</v>
      </c>
      <c r="D90" s="13">
        <v>2</v>
      </c>
      <c r="E90" s="13">
        <v>3</v>
      </c>
      <c r="F90" s="13">
        <v>4</v>
      </c>
      <c r="G90" s="13">
        <v>5</v>
      </c>
      <c r="H90" s="13">
        <v>6</v>
      </c>
      <c r="I90" s="13">
        <v>7</v>
      </c>
      <c r="J90" s="13">
        <v>8</v>
      </c>
      <c r="K90" s="13">
        <v>9</v>
      </c>
      <c r="L90" s="13">
        <v>10</v>
      </c>
      <c r="M90" s="13">
        <v>11</v>
      </c>
      <c r="N90" s="13">
        <v>12</v>
      </c>
    </row>
    <row r="91" spans="2:14" ht="46.8" thickTop="1" thickBot="1">
      <c r="B91" s="14" t="s">
        <v>16</v>
      </c>
      <c r="C91" s="14">
        <v>100</v>
      </c>
      <c r="D91" s="14">
        <v>100</v>
      </c>
      <c r="E91" s="14">
        <v>100</v>
      </c>
      <c r="F91" s="14">
        <v>100</v>
      </c>
      <c r="G91" s="14">
        <v>120</v>
      </c>
      <c r="H91" s="14">
        <v>120</v>
      </c>
      <c r="I91" s="14">
        <v>120</v>
      </c>
      <c r="J91" s="14">
        <v>120</v>
      </c>
      <c r="K91" s="14">
        <v>120</v>
      </c>
      <c r="L91" s="14">
        <v>120</v>
      </c>
      <c r="M91" s="14">
        <v>120</v>
      </c>
      <c r="N91" s="14">
        <v>120</v>
      </c>
    </row>
    <row r="92" spans="2:14" ht="46.8" thickTop="1" thickBot="1">
      <c r="B92" s="14" t="s">
        <v>16</v>
      </c>
      <c r="C92" s="14">
        <v>100</v>
      </c>
      <c r="D92" s="14">
        <v>100</v>
      </c>
      <c r="E92" s="14">
        <v>100</v>
      </c>
      <c r="F92" s="14">
        <v>100</v>
      </c>
      <c r="G92" s="14">
        <v>120</v>
      </c>
      <c r="H92" s="14">
        <v>100</v>
      </c>
      <c r="I92" s="14">
        <v>100</v>
      </c>
      <c r="J92" s="14">
        <v>100</v>
      </c>
      <c r="K92" s="14">
        <v>100</v>
      </c>
      <c r="L92" s="14">
        <v>100</v>
      </c>
      <c r="M92" s="14">
        <v>100</v>
      </c>
      <c r="N92" s="14">
        <v>100</v>
      </c>
    </row>
    <row r="93" spans="2:14" ht="46.8" thickTop="1" thickBot="1">
      <c r="B93" s="14" t="s">
        <v>16</v>
      </c>
      <c r="C93" s="14">
        <v>100</v>
      </c>
      <c r="D93" s="14">
        <v>100</v>
      </c>
      <c r="E93" s="14">
        <v>100</v>
      </c>
      <c r="F93" s="14">
        <v>100</v>
      </c>
      <c r="G93" s="14">
        <v>120</v>
      </c>
      <c r="H93" s="14">
        <v>80</v>
      </c>
      <c r="I93" s="14">
        <v>100</v>
      </c>
      <c r="J93" s="14">
        <v>100</v>
      </c>
      <c r="K93" s="14">
        <v>100</v>
      </c>
      <c r="L93" s="14">
        <v>100</v>
      </c>
      <c r="M93" s="14">
        <v>100</v>
      </c>
      <c r="N93" s="14">
        <v>100</v>
      </c>
    </row>
    <row r="111" spans="2:14" ht="24" thickBot="1">
      <c r="F111" s="15" t="s">
        <v>22</v>
      </c>
    </row>
    <row r="112" spans="2:14" ht="23.4" thickBot="1">
      <c r="B112" s="13" t="s">
        <v>15</v>
      </c>
      <c r="C112" s="13">
        <v>1</v>
      </c>
      <c r="D112" s="13">
        <v>2</v>
      </c>
      <c r="E112" s="13">
        <v>3</v>
      </c>
      <c r="F112" s="13">
        <v>4</v>
      </c>
      <c r="G112" s="13">
        <v>5</v>
      </c>
      <c r="H112" s="13">
        <v>6</v>
      </c>
      <c r="I112" s="13">
        <v>7</v>
      </c>
      <c r="J112" s="13">
        <v>8</v>
      </c>
      <c r="K112" s="13">
        <v>9</v>
      </c>
      <c r="L112" s="13">
        <v>10</v>
      </c>
      <c r="M112" s="13">
        <v>11</v>
      </c>
      <c r="N112" s="13">
        <v>12</v>
      </c>
    </row>
    <row r="113" spans="2:14" ht="46.8" thickTop="1" thickBot="1">
      <c r="B113" s="14" t="s">
        <v>16</v>
      </c>
      <c r="C113" s="14">
        <v>100</v>
      </c>
      <c r="D113" s="14">
        <v>100</v>
      </c>
      <c r="E113" s="14">
        <v>100</v>
      </c>
      <c r="F113" s="14">
        <v>300</v>
      </c>
      <c r="G113" s="14">
        <v>100</v>
      </c>
      <c r="H113" s="14">
        <v>100</v>
      </c>
      <c r="I113" s="14">
        <v>100</v>
      </c>
      <c r="J113" s="14">
        <v>100</v>
      </c>
      <c r="K113" s="14">
        <v>100</v>
      </c>
      <c r="L113" s="14">
        <v>100</v>
      </c>
      <c r="M113" s="14">
        <v>100</v>
      </c>
      <c r="N113" s="14">
        <v>100</v>
      </c>
    </row>
    <row r="134" spans="2:14" ht="24" thickBot="1">
      <c r="F134" s="15" t="s">
        <v>23</v>
      </c>
    </row>
    <row r="135" spans="2:14" ht="23.4" thickBot="1">
      <c r="B135" s="13" t="s">
        <v>15</v>
      </c>
      <c r="C135" s="13">
        <v>1</v>
      </c>
      <c r="D135" s="13">
        <v>2</v>
      </c>
      <c r="E135" s="13">
        <v>3</v>
      </c>
      <c r="F135" s="13">
        <v>4</v>
      </c>
      <c r="G135" s="13">
        <v>5</v>
      </c>
      <c r="H135" s="13">
        <v>6</v>
      </c>
      <c r="I135" s="13">
        <v>7</v>
      </c>
      <c r="J135" s="13">
        <v>8</v>
      </c>
      <c r="K135" s="13">
        <v>9</v>
      </c>
      <c r="L135" s="13">
        <v>10</v>
      </c>
      <c r="M135" s="13">
        <v>11</v>
      </c>
      <c r="N135" s="13">
        <v>12</v>
      </c>
    </row>
    <row r="136" spans="2:14" ht="46.8" thickTop="1" thickBot="1">
      <c r="B136" s="14" t="s">
        <v>16</v>
      </c>
      <c r="C136" s="14">
        <v>100</v>
      </c>
      <c r="D136" s="14">
        <v>100</v>
      </c>
      <c r="E136" s="14">
        <v>100</v>
      </c>
      <c r="F136" s="14">
        <v>150</v>
      </c>
      <c r="G136" s="14">
        <v>50</v>
      </c>
      <c r="H136" s="14">
        <v>120</v>
      </c>
      <c r="I136" s="14">
        <v>80</v>
      </c>
      <c r="J136" s="14">
        <v>100</v>
      </c>
      <c r="K136" s="14">
        <v>100</v>
      </c>
      <c r="L136" s="14">
        <v>100</v>
      </c>
      <c r="M136" s="14">
        <v>100</v>
      </c>
      <c r="N136" s="14">
        <v>100</v>
      </c>
    </row>
    <row r="157" spans="2:14" ht="24" thickBot="1">
      <c r="F157" s="15" t="s">
        <v>24</v>
      </c>
    </row>
    <row r="158" spans="2:14" ht="23.4" thickBot="1">
      <c r="B158" s="13" t="s">
        <v>15</v>
      </c>
      <c r="C158" s="13">
        <v>1</v>
      </c>
      <c r="D158" s="13">
        <v>2</v>
      </c>
      <c r="E158" s="13">
        <v>3</v>
      </c>
      <c r="F158" s="13">
        <v>4</v>
      </c>
      <c r="G158" s="13">
        <v>5</v>
      </c>
      <c r="H158" s="13">
        <v>6</v>
      </c>
      <c r="I158" s="13">
        <v>7</v>
      </c>
      <c r="J158" s="13">
        <v>8</v>
      </c>
      <c r="K158" s="13">
        <v>9</v>
      </c>
      <c r="L158" s="13">
        <v>10</v>
      </c>
      <c r="M158" s="13">
        <v>11</v>
      </c>
      <c r="N158" s="13">
        <v>12</v>
      </c>
    </row>
    <row r="159" spans="2:14" ht="46.8" thickTop="1" thickBot="1">
      <c r="B159" s="14" t="s">
        <v>16</v>
      </c>
      <c r="C159" s="14">
        <v>50</v>
      </c>
      <c r="D159" s="14">
        <v>100</v>
      </c>
      <c r="E159" s="14">
        <v>200</v>
      </c>
      <c r="F159" s="14">
        <v>400</v>
      </c>
      <c r="G159" s="14">
        <v>600</v>
      </c>
      <c r="H159" s="14">
        <v>1300</v>
      </c>
      <c r="I159" s="14">
        <v>2500</v>
      </c>
      <c r="J159" s="14">
        <v>4000</v>
      </c>
      <c r="K159" s="14">
        <v>7000</v>
      </c>
      <c r="L159" s="14">
        <v>15000</v>
      </c>
      <c r="M159" s="14">
        <v>25000</v>
      </c>
      <c r="N159" s="14">
        <v>30000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D7C0-BD70-43FF-A58B-F2656EFF95A1}">
  <dimension ref="B2:O38"/>
  <sheetViews>
    <sheetView topLeftCell="A16" workbookViewId="0">
      <selection activeCell="E15" sqref="E15"/>
    </sheetView>
  </sheetViews>
  <sheetFormatPr defaultRowHeight="14.4"/>
  <cols>
    <col min="2" max="2" width="30.21875" bestFit="1" customWidth="1"/>
    <col min="3" max="14" width="12" bestFit="1" customWidth="1"/>
  </cols>
  <sheetData>
    <row r="2" spans="2:15">
      <c r="B2" s="20"/>
      <c r="C2" s="21" t="s">
        <v>25</v>
      </c>
      <c r="D2" s="21" t="s">
        <v>26</v>
      </c>
      <c r="E2" s="21" t="s">
        <v>27</v>
      </c>
      <c r="F2" s="21" t="s">
        <v>28</v>
      </c>
      <c r="G2" s="21" t="s">
        <v>29</v>
      </c>
      <c r="H2" s="21" t="s">
        <v>30</v>
      </c>
      <c r="I2" s="21" t="s">
        <v>31</v>
      </c>
      <c r="J2" s="21" t="s">
        <v>32</v>
      </c>
      <c r="K2" s="21" t="s">
        <v>33</v>
      </c>
      <c r="L2" s="21" t="s">
        <v>34</v>
      </c>
      <c r="M2" s="21" t="s">
        <v>35</v>
      </c>
      <c r="N2" s="21" t="s">
        <v>36</v>
      </c>
      <c r="O2" s="22" t="s">
        <v>5</v>
      </c>
    </row>
    <row r="3" spans="2:15">
      <c r="B3" s="21" t="s">
        <v>37</v>
      </c>
      <c r="C3" s="21">
        <v>960</v>
      </c>
      <c r="D3" s="21">
        <v>1140</v>
      </c>
      <c r="E3" s="21">
        <v>1260</v>
      </c>
      <c r="F3" s="21">
        <v>1140</v>
      </c>
      <c r="G3" s="21">
        <v>1800</v>
      </c>
      <c r="H3" s="21">
        <v>1980</v>
      </c>
      <c r="I3" s="21">
        <v>1260</v>
      </c>
      <c r="J3" s="21">
        <v>1340</v>
      </c>
      <c r="K3" s="21">
        <v>1240</v>
      </c>
      <c r="L3" s="21">
        <v>1800</v>
      </c>
      <c r="M3" s="21">
        <v>2200</v>
      </c>
      <c r="N3" s="21">
        <v>2600</v>
      </c>
      <c r="O3" s="23">
        <f t="shared" ref="O3:O5" si="0">AVERAGE(C3:N3)</f>
        <v>1560</v>
      </c>
    </row>
    <row r="4" spans="2:15">
      <c r="B4" s="21" t="s">
        <v>38</v>
      </c>
      <c r="C4" s="21">
        <v>2400</v>
      </c>
      <c r="D4" s="21">
        <v>2850</v>
      </c>
      <c r="E4" s="21">
        <v>3150</v>
      </c>
      <c r="F4" s="21">
        <v>2850</v>
      </c>
      <c r="G4" s="21">
        <v>4500</v>
      </c>
      <c r="H4" s="21">
        <v>4950</v>
      </c>
      <c r="I4" s="21">
        <v>3150</v>
      </c>
      <c r="J4" s="21">
        <v>3350</v>
      </c>
      <c r="K4" s="21">
        <v>3100</v>
      </c>
      <c r="L4" s="21">
        <v>4500</v>
      </c>
      <c r="M4" s="21">
        <v>5500</v>
      </c>
      <c r="N4" s="21">
        <v>6500</v>
      </c>
      <c r="O4" s="23">
        <f t="shared" si="0"/>
        <v>3900</v>
      </c>
    </row>
    <row r="5" spans="2:15">
      <c r="B5" s="21" t="s">
        <v>39</v>
      </c>
      <c r="C5" s="21">
        <v>1248</v>
      </c>
      <c r="D5" s="21">
        <v>1482</v>
      </c>
      <c r="E5" s="21">
        <v>1638</v>
      </c>
      <c r="F5" s="21">
        <v>1482</v>
      </c>
      <c r="G5" s="21">
        <v>2340</v>
      </c>
      <c r="H5" s="21">
        <v>2574</v>
      </c>
      <c r="I5" s="21">
        <v>1638</v>
      </c>
      <c r="J5" s="21">
        <v>1742</v>
      </c>
      <c r="K5" s="21">
        <v>1612</v>
      </c>
      <c r="L5" s="21">
        <v>2340</v>
      </c>
      <c r="M5" s="21">
        <v>2860</v>
      </c>
      <c r="N5" s="21">
        <v>3380</v>
      </c>
      <c r="O5" s="23">
        <f t="shared" si="0"/>
        <v>2028</v>
      </c>
    </row>
    <row r="6" spans="2:15">
      <c r="B6" s="21" t="s">
        <v>40</v>
      </c>
      <c r="C6" s="21">
        <v>58</v>
      </c>
      <c r="D6" s="21">
        <v>68</v>
      </c>
      <c r="E6" s="21">
        <v>76</v>
      </c>
      <c r="F6" s="21">
        <v>68</v>
      </c>
      <c r="G6" s="21">
        <v>108</v>
      </c>
      <c r="H6" s="21">
        <v>119</v>
      </c>
      <c r="I6" s="21">
        <v>76</v>
      </c>
      <c r="J6" s="21">
        <v>80</v>
      </c>
      <c r="K6" s="21">
        <v>74</v>
      </c>
      <c r="L6" s="21">
        <v>108</v>
      </c>
      <c r="M6" s="21">
        <v>132</v>
      </c>
      <c r="N6" s="21">
        <v>156</v>
      </c>
      <c r="O6" s="23">
        <f>AVERAGE(C6:N6)</f>
        <v>93.583333333333329</v>
      </c>
    </row>
    <row r="7" spans="2:15" ht="14.4" customHeight="1">
      <c r="B7" s="24" t="s">
        <v>41</v>
      </c>
      <c r="C7" s="21">
        <v>72</v>
      </c>
      <c r="D7" s="21">
        <v>86</v>
      </c>
      <c r="E7" s="21">
        <v>95</v>
      </c>
      <c r="F7" s="21">
        <v>86</v>
      </c>
      <c r="G7" s="21">
        <v>135</v>
      </c>
      <c r="H7" s="21">
        <v>149</v>
      </c>
      <c r="I7" s="21">
        <v>94</v>
      </c>
      <c r="J7" s="21">
        <v>101</v>
      </c>
      <c r="K7" s="21">
        <v>93</v>
      </c>
      <c r="L7" s="21">
        <v>135</v>
      </c>
      <c r="M7" s="21">
        <v>165</v>
      </c>
      <c r="N7" s="21">
        <v>195</v>
      </c>
      <c r="O7" s="23">
        <f t="shared" ref="O7:O13" si="1">AVERAGE(C7:N7)</f>
        <v>117.16666666666667</v>
      </c>
    </row>
    <row r="8" spans="2:15">
      <c r="B8" s="21" t="s">
        <v>42</v>
      </c>
      <c r="C8" s="21">
        <v>48</v>
      </c>
      <c r="D8" s="21">
        <v>57</v>
      </c>
      <c r="E8" s="21">
        <v>63</v>
      </c>
      <c r="F8" s="21">
        <v>57</v>
      </c>
      <c r="G8" s="21">
        <v>90</v>
      </c>
      <c r="H8" s="21">
        <v>99</v>
      </c>
      <c r="I8" s="21">
        <v>63</v>
      </c>
      <c r="J8" s="21">
        <v>67</v>
      </c>
      <c r="K8" s="21">
        <v>62</v>
      </c>
      <c r="L8" s="21">
        <v>90</v>
      </c>
      <c r="M8" s="21">
        <v>110</v>
      </c>
      <c r="N8" s="21">
        <v>130</v>
      </c>
      <c r="O8" s="23">
        <f t="shared" si="1"/>
        <v>78</v>
      </c>
    </row>
    <row r="9" spans="2:15">
      <c r="B9" s="21" t="s">
        <v>43</v>
      </c>
      <c r="C9" s="25">
        <v>2600</v>
      </c>
      <c r="D9" s="25">
        <v>4031</v>
      </c>
      <c r="E9" s="25">
        <v>1089</v>
      </c>
      <c r="F9" s="25">
        <v>6985</v>
      </c>
      <c r="G9" s="25">
        <v>1556</v>
      </c>
      <c r="H9" s="25">
        <v>1775</v>
      </c>
      <c r="I9" s="25">
        <v>7759</v>
      </c>
      <c r="J9" s="25">
        <v>1158</v>
      </c>
      <c r="K9" s="25">
        <v>3072</v>
      </c>
      <c r="L9" s="25">
        <v>1556</v>
      </c>
      <c r="M9" s="25">
        <v>17211</v>
      </c>
      <c r="N9" s="25">
        <v>2247</v>
      </c>
      <c r="O9" s="23">
        <f t="shared" si="1"/>
        <v>4253.25</v>
      </c>
    </row>
    <row r="10" spans="2:15">
      <c r="B10" s="21" t="s">
        <v>48</v>
      </c>
      <c r="C10" s="25">
        <v>3020</v>
      </c>
      <c r="D10" s="25">
        <v>7460</v>
      </c>
      <c r="E10" s="25">
        <v>3268</v>
      </c>
      <c r="F10" s="25">
        <v>2956</v>
      </c>
      <c r="G10" s="25">
        <v>5668</v>
      </c>
      <c r="H10" s="25">
        <v>17530</v>
      </c>
      <c r="I10" s="25">
        <v>3266</v>
      </c>
      <c r="J10" s="25">
        <v>3474</v>
      </c>
      <c r="K10" s="25">
        <v>7216</v>
      </c>
      <c r="L10" s="25">
        <v>4668</v>
      </c>
      <c r="M10" s="25">
        <v>5704</v>
      </c>
      <c r="N10" s="25">
        <v>6740</v>
      </c>
      <c r="O10" s="23">
        <f t="shared" si="1"/>
        <v>5914.166666666667</v>
      </c>
    </row>
    <row r="11" spans="2:15">
      <c r="B11" s="21" t="s">
        <v>45</v>
      </c>
      <c r="C11" s="25">
        <v>6000</v>
      </c>
      <c r="D11" s="25">
        <v>2300</v>
      </c>
      <c r="E11" s="25">
        <v>10890</v>
      </c>
      <c r="F11" s="25">
        <v>3850</v>
      </c>
      <c r="G11" s="25">
        <v>14700</v>
      </c>
      <c r="H11" s="25">
        <v>4650</v>
      </c>
      <c r="I11" s="25">
        <v>4220</v>
      </c>
      <c r="J11" s="25">
        <v>11580</v>
      </c>
      <c r="K11" s="25">
        <v>4720</v>
      </c>
      <c r="L11" s="25">
        <v>15560</v>
      </c>
      <c r="M11" s="25">
        <v>3700</v>
      </c>
      <c r="N11" s="25">
        <v>22470</v>
      </c>
      <c r="O11" s="23">
        <f t="shared" si="1"/>
        <v>8720</v>
      </c>
    </row>
    <row r="12" spans="2:15">
      <c r="B12" s="21" t="s">
        <v>49</v>
      </c>
      <c r="C12" s="21">
        <v>1920</v>
      </c>
      <c r="D12" s="21">
        <v>1680</v>
      </c>
      <c r="E12" s="21">
        <v>5080</v>
      </c>
      <c r="F12" s="21">
        <v>2280</v>
      </c>
      <c r="G12" s="21">
        <v>3600</v>
      </c>
      <c r="H12" s="21">
        <v>7600</v>
      </c>
      <c r="I12" s="21">
        <v>2520</v>
      </c>
      <c r="J12" s="21">
        <v>1600</v>
      </c>
      <c r="K12" s="21">
        <v>2480</v>
      </c>
      <c r="L12" s="21">
        <v>4600</v>
      </c>
      <c r="M12" s="21">
        <v>4400</v>
      </c>
      <c r="N12" s="21">
        <v>10200</v>
      </c>
      <c r="O12" s="23">
        <f t="shared" si="1"/>
        <v>3996.6666666666665</v>
      </c>
    </row>
    <row r="13" spans="2:15">
      <c r="B13" s="21" t="s">
        <v>50</v>
      </c>
      <c r="C13" s="21">
        <v>2880</v>
      </c>
      <c r="D13" s="21">
        <v>4020</v>
      </c>
      <c r="E13" s="21">
        <v>1220</v>
      </c>
      <c r="F13" s="21">
        <v>3420</v>
      </c>
      <c r="G13" s="21">
        <v>5400</v>
      </c>
      <c r="H13" s="21">
        <v>2300</v>
      </c>
      <c r="I13" s="21">
        <v>3780</v>
      </c>
      <c r="J13" s="21">
        <v>5100</v>
      </c>
      <c r="K13" s="21">
        <v>3720</v>
      </c>
      <c r="L13" s="21">
        <v>4400</v>
      </c>
      <c r="M13" s="21">
        <v>6600</v>
      </c>
      <c r="N13" s="21">
        <v>7800</v>
      </c>
      <c r="O13" s="23">
        <f t="shared" si="1"/>
        <v>4220</v>
      </c>
    </row>
    <row r="17" spans="2:15">
      <c r="B17" s="21" t="s">
        <v>37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 spans="2:15">
      <c r="B18" s="21" t="s">
        <v>38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</row>
    <row r="19" spans="2:15">
      <c r="B19" s="21" t="s">
        <v>39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</row>
    <row r="20" spans="2:15">
      <c r="B20" s="21" t="s">
        <v>40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</row>
    <row r="21" spans="2:15">
      <c r="B21" s="24" t="s">
        <v>41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</row>
    <row r="22" spans="2:15">
      <c r="B22" s="21" t="s">
        <v>42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</row>
    <row r="23" spans="2:15">
      <c r="B23" s="21" t="s">
        <v>51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</row>
    <row r="24" spans="2:15">
      <c r="B24" s="21" t="s">
        <v>52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</row>
    <row r="27" spans="2:15">
      <c r="B27" s="21" t="s">
        <v>51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0" t="e">
        <f>AVERAGE(C27:N27)</f>
        <v>#DIV/0!</v>
      </c>
    </row>
    <row r="28" spans="2:15">
      <c r="B28" s="21" t="s">
        <v>52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0" t="e">
        <f>AVERAGE(C28:N28)</f>
        <v>#DIV/0!</v>
      </c>
    </row>
    <row r="29" spans="2:1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2:1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>
      <c r="B31" s="21" t="s">
        <v>37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0"/>
    </row>
    <row r="32" spans="2:15">
      <c r="B32" s="21" t="s">
        <v>38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0"/>
    </row>
    <row r="33" spans="2:15">
      <c r="B33" s="21" t="s">
        <v>39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0"/>
    </row>
    <row r="34" spans="2:15">
      <c r="B34" s="21" t="s">
        <v>40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0"/>
    </row>
    <row r="35" spans="2:15">
      <c r="B35" s="24" t="s">
        <v>41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0"/>
    </row>
    <row r="36" spans="2:15">
      <c r="B36" s="21" t="s">
        <v>42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0"/>
    </row>
    <row r="37" spans="2:15">
      <c r="B37" s="21" t="s">
        <v>51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20"/>
    </row>
    <row r="38" spans="2:15">
      <c r="B38" s="21" t="s">
        <v>52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5200-2A90-40EF-BE77-6B8257641A96}">
  <dimension ref="B2:O38"/>
  <sheetViews>
    <sheetView topLeftCell="A4" workbookViewId="0">
      <selection activeCell="B17" sqref="B17:N24"/>
    </sheetView>
  </sheetViews>
  <sheetFormatPr defaultRowHeight="14.4"/>
  <cols>
    <col min="2" max="2" width="30.21875" bestFit="1" customWidth="1"/>
    <col min="3" max="14" width="12" bestFit="1" customWidth="1"/>
  </cols>
  <sheetData>
    <row r="2" spans="2:15">
      <c r="B2" s="20"/>
      <c r="C2" s="21" t="s">
        <v>25</v>
      </c>
      <c r="D2" s="21" t="s">
        <v>26</v>
      </c>
      <c r="E2" s="21" t="s">
        <v>27</v>
      </c>
      <c r="F2" s="21" t="s">
        <v>28</v>
      </c>
      <c r="G2" s="21" t="s">
        <v>29</v>
      </c>
      <c r="H2" s="21" t="s">
        <v>30</v>
      </c>
      <c r="I2" s="21" t="s">
        <v>31</v>
      </c>
      <c r="J2" s="21" t="s">
        <v>32</v>
      </c>
      <c r="K2" s="21" t="s">
        <v>33</v>
      </c>
      <c r="L2" s="21" t="s">
        <v>34</v>
      </c>
      <c r="M2" s="21" t="s">
        <v>35</v>
      </c>
      <c r="N2" s="21" t="s">
        <v>36</v>
      </c>
      <c r="O2" s="22" t="s">
        <v>5</v>
      </c>
    </row>
    <row r="3" spans="2:15">
      <c r="B3" s="21" t="s">
        <v>37</v>
      </c>
      <c r="C3" s="21">
        <v>960</v>
      </c>
      <c r="D3" s="21">
        <v>1140</v>
      </c>
      <c r="E3" s="21">
        <v>1260</v>
      </c>
      <c r="F3" s="21">
        <v>1140</v>
      </c>
      <c r="G3" s="21">
        <v>1800</v>
      </c>
      <c r="H3" s="21">
        <v>1980</v>
      </c>
      <c r="I3" s="21">
        <v>1260</v>
      </c>
      <c r="J3" s="21">
        <v>1340</v>
      </c>
      <c r="K3" s="21">
        <v>1240</v>
      </c>
      <c r="L3" s="21">
        <v>1800</v>
      </c>
      <c r="M3" s="21">
        <v>2200</v>
      </c>
      <c r="N3" s="21">
        <v>2600</v>
      </c>
      <c r="O3" s="23">
        <f t="shared" ref="O3:O5" si="0">AVERAGE(C3:N3)</f>
        <v>1560</v>
      </c>
    </row>
    <row r="4" spans="2:15">
      <c r="B4" s="21" t="s">
        <v>38</v>
      </c>
      <c r="C4" s="21">
        <v>2400</v>
      </c>
      <c r="D4" s="21">
        <v>2850</v>
      </c>
      <c r="E4" s="21">
        <v>3150</v>
      </c>
      <c r="F4" s="21">
        <v>2850</v>
      </c>
      <c r="G4" s="21">
        <v>4500</v>
      </c>
      <c r="H4" s="21">
        <v>4950</v>
      </c>
      <c r="I4" s="21">
        <v>3150</v>
      </c>
      <c r="J4" s="21">
        <v>3350</v>
      </c>
      <c r="K4" s="21">
        <v>3100</v>
      </c>
      <c r="L4" s="21">
        <v>4500</v>
      </c>
      <c r="M4" s="21">
        <v>5500</v>
      </c>
      <c r="N4" s="21">
        <v>6500</v>
      </c>
      <c r="O4" s="23">
        <f t="shared" si="0"/>
        <v>3900</v>
      </c>
    </row>
    <row r="5" spans="2:15">
      <c r="B5" s="21" t="s">
        <v>39</v>
      </c>
      <c r="C5" s="21">
        <v>1248</v>
      </c>
      <c r="D5" s="21">
        <v>1482</v>
      </c>
      <c r="E5" s="21">
        <v>1638</v>
      </c>
      <c r="F5" s="21">
        <v>1482</v>
      </c>
      <c r="G5" s="21">
        <v>2340</v>
      </c>
      <c r="H5" s="21">
        <v>2574</v>
      </c>
      <c r="I5" s="21">
        <v>1638</v>
      </c>
      <c r="J5" s="21">
        <v>1742</v>
      </c>
      <c r="K5" s="21">
        <v>1612</v>
      </c>
      <c r="L5" s="21">
        <v>2340</v>
      </c>
      <c r="M5" s="21">
        <v>2860</v>
      </c>
      <c r="N5" s="21">
        <v>3380</v>
      </c>
      <c r="O5" s="23">
        <f t="shared" si="0"/>
        <v>2028</v>
      </c>
    </row>
    <row r="6" spans="2:15">
      <c r="B6" s="21" t="s">
        <v>40</v>
      </c>
      <c r="C6" s="21">
        <v>58</v>
      </c>
      <c r="D6" s="21">
        <v>68</v>
      </c>
      <c r="E6" s="21">
        <v>76</v>
      </c>
      <c r="F6" s="21">
        <v>68</v>
      </c>
      <c r="G6" s="21">
        <v>108</v>
      </c>
      <c r="H6" s="21">
        <v>119</v>
      </c>
      <c r="I6" s="21">
        <v>76</v>
      </c>
      <c r="J6" s="21">
        <v>80</v>
      </c>
      <c r="K6" s="21">
        <v>74</v>
      </c>
      <c r="L6" s="21">
        <v>108</v>
      </c>
      <c r="M6" s="21">
        <v>132</v>
      </c>
      <c r="N6" s="21">
        <v>156</v>
      </c>
      <c r="O6" s="23">
        <f>AVERAGE(C6:N6)</f>
        <v>93.583333333333329</v>
      </c>
    </row>
    <row r="7" spans="2:15" ht="14.4" customHeight="1">
      <c r="B7" s="24" t="s">
        <v>41</v>
      </c>
      <c r="C7" s="21">
        <v>72</v>
      </c>
      <c r="D7" s="21">
        <v>86</v>
      </c>
      <c r="E7" s="21">
        <v>95</v>
      </c>
      <c r="F7" s="21">
        <v>86</v>
      </c>
      <c r="G7" s="21">
        <v>135</v>
      </c>
      <c r="H7" s="21">
        <v>149</v>
      </c>
      <c r="I7" s="21">
        <v>94</v>
      </c>
      <c r="J7" s="21">
        <v>101</v>
      </c>
      <c r="K7" s="21">
        <v>93</v>
      </c>
      <c r="L7" s="21">
        <v>135</v>
      </c>
      <c r="M7" s="21">
        <v>165</v>
      </c>
      <c r="N7" s="21">
        <v>195</v>
      </c>
      <c r="O7" s="23">
        <f t="shared" ref="O7:O13" si="1">AVERAGE(C7:N7)</f>
        <v>117.16666666666667</v>
      </c>
    </row>
    <row r="8" spans="2:15">
      <c r="B8" s="21" t="s">
        <v>42</v>
      </c>
      <c r="C8" s="21">
        <v>48</v>
      </c>
      <c r="D8" s="21">
        <v>57</v>
      </c>
      <c r="E8" s="21">
        <v>63</v>
      </c>
      <c r="F8" s="21">
        <v>57</v>
      </c>
      <c r="G8" s="21">
        <v>90</v>
      </c>
      <c r="H8" s="21">
        <v>99</v>
      </c>
      <c r="I8" s="21">
        <v>63</v>
      </c>
      <c r="J8" s="21">
        <v>67</v>
      </c>
      <c r="K8" s="21">
        <v>62</v>
      </c>
      <c r="L8" s="21">
        <v>90</v>
      </c>
      <c r="M8" s="21">
        <v>110</v>
      </c>
      <c r="N8" s="21">
        <v>130</v>
      </c>
      <c r="O8" s="23">
        <f t="shared" si="1"/>
        <v>78</v>
      </c>
    </row>
    <row r="9" spans="2:15">
      <c r="B9" s="21" t="s">
        <v>43</v>
      </c>
      <c r="C9" s="25">
        <v>2600</v>
      </c>
      <c r="D9" s="25">
        <v>4031</v>
      </c>
      <c r="E9" s="25">
        <v>1089</v>
      </c>
      <c r="F9" s="25">
        <v>6985</v>
      </c>
      <c r="G9" s="25">
        <v>1556</v>
      </c>
      <c r="H9" s="25">
        <v>1775</v>
      </c>
      <c r="I9" s="25">
        <v>7759</v>
      </c>
      <c r="J9" s="25">
        <v>1158</v>
      </c>
      <c r="K9" s="25">
        <v>3072</v>
      </c>
      <c r="L9" s="25">
        <v>1556</v>
      </c>
      <c r="M9" s="25">
        <v>17211</v>
      </c>
      <c r="N9" s="25">
        <v>2247</v>
      </c>
      <c r="O9" s="23">
        <f t="shared" si="1"/>
        <v>4253.25</v>
      </c>
    </row>
    <row r="10" spans="2:15">
      <c r="B10" s="21" t="s">
        <v>48</v>
      </c>
      <c r="C10" s="25">
        <v>3020</v>
      </c>
      <c r="D10" s="25">
        <v>7460</v>
      </c>
      <c r="E10" s="25">
        <v>3268</v>
      </c>
      <c r="F10" s="25">
        <v>2956</v>
      </c>
      <c r="G10" s="25">
        <v>5668</v>
      </c>
      <c r="H10" s="25">
        <v>17530</v>
      </c>
      <c r="I10" s="25">
        <v>3266</v>
      </c>
      <c r="J10" s="25">
        <v>3474</v>
      </c>
      <c r="K10" s="25">
        <v>7216</v>
      </c>
      <c r="L10" s="25">
        <v>4668</v>
      </c>
      <c r="M10" s="25">
        <v>5704</v>
      </c>
      <c r="N10" s="25">
        <v>6740</v>
      </c>
      <c r="O10" s="23">
        <f t="shared" si="1"/>
        <v>5914.166666666667</v>
      </c>
    </row>
    <row r="11" spans="2:15">
      <c r="B11" s="21" t="s">
        <v>45</v>
      </c>
      <c r="C11" s="25">
        <v>6000</v>
      </c>
      <c r="D11" s="25">
        <v>2300</v>
      </c>
      <c r="E11" s="25">
        <v>10890</v>
      </c>
      <c r="F11" s="25">
        <v>3850</v>
      </c>
      <c r="G11" s="25">
        <v>14700</v>
      </c>
      <c r="H11" s="25">
        <v>4650</v>
      </c>
      <c r="I11" s="25">
        <v>4220</v>
      </c>
      <c r="J11" s="25">
        <v>11580</v>
      </c>
      <c r="K11" s="25">
        <v>4720</v>
      </c>
      <c r="L11" s="25">
        <v>15560</v>
      </c>
      <c r="M11" s="25">
        <v>3700</v>
      </c>
      <c r="N11" s="25">
        <v>22470</v>
      </c>
      <c r="O11" s="23">
        <f t="shared" si="1"/>
        <v>8720</v>
      </c>
    </row>
    <row r="12" spans="2:15">
      <c r="B12" s="21" t="s">
        <v>49</v>
      </c>
      <c r="C12" s="21">
        <v>1920</v>
      </c>
      <c r="D12" s="21">
        <v>1680</v>
      </c>
      <c r="E12" s="21">
        <v>5080</v>
      </c>
      <c r="F12" s="21">
        <v>2280</v>
      </c>
      <c r="G12" s="21">
        <v>3600</v>
      </c>
      <c r="H12" s="21">
        <v>7600</v>
      </c>
      <c r="I12" s="21">
        <v>2520</v>
      </c>
      <c r="J12" s="21">
        <v>1600</v>
      </c>
      <c r="K12" s="21">
        <v>2480</v>
      </c>
      <c r="L12" s="21">
        <v>4600</v>
      </c>
      <c r="M12" s="21">
        <v>4400</v>
      </c>
      <c r="N12" s="21">
        <v>10200</v>
      </c>
      <c r="O12" s="23">
        <f t="shared" si="1"/>
        <v>3996.6666666666665</v>
      </c>
    </row>
    <row r="13" spans="2:15">
      <c r="B13" s="21" t="s">
        <v>50</v>
      </c>
      <c r="C13" s="21">
        <v>2880</v>
      </c>
      <c r="D13" s="21">
        <v>4020</v>
      </c>
      <c r="E13" s="21">
        <v>1220</v>
      </c>
      <c r="F13" s="21">
        <v>3420</v>
      </c>
      <c r="G13" s="21">
        <v>5400</v>
      </c>
      <c r="H13" s="21">
        <v>2300</v>
      </c>
      <c r="I13" s="21">
        <v>3780</v>
      </c>
      <c r="J13" s="21">
        <v>5100</v>
      </c>
      <c r="K13" s="21">
        <v>3720</v>
      </c>
      <c r="L13" s="21">
        <v>4400</v>
      </c>
      <c r="M13" s="21">
        <v>6600</v>
      </c>
      <c r="N13" s="21">
        <v>7800</v>
      </c>
      <c r="O13" s="23">
        <f t="shared" si="1"/>
        <v>4220</v>
      </c>
    </row>
    <row r="17" spans="2:15">
      <c r="B17" s="21" t="s">
        <v>37</v>
      </c>
      <c r="C17" s="21">
        <f>C3/$O3</f>
        <v>0.61538461538461542</v>
      </c>
      <c r="D17" s="21">
        <f t="shared" ref="D17:N17" si="2">D3/$O3</f>
        <v>0.73076923076923073</v>
      </c>
      <c r="E17" s="21">
        <f t="shared" si="2"/>
        <v>0.80769230769230771</v>
      </c>
      <c r="F17" s="21">
        <f t="shared" si="2"/>
        <v>0.73076923076923073</v>
      </c>
      <c r="G17" s="21">
        <f t="shared" si="2"/>
        <v>1.1538461538461537</v>
      </c>
      <c r="H17" s="21">
        <f t="shared" si="2"/>
        <v>1.2692307692307692</v>
      </c>
      <c r="I17" s="21">
        <f t="shared" si="2"/>
        <v>0.80769230769230771</v>
      </c>
      <c r="J17" s="21">
        <f t="shared" si="2"/>
        <v>0.85897435897435892</v>
      </c>
      <c r="K17" s="21">
        <f t="shared" si="2"/>
        <v>0.79487179487179482</v>
      </c>
      <c r="L17" s="21">
        <f t="shared" si="2"/>
        <v>1.1538461538461537</v>
      </c>
      <c r="M17" s="21">
        <f t="shared" si="2"/>
        <v>1.4102564102564104</v>
      </c>
      <c r="N17" s="21">
        <f t="shared" si="2"/>
        <v>1.6666666666666667</v>
      </c>
    </row>
    <row r="18" spans="2:15">
      <c r="B18" s="21" t="s">
        <v>38</v>
      </c>
      <c r="C18" s="21">
        <f t="shared" ref="C18:N22" si="3">C4/$O4</f>
        <v>0.61538461538461542</v>
      </c>
      <c r="D18" s="21">
        <f t="shared" si="3"/>
        <v>0.73076923076923073</v>
      </c>
      <c r="E18" s="21">
        <f t="shared" si="3"/>
        <v>0.80769230769230771</v>
      </c>
      <c r="F18" s="21">
        <f t="shared" si="3"/>
        <v>0.73076923076923073</v>
      </c>
      <c r="G18" s="21">
        <f t="shared" si="3"/>
        <v>1.1538461538461537</v>
      </c>
      <c r="H18" s="21">
        <f t="shared" si="3"/>
        <v>1.2692307692307692</v>
      </c>
      <c r="I18" s="21">
        <f t="shared" si="3"/>
        <v>0.80769230769230771</v>
      </c>
      <c r="J18" s="21">
        <f t="shared" si="3"/>
        <v>0.85897435897435892</v>
      </c>
      <c r="K18" s="21">
        <f t="shared" si="3"/>
        <v>0.79487179487179482</v>
      </c>
      <c r="L18" s="21">
        <f t="shared" si="3"/>
        <v>1.1538461538461537</v>
      </c>
      <c r="M18" s="21">
        <f t="shared" si="3"/>
        <v>1.4102564102564104</v>
      </c>
      <c r="N18" s="21">
        <f t="shared" si="3"/>
        <v>1.6666666666666667</v>
      </c>
    </row>
    <row r="19" spans="2:15">
      <c r="B19" s="21" t="s">
        <v>39</v>
      </c>
      <c r="C19" s="21">
        <f t="shared" si="3"/>
        <v>0.61538461538461542</v>
      </c>
      <c r="D19" s="21">
        <f t="shared" si="3"/>
        <v>0.73076923076923073</v>
      </c>
      <c r="E19" s="21">
        <f t="shared" si="3"/>
        <v>0.80769230769230771</v>
      </c>
      <c r="F19" s="21">
        <f t="shared" si="3"/>
        <v>0.73076923076923073</v>
      </c>
      <c r="G19" s="21">
        <f t="shared" si="3"/>
        <v>1.1538461538461537</v>
      </c>
      <c r="H19" s="21">
        <f t="shared" si="3"/>
        <v>1.2692307692307692</v>
      </c>
      <c r="I19" s="21">
        <f t="shared" si="3"/>
        <v>0.80769230769230771</v>
      </c>
      <c r="J19" s="21">
        <f t="shared" si="3"/>
        <v>0.85897435897435892</v>
      </c>
      <c r="K19" s="21">
        <f t="shared" si="3"/>
        <v>0.79487179487179482</v>
      </c>
      <c r="L19" s="21">
        <f t="shared" si="3"/>
        <v>1.1538461538461537</v>
      </c>
      <c r="M19" s="21">
        <f t="shared" si="3"/>
        <v>1.4102564102564104</v>
      </c>
      <c r="N19" s="21">
        <f t="shared" si="3"/>
        <v>1.6666666666666667</v>
      </c>
    </row>
    <row r="20" spans="2:15">
      <c r="B20" s="21" t="s">
        <v>40</v>
      </c>
      <c r="C20" s="21">
        <f t="shared" si="3"/>
        <v>0.61976847729296525</v>
      </c>
      <c r="D20" s="21">
        <f t="shared" si="3"/>
        <v>0.72662511130899377</v>
      </c>
      <c r="E20" s="21">
        <f t="shared" si="3"/>
        <v>0.81211041852181665</v>
      </c>
      <c r="F20" s="21">
        <f t="shared" si="3"/>
        <v>0.72662511130899377</v>
      </c>
      <c r="G20" s="21">
        <f t="shared" si="3"/>
        <v>1.1540516473731077</v>
      </c>
      <c r="H20" s="21">
        <f t="shared" si="3"/>
        <v>1.2715939447907392</v>
      </c>
      <c r="I20" s="21">
        <f t="shared" si="3"/>
        <v>0.81211041852181665</v>
      </c>
      <c r="J20" s="21">
        <f t="shared" si="3"/>
        <v>0.85485307212822803</v>
      </c>
      <c r="K20" s="21">
        <f t="shared" si="3"/>
        <v>0.7907390917186109</v>
      </c>
      <c r="L20" s="21">
        <f t="shared" si="3"/>
        <v>1.1540516473731077</v>
      </c>
      <c r="M20" s="21">
        <f t="shared" si="3"/>
        <v>1.4105075690115763</v>
      </c>
      <c r="N20" s="21">
        <f t="shared" si="3"/>
        <v>1.6669634906500446</v>
      </c>
    </row>
    <row r="21" spans="2:15">
      <c r="B21" s="24" t="s">
        <v>41</v>
      </c>
      <c r="C21" s="21">
        <f t="shared" si="3"/>
        <v>0.61450924608819346</v>
      </c>
      <c r="D21" s="21">
        <f t="shared" si="3"/>
        <v>0.73399715504978658</v>
      </c>
      <c r="E21" s="21">
        <f t="shared" si="3"/>
        <v>0.81081081081081074</v>
      </c>
      <c r="F21" s="21">
        <f t="shared" si="3"/>
        <v>0.73399715504978658</v>
      </c>
      <c r="G21" s="21">
        <f t="shared" si="3"/>
        <v>1.1522048364153628</v>
      </c>
      <c r="H21" s="21">
        <f t="shared" si="3"/>
        <v>1.2716927453769558</v>
      </c>
      <c r="I21" s="21">
        <f t="shared" si="3"/>
        <v>0.80227596017069702</v>
      </c>
      <c r="J21" s="21">
        <f t="shared" si="3"/>
        <v>0.86201991465149352</v>
      </c>
      <c r="K21" s="21">
        <f t="shared" si="3"/>
        <v>0.79374110953058319</v>
      </c>
      <c r="L21" s="21">
        <f t="shared" si="3"/>
        <v>1.1522048364153628</v>
      </c>
      <c r="M21" s="21">
        <f t="shared" si="3"/>
        <v>1.4082503556187767</v>
      </c>
      <c r="N21" s="21">
        <f t="shared" si="3"/>
        <v>1.6642958748221905</v>
      </c>
    </row>
    <row r="22" spans="2:15">
      <c r="B22" s="21" t="s">
        <v>42</v>
      </c>
      <c r="C22" s="21">
        <f t="shared" si="3"/>
        <v>0.61538461538461542</v>
      </c>
      <c r="D22" s="21">
        <f t="shared" si="3"/>
        <v>0.73076923076923073</v>
      </c>
      <c r="E22" s="21">
        <f t="shared" si="3"/>
        <v>0.80769230769230771</v>
      </c>
      <c r="F22" s="21">
        <f t="shared" si="3"/>
        <v>0.73076923076923073</v>
      </c>
      <c r="G22" s="21">
        <f t="shared" si="3"/>
        <v>1.1538461538461537</v>
      </c>
      <c r="H22" s="21">
        <f t="shared" si="3"/>
        <v>1.2692307692307692</v>
      </c>
      <c r="I22" s="21">
        <f t="shared" si="3"/>
        <v>0.80769230769230771</v>
      </c>
      <c r="J22" s="21">
        <f t="shared" si="3"/>
        <v>0.85897435897435892</v>
      </c>
      <c r="K22" s="21">
        <f t="shared" si="3"/>
        <v>0.79487179487179482</v>
      </c>
      <c r="L22" s="21">
        <f t="shared" si="3"/>
        <v>1.1538461538461537</v>
      </c>
      <c r="M22" s="21">
        <f t="shared" si="3"/>
        <v>1.4102564102564104</v>
      </c>
      <c r="N22" s="21">
        <f t="shared" si="3"/>
        <v>1.6666666666666667</v>
      </c>
    </row>
    <row r="23" spans="2:15">
      <c r="B23" s="21" t="s">
        <v>51</v>
      </c>
      <c r="C23" s="21">
        <f>C27/$O27</f>
        <v>0.61522442190347182</v>
      </c>
      <c r="D23" s="21">
        <f t="shared" ref="D23:N24" si="4">D27/$O27</f>
        <v>0.7301686749114269</v>
      </c>
      <c r="E23" s="21">
        <f t="shared" si="4"/>
        <v>0.80725703621017519</v>
      </c>
      <c r="F23" s="21">
        <f t="shared" si="4"/>
        <v>0.7301686749114269</v>
      </c>
      <c r="G23" s="21">
        <f t="shared" si="4"/>
        <v>1.1607728249407674</v>
      </c>
      <c r="H23" s="21">
        <f t="shared" si="4"/>
        <v>1.2683047355161505</v>
      </c>
      <c r="I23" s="21">
        <f t="shared" si="4"/>
        <v>0.80715114560399559</v>
      </c>
      <c r="J23" s="21">
        <f t="shared" si="4"/>
        <v>0.85834925369183179</v>
      </c>
      <c r="K23" s="21">
        <f t="shared" si="4"/>
        <v>0.79460310877171303</v>
      </c>
      <c r="L23" s="21">
        <f t="shared" si="4"/>
        <v>1.1533604825081953</v>
      </c>
      <c r="M23" s="21">
        <f t="shared" si="4"/>
        <v>1.4091392417350175</v>
      </c>
      <c r="N23" s="21">
        <f t="shared" si="4"/>
        <v>1.6655003992958273</v>
      </c>
    </row>
    <row r="24" spans="2:15">
      <c r="B24" s="21" t="s">
        <v>52</v>
      </c>
      <c r="C24" s="21">
        <f>C28/$O28</f>
        <v>0.58417849898580121</v>
      </c>
      <c r="D24" s="21">
        <f t="shared" si="4"/>
        <v>0.69371196754563902</v>
      </c>
      <c r="E24" s="21">
        <f t="shared" si="4"/>
        <v>0.76673427991886411</v>
      </c>
      <c r="F24" s="21">
        <f t="shared" si="4"/>
        <v>0.69371196754563902</v>
      </c>
      <c r="G24" s="21">
        <f t="shared" si="4"/>
        <v>1.0953346855983774</v>
      </c>
      <c r="H24" s="21">
        <f t="shared" si="4"/>
        <v>1.2048681541582151</v>
      </c>
      <c r="I24" s="21">
        <f t="shared" si="4"/>
        <v>0.76673427991886411</v>
      </c>
      <c r="J24" s="21">
        <f t="shared" si="4"/>
        <v>0.81541582150101422</v>
      </c>
      <c r="K24" s="21">
        <f t="shared" si="4"/>
        <v>0.75456389452332662</v>
      </c>
      <c r="L24" s="21">
        <f t="shared" si="4"/>
        <v>1.0953346855983774</v>
      </c>
      <c r="M24" s="21">
        <f t="shared" si="4"/>
        <v>1.3387423935091278</v>
      </c>
      <c r="N24" s="21">
        <f t="shared" si="4"/>
        <v>2.1906693711967549</v>
      </c>
    </row>
    <row r="27" spans="2:15">
      <c r="B27" s="21" t="s">
        <v>51</v>
      </c>
      <c r="C27" s="21">
        <f>C9+C10+C11</f>
        <v>11620</v>
      </c>
      <c r="D27" s="21">
        <f t="shared" ref="D27:N27" si="5">D9+D10+D11</f>
        <v>13791</v>
      </c>
      <c r="E27" s="21">
        <f t="shared" si="5"/>
        <v>15247</v>
      </c>
      <c r="F27" s="21">
        <f t="shared" si="5"/>
        <v>13791</v>
      </c>
      <c r="G27" s="21">
        <f t="shared" si="5"/>
        <v>21924</v>
      </c>
      <c r="H27" s="21">
        <f t="shared" si="5"/>
        <v>23955</v>
      </c>
      <c r="I27" s="21">
        <f t="shared" si="5"/>
        <v>15245</v>
      </c>
      <c r="J27" s="21">
        <f t="shared" si="5"/>
        <v>16212</v>
      </c>
      <c r="K27" s="21">
        <f t="shared" si="5"/>
        <v>15008</v>
      </c>
      <c r="L27" s="21">
        <f t="shared" si="5"/>
        <v>21784</v>
      </c>
      <c r="M27" s="21">
        <f t="shared" si="5"/>
        <v>26615</v>
      </c>
      <c r="N27" s="21">
        <f t="shared" si="5"/>
        <v>31457</v>
      </c>
      <c r="O27" s="20">
        <f>AVERAGE(C27:N27)</f>
        <v>18887.416666666668</v>
      </c>
    </row>
    <row r="28" spans="2:15">
      <c r="B28" s="21" t="s">
        <v>52</v>
      </c>
      <c r="C28" s="21">
        <f>C12+C13</f>
        <v>4800</v>
      </c>
      <c r="D28" s="21">
        <f t="shared" ref="D28:N28" si="6">D12+D13</f>
        <v>5700</v>
      </c>
      <c r="E28" s="21">
        <f t="shared" si="6"/>
        <v>6300</v>
      </c>
      <c r="F28" s="21">
        <f t="shared" si="6"/>
        <v>5700</v>
      </c>
      <c r="G28" s="21">
        <f t="shared" si="6"/>
        <v>9000</v>
      </c>
      <c r="H28" s="21">
        <f t="shared" si="6"/>
        <v>9900</v>
      </c>
      <c r="I28" s="21">
        <f t="shared" si="6"/>
        <v>6300</v>
      </c>
      <c r="J28" s="21">
        <f t="shared" si="6"/>
        <v>6700</v>
      </c>
      <c r="K28" s="21">
        <f t="shared" si="6"/>
        <v>6200</v>
      </c>
      <c r="L28" s="21">
        <f t="shared" si="6"/>
        <v>9000</v>
      </c>
      <c r="M28" s="21">
        <f t="shared" si="6"/>
        <v>11000</v>
      </c>
      <c r="N28" s="21">
        <f t="shared" si="6"/>
        <v>18000</v>
      </c>
      <c r="O28" s="20">
        <f>AVERAGE(C28:N28)</f>
        <v>8216.6666666666661</v>
      </c>
    </row>
    <row r="29" spans="2:15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spans="2:1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</row>
    <row r="31" spans="2:15">
      <c r="B31" s="21" t="s">
        <v>37</v>
      </c>
      <c r="C31" s="21">
        <f>C3/$O3</f>
        <v>0.61538461538461542</v>
      </c>
      <c r="D31" s="21">
        <f t="shared" ref="D31:N31" si="7">D3/$O3</f>
        <v>0.73076923076923073</v>
      </c>
      <c r="E31" s="21">
        <f t="shared" si="7"/>
        <v>0.80769230769230771</v>
      </c>
      <c r="F31" s="21">
        <f t="shared" si="7"/>
        <v>0.73076923076923073</v>
      </c>
      <c r="G31" s="21">
        <f t="shared" si="7"/>
        <v>1.1538461538461537</v>
      </c>
      <c r="H31" s="21">
        <f t="shared" si="7"/>
        <v>1.2692307692307692</v>
      </c>
      <c r="I31" s="21">
        <f t="shared" si="7"/>
        <v>0.80769230769230771</v>
      </c>
      <c r="J31" s="21">
        <f t="shared" si="7"/>
        <v>0.85897435897435892</v>
      </c>
      <c r="K31" s="21">
        <f t="shared" si="7"/>
        <v>0.79487179487179482</v>
      </c>
      <c r="L31" s="21">
        <f t="shared" si="7"/>
        <v>1.1538461538461537</v>
      </c>
      <c r="M31" s="21">
        <f t="shared" si="7"/>
        <v>1.4102564102564104</v>
      </c>
      <c r="N31" s="21">
        <f t="shared" si="7"/>
        <v>1.6666666666666667</v>
      </c>
      <c r="O31" s="20"/>
    </row>
    <row r="32" spans="2:15">
      <c r="B32" s="21" t="s">
        <v>38</v>
      </c>
      <c r="C32" s="21">
        <f t="shared" ref="C32:N36" si="8">C4/$O4</f>
        <v>0.61538461538461542</v>
      </c>
      <c r="D32" s="21">
        <f t="shared" si="8"/>
        <v>0.73076923076923073</v>
      </c>
      <c r="E32" s="21">
        <f t="shared" si="8"/>
        <v>0.80769230769230771</v>
      </c>
      <c r="F32" s="21">
        <f t="shared" si="8"/>
        <v>0.73076923076923073</v>
      </c>
      <c r="G32" s="21">
        <f t="shared" si="8"/>
        <v>1.1538461538461537</v>
      </c>
      <c r="H32" s="21">
        <f t="shared" si="8"/>
        <v>1.2692307692307692</v>
      </c>
      <c r="I32" s="21">
        <f t="shared" si="8"/>
        <v>0.80769230769230771</v>
      </c>
      <c r="J32" s="21">
        <f t="shared" si="8"/>
        <v>0.85897435897435892</v>
      </c>
      <c r="K32" s="21">
        <f t="shared" si="8"/>
        <v>0.79487179487179482</v>
      </c>
      <c r="L32" s="21">
        <f t="shared" si="8"/>
        <v>1.1538461538461537</v>
      </c>
      <c r="M32" s="21">
        <f t="shared" si="8"/>
        <v>1.4102564102564104</v>
      </c>
      <c r="N32" s="21">
        <f t="shared" si="8"/>
        <v>1.6666666666666667</v>
      </c>
      <c r="O32" s="20"/>
    </row>
    <row r="33" spans="2:15">
      <c r="B33" s="21" t="s">
        <v>39</v>
      </c>
      <c r="C33" s="21">
        <f t="shared" si="8"/>
        <v>0.61538461538461542</v>
      </c>
      <c r="D33" s="21">
        <f t="shared" si="8"/>
        <v>0.73076923076923073</v>
      </c>
      <c r="E33" s="21">
        <f t="shared" si="8"/>
        <v>0.80769230769230771</v>
      </c>
      <c r="F33" s="21">
        <f t="shared" si="8"/>
        <v>0.73076923076923073</v>
      </c>
      <c r="G33" s="21">
        <f t="shared" si="8"/>
        <v>1.1538461538461537</v>
      </c>
      <c r="H33" s="21">
        <f t="shared" si="8"/>
        <v>1.2692307692307692</v>
      </c>
      <c r="I33" s="21">
        <f t="shared" si="8"/>
        <v>0.80769230769230771</v>
      </c>
      <c r="J33" s="21">
        <f t="shared" si="8"/>
        <v>0.85897435897435892</v>
      </c>
      <c r="K33" s="21">
        <f t="shared" si="8"/>
        <v>0.79487179487179482</v>
      </c>
      <c r="L33" s="21">
        <f t="shared" si="8"/>
        <v>1.1538461538461537</v>
      </c>
      <c r="M33" s="21">
        <f t="shared" si="8"/>
        <v>1.4102564102564104</v>
      </c>
      <c r="N33" s="21">
        <f t="shared" si="8"/>
        <v>1.6666666666666667</v>
      </c>
      <c r="O33" s="20"/>
    </row>
    <row r="34" spans="2:15">
      <c r="B34" s="21" t="s">
        <v>40</v>
      </c>
      <c r="C34" s="21">
        <f t="shared" si="8"/>
        <v>0.61976847729296525</v>
      </c>
      <c r="D34" s="21">
        <f t="shared" si="8"/>
        <v>0.72662511130899377</v>
      </c>
      <c r="E34" s="21">
        <f t="shared" si="8"/>
        <v>0.81211041852181665</v>
      </c>
      <c r="F34" s="21">
        <f t="shared" si="8"/>
        <v>0.72662511130899377</v>
      </c>
      <c r="G34" s="21">
        <f t="shared" si="8"/>
        <v>1.1540516473731077</v>
      </c>
      <c r="H34" s="21">
        <f t="shared" si="8"/>
        <v>1.2715939447907392</v>
      </c>
      <c r="I34" s="21">
        <f t="shared" si="8"/>
        <v>0.81211041852181665</v>
      </c>
      <c r="J34" s="21">
        <f t="shared" si="8"/>
        <v>0.85485307212822803</v>
      </c>
      <c r="K34" s="21">
        <f t="shared" si="8"/>
        <v>0.7907390917186109</v>
      </c>
      <c r="L34" s="21">
        <f t="shared" si="8"/>
        <v>1.1540516473731077</v>
      </c>
      <c r="M34" s="21">
        <f t="shared" si="8"/>
        <v>1.4105075690115763</v>
      </c>
      <c r="N34" s="21">
        <f t="shared" si="8"/>
        <v>1.6669634906500446</v>
      </c>
      <c r="O34" s="20"/>
    </row>
    <row r="35" spans="2:15">
      <c r="B35" s="24" t="s">
        <v>41</v>
      </c>
      <c r="C35" s="21">
        <f t="shared" si="8"/>
        <v>0.61450924608819346</v>
      </c>
      <c r="D35" s="21">
        <f t="shared" si="8"/>
        <v>0.73399715504978658</v>
      </c>
      <c r="E35" s="21">
        <f t="shared" si="8"/>
        <v>0.81081081081081074</v>
      </c>
      <c r="F35" s="21">
        <f t="shared" si="8"/>
        <v>0.73399715504978658</v>
      </c>
      <c r="G35" s="21">
        <f t="shared" si="8"/>
        <v>1.1522048364153628</v>
      </c>
      <c r="H35" s="21">
        <f t="shared" si="8"/>
        <v>1.2716927453769558</v>
      </c>
      <c r="I35" s="21">
        <f t="shared" si="8"/>
        <v>0.80227596017069702</v>
      </c>
      <c r="J35" s="21">
        <f t="shared" si="8"/>
        <v>0.86201991465149352</v>
      </c>
      <c r="K35" s="21">
        <f t="shared" si="8"/>
        <v>0.79374110953058319</v>
      </c>
      <c r="L35" s="21">
        <f t="shared" si="8"/>
        <v>1.1522048364153628</v>
      </c>
      <c r="M35" s="21">
        <f t="shared" si="8"/>
        <v>1.4082503556187767</v>
      </c>
      <c r="N35" s="21">
        <f t="shared" si="8"/>
        <v>1.6642958748221905</v>
      </c>
      <c r="O35" s="20"/>
    </row>
    <row r="36" spans="2:15">
      <c r="B36" s="21" t="s">
        <v>42</v>
      </c>
      <c r="C36" s="21">
        <f t="shared" si="8"/>
        <v>0.61538461538461542</v>
      </c>
      <c r="D36" s="21">
        <f t="shared" si="8"/>
        <v>0.73076923076923073</v>
      </c>
      <c r="E36" s="21">
        <f t="shared" si="8"/>
        <v>0.80769230769230771</v>
      </c>
      <c r="F36" s="21">
        <f t="shared" si="8"/>
        <v>0.73076923076923073</v>
      </c>
      <c r="G36" s="21">
        <f t="shared" si="8"/>
        <v>1.1538461538461537</v>
      </c>
      <c r="H36" s="21">
        <f t="shared" si="8"/>
        <v>1.2692307692307692</v>
      </c>
      <c r="I36" s="21">
        <f t="shared" si="8"/>
        <v>0.80769230769230771</v>
      </c>
      <c r="J36" s="21">
        <f t="shared" si="8"/>
        <v>0.85897435897435892</v>
      </c>
      <c r="K36" s="21">
        <f t="shared" si="8"/>
        <v>0.79487179487179482</v>
      </c>
      <c r="L36" s="21">
        <f t="shared" si="8"/>
        <v>1.1538461538461537</v>
      </c>
      <c r="M36" s="21">
        <f t="shared" si="8"/>
        <v>1.4102564102564104</v>
      </c>
      <c r="N36" s="21">
        <f t="shared" si="8"/>
        <v>1.6666666666666667</v>
      </c>
      <c r="O36" s="20"/>
    </row>
    <row r="37" spans="2:15">
      <c r="B37" s="21" t="s">
        <v>51</v>
      </c>
      <c r="C37" s="26">
        <f>C27/$O27</f>
        <v>0.61522442190347182</v>
      </c>
      <c r="D37" s="26">
        <f t="shared" ref="D37:N38" si="9">D27/$O27</f>
        <v>0.7301686749114269</v>
      </c>
      <c r="E37" s="26">
        <f t="shared" si="9"/>
        <v>0.80725703621017519</v>
      </c>
      <c r="F37" s="26">
        <f t="shared" si="9"/>
        <v>0.7301686749114269</v>
      </c>
      <c r="G37" s="26">
        <f t="shared" si="9"/>
        <v>1.1607728249407674</v>
      </c>
      <c r="H37" s="26">
        <f t="shared" si="9"/>
        <v>1.2683047355161505</v>
      </c>
      <c r="I37" s="26">
        <f t="shared" si="9"/>
        <v>0.80715114560399559</v>
      </c>
      <c r="J37" s="26">
        <f t="shared" si="9"/>
        <v>0.85834925369183179</v>
      </c>
      <c r="K37" s="26">
        <f t="shared" si="9"/>
        <v>0.79460310877171303</v>
      </c>
      <c r="L37" s="26">
        <f t="shared" si="9"/>
        <v>1.1533604825081953</v>
      </c>
      <c r="M37" s="26">
        <f t="shared" si="9"/>
        <v>1.4091392417350175</v>
      </c>
      <c r="N37" s="26">
        <f t="shared" si="9"/>
        <v>1.6655003992958273</v>
      </c>
      <c r="O37" s="20"/>
    </row>
    <row r="38" spans="2:15">
      <c r="B38" s="21" t="s">
        <v>52</v>
      </c>
      <c r="C38" s="26">
        <f>C28/$O28</f>
        <v>0.58417849898580121</v>
      </c>
      <c r="D38" s="26">
        <f t="shared" si="9"/>
        <v>0.69371196754563902</v>
      </c>
      <c r="E38" s="26">
        <f t="shared" si="9"/>
        <v>0.76673427991886411</v>
      </c>
      <c r="F38" s="26">
        <f t="shared" si="9"/>
        <v>0.69371196754563902</v>
      </c>
      <c r="G38" s="26">
        <f t="shared" si="9"/>
        <v>1.0953346855983774</v>
      </c>
      <c r="H38" s="26">
        <f t="shared" si="9"/>
        <v>1.2048681541582151</v>
      </c>
      <c r="I38" s="26">
        <f t="shared" si="9"/>
        <v>0.76673427991886411</v>
      </c>
      <c r="J38" s="26">
        <f t="shared" si="9"/>
        <v>0.81541582150101422</v>
      </c>
      <c r="K38" s="26">
        <f t="shared" si="9"/>
        <v>0.75456389452332662</v>
      </c>
      <c r="L38" s="26">
        <f t="shared" si="9"/>
        <v>1.0953346855983774</v>
      </c>
      <c r="M38" s="26">
        <f t="shared" si="9"/>
        <v>1.3387423935091278</v>
      </c>
      <c r="N38" s="26">
        <f t="shared" si="9"/>
        <v>2.1906693711967549</v>
      </c>
      <c r="O38" s="2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F9A2-8F98-421F-BD2D-C6FDB9EDFD91}">
  <dimension ref="B2:Q51"/>
  <sheetViews>
    <sheetView tabSelected="1" topLeftCell="A28" workbookViewId="0">
      <selection activeCell="E46" sqref="E46"/>
    </sheetView>
  </sheetViews>
  <sheetFormatPr defaultRowHeight="14.4"/>
  <cols>
    <col min="2" max="2" width="33.44140625" bestFit="1" customWidth="1"/>
    <col min="11" max="11" width="10.109375" bestFit="1" customWidth="1"/>
    <col min="12" max="12" width="9.21875" bestFit="1" customWidth="1"/>
    <col min="13" max="13" width="8.33203125" bestFit="1" customWidth="1"/>
    <col min="14" max="14" width="9.33203125" bestFit="1" customWidth="1"/>
  </cols>
  <sheetData>
    <row r="2" spans="2:15" ht="15.6">
      <c r="B2" s="17"/>
      <c r="C2" s="18" t="s">
        <v>25</v>
      </c>
      <c r="D2" s="18" t="s">
        <v>26</v>
      </c>
      <c r="E2" s="18" t="s">
        <v>27</v>
      </c>
      <c r="F2" s="18" t="s">
        <v>28</v>
      </c>
      <c r="G2" s="18" t="s">
        <v>29</v>
      </c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  <c r="N2" s="18" t="s">
        <v>36</v>
      </c>
    </row>
    <row r="3" spans="2:15" ht="15.6">
      <c r="B3" s="19" t="s">
        <v>37</v>
      </c>
      <c r="C3" s="19">
        <v>960</v>
      </c>
      <c r="D3" s="19">
        <v>1140</v>
      </c>
      <c r="E3" s="19">
        <v>1260</v>
      </c>
      <c r="F3" s="19">
        <v>1140</v>
      </c>
      <c r="G3" s="19">
        <v>1800</v>
      </c>
      <c r="H3" s="19">
        <v>1980</v>
      </c>
      <c r="I3" s="19">
        <v>1260</v>
      </c>
      <c r="J3" s="19">
        <v>1340</v>
      </c>
      <c r="K3" s="19">
        <v>1240</v>
      </c>
      <c r="L3" s="19">
        <v>1800</v>
      </c>
      <c r="M3" s="19">
        <v>2200</v>
      </c>
      <c r="N3" s="19">
        <v>2600</v>
      </c>
    </row>
    <row r="4" spans="2:15" ht="15.6">
      <c r="B4" s="19" t="s">
        <v>38</v>
      </c>
      <c r="C4" s="19">
        <v>2400</v>
      </c>
      <c r="D4" s="19">
        <v>2850</v>
      </c>
      <c r="E4" s="19">
        <v>3150</v>
      </c>
      <c r="F4" s="19">
        <v>2850</v>
      </c>
      <c r="G4" s="19">
        <v>4500</v>
      </c>
      <c r="H4" s="19">
        <v>4950</v>
      </c>
      <c r="I4" s="19">
        <v>3150</v>
      </c>
      <c r="J4" s="27">
        <v>0</v>
      </c>
      <c r="K4" s="27">
        <v>5700</v>
      </c>
      <c r="L4" s="27">
        <v>3300</v>
      </c>
      <c r="M4" s="27">
        <v>5500</v>
      </c>
      <c r="N4" s="19">
        <v>6500</v>
      </c>
    </row>
    <row r="5" spans="2:15" ht="15.6">
      <c r="B5" s="19" t="s">
        <v>39</v>
      </c>
      <c r="C5" s="19">
        <v>1248</v>
      </c>
      <c r="D5" s="19">
        <v>1482</v>
      </c>
      <c r="E5" s="19">
        <v>1638</v>
      </c>
      <c r="F5" s="19">
        <v>1482</v>
      </c>
      <c r="G5" s="19">
        <v>2340</v>
      </c>
      <c r="H5" s="19">
        <v>2574</v>
      </c>
      <c r="I5" s="19">
        <v>1638</v>
      </c>
      <c r="J5" s="19">
        <v>1742</v>
      </c>
      <c r="K5" s="19">
        <v>1612</v>
      </c>
      <c r="L5" s="19">
        <v>2340</v>
      </c>
      <c r="M5" s="19">
        <v>2860</v>
      </c>
      <c r="N5" s="19">
        <v>3380</v>
      </c>
    </row>
    <row r="6" spans="2:15" ht="15.6">
      <c r="B6" s="19" t="s">
        <v>40</v>
      </c>
      <c r="C6" s="19">
        <v>58</v>
      </c>
      <c r="D6" s="27">
        <v>0</v>
      </c>
      <c r="E6" s="27">
        <v>0</v>
      </c>
      <c r="F6" s="27">
        <v>0</v>
      </c>
      <c r="G6" s="19">
        <v>108</v>
      </c>
      <c r="H6" s="19">
        <v>119</v>
      </c>
      <c r="I6" s="19">
        <v>76</v>
      </c>
      <c r="J6" s="19">
        <v>80</v>
      </c>
      <c r="K6" s="19">
        <v>74</v>
      </c>
      <c r="L6" s="19">
        <v>108</v>
      </c>
      <c r="M6" s="19">
        <v>132</v>
      </c>
      <c r="N6" s="19">
        <v>156</v>
      </c>
    </row>
    <row r="7" spans="2:15" ht="15.6">
      <c r="B7" s="19" t="s">
        <v>41</v>
      </c>
      <c r="C7" s="19">
        <v>72</v>
      </c>
      <c r="D7" s="19">
        <v>86</v>
      </c>
      <c r="E7" s="19">
        <v>95</v>
      </c>
      <c r="F7" s="19">
        <v>86</v>
      </c>
      <c r="G7" s="19">
        <v>135</v>
      </c>
      <c r="H7" s="19">
        <v>149</v>
      </c>
      <c r="I7" s="19">
        <v>94</v>
      </c>
      <c r="J7" s="19">
        <v>101</v>
      </c>
      <c r="K7" s="19">
        <v>93</v>
      </c>
      <c r="L7" s="19">
        <v>135</v>
      </c>
      <c r="M7" s="19">
        <v>165</v>
      </c>
      <c r="N7" s="19">
        <v>195</v>
      </c>
    </row>
    <row r="8" spans="2:15" ht="15.6">
      <c r="B8" s="19" t="s">
        <v>42</v>
      </c>
      <c r="C8" s="19">
        <v>48</v>
      </c>
      <c r="D8" s="19">
        <v>57</v>
      </c>
      <c r="E8" s="19">
        <v>63</v>
      </c>
      <c r="F8" s="19">
        <v>57</v>
      </c>
      <c r="G8" s="19">
        <v>90</v>
      </c>
      <c r="H8" s="19">
        <v>99</v>
      </c>
      <c r="I8" s="19">
        <v>63</v>
      </c>
      <c r="J8" s="27">
        <v>0</v>
      </c>
      <c r="K8" s="19">
        <v>62</v>
      </c>
      <c r="L8" s="19">
        <v>90</v>
      </c>
      <c r="M8" s="19">
        <v>110</v>
      </c>
      <c r="N8" s="19">
        <v>130</v>
      </c>
    </row>
    <row r="9" spans="2:15" ht="17.399999999999999" customHeight="1">
      <c r="B9" s="19" t="s">
        <v>43</v>
      </c>
      <c r="C9" s="19">
        <v>2600</v>
      </c>
      <c r="D9" s="19">
        <v>4031</v>
      </c>
      <c r="E9" s="19">
        <v>1089</v>
      </c>
      <c r="F9" s="19">
        <v>6985</v>
      </c>
      <c r="G9" s="19">
        <v>1556</v>
      </c>
      <c r="H9" s="19">
        <v>1775</v>
      </c>
      <c r="I9" s="19">
        <v>7759</v>
      </c>
      <c r="J9" s="19">
        <v>1158</v>
      </c>
      <c r="K9" s="19">
        <v>3072</v>
      </c>
      <c r="L9" s="19">
        <v>1556</v>
      </c>
      <c r="M9" s="19">
        <v>17211</v>
      </c>
      <c r="N9" s="19">
        <v>2247</v>
      </c>
    </row>
    <row r="10" spans="2:15" ht="15.6">
      <c r="B10" s="19" t="s">
        <v>44</v>
      </c>
      <c r="C10" s="19">
        <v>3020</v>
      </c>
      <c r="D10" s="19">
        <v>7460</v>
      </c>
      <c r="E10" s="19">
        <v>3268</v>
      </c>
      <c r="F10" s="19">
        <v>2956</v>
      </c>
      <c r="G10" s="19">
        <v>5668</v>
      </c>
      <c r="H10" s="19">
        <v>17530</v>
      </c>
      <c r="I10" s="19">
        <v>3266</v>
      </c>
      <c r="J10" s="19">
        <v>3474</v>
      </c>
      <c r="K10" s="19">
        <v>7216</v>
      </c>
      <c r="L10" s="19">
        <v>4668</v>
      </c>
      <c r="M10" s="19">
        <v>5704</v>
      </c>
      <c r="N10" s="19">
        <v>6740</v>
      </c>
    </row>
    <row r="11" spans="2:15" ht="15.6">
      <c r="B11" s="19" t="s">
        <v>45</v>
      </c>
      <c r="C11" s="19">
        <v>6000</v>
      </c>
      <c r="D11" s="19">
        <v>2300</v>
      </c>
      <c r="E11" s="19">
        <v>10890</v>
      </c>
      <c r="F11" s="19">
        <v>3850</v>
      </c>
      <c r="G11" s="19">
        <v>14700</v>
      </c>
      <c r="H11" s="19">
        <v>4650</v>
      </c>
      <c r="I11" s="19">
        <v>4220</v>
      </c>
      <c r="J11" s="19">
        <v>11580</v>
      </c>
      <c r="K11" s="19">
        <v>4720</v>
      </c>
      <c r="L11" s="19">
        <v>15560</v>
      </c>
      <c r="M11" s="19">
        <v>3700</v>
      </c>
      <c r="N11" s="19">
        <v>22470</v>
      </c>
    </row>
    <row r="12" spans="2:15" ht="15.6">
      <c r="B12" s="19" t="s">
        <v>46</v>
      </c>
      <c r="C12" s="19">
        <v>1920</v>
      </c>
      <c r="D12" s="19">
        <v>1680</v>
      </c>
      <c r="E12" s="19">
        <v>5080</v>
      </c>
      <c r="F12" s="19">
        <v>2280</v>
      </c>
      <c r="G12" s="19">
        <v>3600</v>
      </c>
      <c r="H12" s="19">
        <v>7600</v>
      </c>
      <c r="I12" s="19">
        <v>2520</v>
      </c>
      <c r="J12" s="19">
        <v>1600</v>
      </c>
      <c r="K12" s="19">
        <v>2480</v>
      </c>
      <c r="L12" s="19">
        <v>4600</v>
      </c>
      <c r="M12" s="19">
        <v>4400</v>
      </c>
      <c r="N12" s="19">
        <v>10200</v>
      </c>
    </row>
    <row r="13" spans="2:15" ht="15.6">
      <c r="B13" s="19" t="s">
        <v>47</v>
      </c>
      <c r="C13" s="19">
        <v>2880</v>
      </c>
      <c r="D13" s="19">
        <v>4020</v>
      </c>
      <c r="E13" s="19">
        <v>1220</v>
      </c>
      <c r="F13" s="19">
        <v>3420</v>
      </c>
      <c r="G13" s="19">
        <v>5400</v>
      </c>
      <c r="H13" s="19">
        <v>2300</v>
      </c>
      <c r="I13" s="19">
        <v>3780</v>
      </c>
      <c r="J13" s="19">
        <v>5100</v>
      </c>
      <c r="K13" s="19">
        <v>3720</v>
      </c>
      <c r="L13" s="19">
        <v>4400</v>
      </c>
      <c r="M13" s="19">
        <v>6600</v>
      </c>
      <c r="N13" s="19">
        <v>7800</v>
      </c>
    </row>
    <row r="16" spans="2:15" ht="15.6">
      <c r="B16" s="17"/>
      <c r="C16" s="18" t="s">
        <v>25</v>
      </c>
      <c r="D16" s="18" t="s">
        <v>26</v>
      </c>
      <c r="E16" s="18" t="s">
        <v>27</v>
      </c>
      <c r="F16" s="18" t="s">
        <v>28</v>
      </c>
      <c r="G16" s="18" t="s">
        <v>29</v>
      </c>
      <c r="H16" s="18" t="s">
        <v>30</v>
      </c>
      <c r="I16" s="18" t="s">
        <v>31</v>
      </c>
      <c r="J16" s="18" t="s">
        <v>32</v>
      </c>
      <c r="K16" s="18" t="s">
        <v>33</v>
      </c>
      <c r="L16" s="18" t="s">
        <v>34</v>
      </c>
      <c r="M16" s="18" t="s">
        <v>35</v>
      </c>
      <c r="N16" s="18" t="s">
        <v>36</v>
      </c>
      <c r="O16" s="30" t="s">
        <v>64</v>
      </c>
    </row>
    <row r="17" spans="2:17" ht="15.6">
      <c r="B17" s="19" t="s">
        <v>37</v>
      </c>
      <c r="C17" s="19">
        <v>960</v>
      </c>
      <c r="D17" s="19">
        <v>1140</v>
      </c>
      <c r="E17" s="19">
        <v>1260</v>
      </c>
      <c r="F17" s="19">
        <v>1140</v>
      </c>
      <c r="G17" s="19">
        <v>1800</v>
      </c>
      <c r="H17" s="19">
        <v>1980</v>
      </c>
      <c r="I17" s="19">
        <v>1260</v>
      </c>
      <c r="J17" s="19">
        <v>1340</v>
      </c>
      <c r="K17" s="19">
        <v>1240</v>
      </c>
      <c r="L17" s="19">
        <v>1800</v>
      </c>
      <c r="M17" s="19">
        <v>2200</v>
      </c>
      <c r="N17" s="19">
        <v>2600</v>
      </c>
      <c r="O17" s="19">
        <f>AVERAGE(C17:N17)</f>
        <v>1560</v>
      </c>
    </row>
    <row r="18" spans="2:17" ht="15.6">
      <c r="B18" s="19" t="s">
        <v>38</v>
      </c>
      <c r="C18" s="19">
        <v>2400</v>
      </c>
      <c r="D18" s="19">
        <v>2850</v>
      </c>
      <c r="E18" s="19">
        <v>3150</v>
      </c>
      <c r="F18" s="19">
        <v>2850</v>
      </c>
      <c r="G18" s="19">
        <v>4500</v>
      </c>
      <c r="H18" s="19">
        <v>4950</v>
      </c>
      <c r="I18" s="19">
        <v>3150</v>
      </c>
      <c r="J18" s="72">
        <f>P18</f>
        <v>0</v>
      </c>
      <c r="K18" s="72">
        <f>P18</f>
        <v>0</v>
      </c>
      <c r="L18" s="72">
        <f>P18</f>
        <v>0</v>
      </c>
      <c r="M18" s="19">
        <v>5500</v>
      </c>
      <c r="N18" s="19">
        <v>6500</v>
      </c>
      <c r="O18" s="73">
        <f t="shared" ref="O18:O22" si="0">AVERAGE(C18:N18)</f>
        <v>2987.5</v>
      </c>
      <c r="P18" s="74"/>
      <c r="Q18" s="17" t="s">
        <v>106</v>
      </c>
    </row>
    <row r="19" spans="2:17" ht="15.6">
      <c r="B19" s="19" t="s">
        <v>39</v>
      </c>
      <c r="C19" s="19">
        <v>1248</v>
      </c>
      <c r="D19" s="19">
        <v>1482</v>
      </c>
      <c r="E19" s="19">
        <v>1638</v>
      </c>
      <c r="F19" s="19">
        <v>1482</v>
      </c>
      <c r="G19" s="19">
        <v>2340</v>
      </c>
      <c r="H19" s="19">
        <v>2574</v>
      </c>
      <c r="I19" s="19">
        <v>1638</v>
      </c>
      <c r="J19" s="19">
        <v>1742</v>
      </c>
      <c r="K19" s="19">
        <v>1612</v>
      </c>
      <c r="L19" s="19">
        <v>2340</v>
      </c>
      <c r="M19" s="19">
        <v>2860</v>
      </c>
      <c r="N19" s="19">
        <v>3380</v>
      </c>
      <c r="O19" s="19">
        <f t="shared" si="0"/>
        <v>2028</v>
      </c>
    </row>
    <row r="20" spans="2:17" ht="15.6">
      <c r="B20" s="19" t="s">
        <v>40</v>
      </c>
      <c r="C20" s="19">
        <v>58</v>
      </c>
      <c r="D20" s="72">
        <v>0</v>
      </c>
      <c r="E20" s="72">
        <v>0</v>
      </c>
      <c r="F20" s="72">
        <v>0</v>
      </c>
      <c r="G20" s="19">
        <v>108</v>
      </c>
      <c r="H20" s="19">
        <v>119</v>
      </c>
      <c r="I20" s="19">
        <v>76</v>
      </c>
      <c r="J20" s="19">
        <v>80</v>
      </c>
      <c r="K20" s="19">
        <v>74</v>
      </c>
      <c r="L20" s="19">
        <v>108</v>
      </c>
      <c r="M20" s="19">
        <v>132</v>
      </c>
      <c r="N20" s="19">
        <v>156</v>
      </c>
      <c r="O20" s="19">
        <f t="shared" si="0"/>
        <v>75.916666666666671</v>
      </c>
      <c r="P20" s="74" t="s">
        <v>107</v>
      </c>
    </row>
    <row r="21" spans="2:17" ht="15.6">
      <c r="B21" s="19" t="s">
        <v>41</v>
      </c>
      <c r="C21" s="19">
        <v>72</v>
      </c>
      <c r="D21" s="19">
        <v>86</v>
      </c>
      <c r="E21" s="19">
        <v>95</v>
      </c>
      <c r="F21" s="19">
        <v>86</v>
      </c>
      <c r="G21" s="19">
        <v>135</v>
      </c>
      <c r="H21" s="19">
        <v>149</v>
      </c>
      <c r="I21" s="19">
        <v>94</v>
      </c>
      <c r="J21" s="19">
        <v>101</v>
      </c>
      <c r="K21" s="19">
        <v>93</v>
      </c>
      <c r="L21" s="19">
        <v>135</v>
      </c>
      <c r="M21" s="19">
        <v>165</v>
      </c>
      <c r="N21" s="19">
        <v>195</v>
      </c>
      <c r="O21" s="19">
        <f t="shared" si="0"/>
        <v>117.16666666666667</v>
      </c>
    </row>
    <row r="22" spans="2:17" ht="15.6">
      <c r="B22" s="19" t="s">
        <v>42</v>
      </c>
      <c r="C22" s="19">
        <v>48</v>
      </c>
      <c r="D22" s="19">
        <v>57</v>
      </c>
      <c r="E22" s="19">
        <v>63</v>
      </c>
      <c r="F22" s="19">
        <v>57</v>
      </c>
      <c r="G22" s="19">
        <v>90</v>
      </c>
      <c r="H22" s="19">
        <v>99</v>
      </c>
      <c r="I22" s="19">
        <v>63</v>
      </c>
      <c r="J22" s="72">
        <v>0</v>
      </c>
      <c r="K22" s="19">
        <v>62</v>
      </c>
      <c r="L22" s="19">
        <v>90</v>
      </c>
      <c r="M22" s="19">
        <v>110</v>
      </c>
      <c r="N22" s="19">
        <v>130</v>
      </c>
      <c r="O22" s="19">
        <f t="shared" si="0"/>
        <v>72.416666666666671</v>
      </c>
      <c r="P22" s="74" t="s">
        <v>108</v>
      </c>
    </row>
    <row r="23" spans="2:17" ht="15.6">
      <c r="B23" s="19" t="s">
        <v>43</v>
      </c>
      <c r="C23" s="19">
        <v>2600</v>
      </c>
      <c r="D23" s="19">
        <v>4031</v>
      </c>
      <c r="E23" s="19">
        <v>1089</v>
      </c>
      <c r="F23" s="19">
        <v>6985</v>
      </c>
      <c r="G23" s="19">
        <v>1556</v>
      </c>
      <c r="H23" s="19">
        <v>1775</v>
      </c>
      <c r="I23" s="19">
        <v>7759</v>
      </c>
      <c r="J23" s="19">
        <v>1158</v>
      </c>
      <c r="K23" s="19">
        <v>3072</v>
      </c>
      <c r="L23" s="19">
        <v>1556</v>
      </c>
      <c r="M23" s="19">
        <v>17211</v>
      </c>
      <c r="N23" s="19">
        <v>2247</v>
      </c>
    </row>
    <row r="24" spans="2:17" ht="15.6">
      <c r="B24" s="19" t="s">
        <v>44</v>
      </c>
      <c r="C24" s="19">
        <v>3020</v>
      </c>
      <c r="D24" s="19">
        <v>7460</v>
      </c>
      <c r="E24" s="19">
        <v>3268</v>
      </c>
      <c r="F24" s="19">
        <v>2956</v>
      </c>
      <c r="G24" s="19">
        <v>5668</v>
      </c>
      <c r="H24" s="19">
        <v>17530</v>
      </c>
      <c r="I24" s="19">
        <v>3266</v>
      </c>
      <c r="J24" s="19">
        <v>3474</v>
      </c>
      <c r="K24" s="19">
        <v>7216</v>
      </c>
      <c r="L24" s="19">
        <v>4668</v>
      </c>
      <c r="M24" s="19">
        <v>5704</v>
      </c>
      <c r="N24" s="19">
        <v>6740</v>
      </c>
    </row>
    <row r="25" spans="2:17" ht="15.6">
      <c r="B25" s="19" t="s">
        <v>45</v>
      </c>
      <c r="C25" s="19">
        <v>6000</v>
      </c>
      <c r="D25" s="19">
        <v>2300</v>
      </c>
      <c r="E25" s="19">
        <v>10890</v>
      </c>
      <c r="F25" s="19">
        <v>3850</v>
      </c>
      <c r="G25" s="19">
        <v>14700</v>
      </c>
      <c r="H25" s="19">
        <v>4650</v>
      </c>
      <c r="I25" s="19">
        <v>4220</v>
      </c>
      <c r="J25" s="19">
        <v>11580</v>
      </c>
      <c r="K25" s="19">
        <v>4720</v>
      </c>
      <c r="L25" s="19">
        <v>15560</v>
      </c>
      <c r="M25" s="19">
        <v>3700</v>
      </c>
      <c r="N25" s="19">
        <v>22470</v>
      </c>
    </row>
    <row r="26" spans="2:17" ht="15.6">
      <c r="B26" s="19" t="s">
        <v>46</v>
      </c>
      <c r="C26" s="19">
        <v>1920</v>
      </c>
      <c r="D26" s="19">
        <v>1680</v>
      </c>
      <c r="E26" s="19">
        <v>5080</v>
      </c>
      <c r="F26" s="19">
        <v>2280</v>
      </c>
      <c r="G26" s="19">
        <v>3600</v>
      </c>
      <c r="H26" s="19">
        <v>7600</v>
      </c>
      <c r="I26" s="19">
        <v>2520</v>
      </c>
      <c r="J26" s="19">
        <v>1600</v>
      </c>
      <c r="K26" s="19">
        <v>2480</v>
      </c>
      <c r="L26" s="19">
        <v>4600</v>
      </c>
      <c r="M26" s="19">
        <v>4400</v>
      </c>
      <c r="N26" s="19">
        <v>10200</v>
      </c>
    </row>
    <row r="27" spans="2:17" ht="15.6">
      <c r="B27" s="19" t="s">
        <v>47</v>
      </c>
      <c r="C27" s="19">
        <v>2880</v>
      </c>
      <c r="D27" s="19">
        <v>4020</v>
      </c>
      <c r="E27" s="19">
        <v>1220</v>
      </c>
      <c r="F27" s="19">
        <v>3420</v>
      </c>
      <c r="G27" s="19">
        <v>5400</v>
      </c>
      <c r="H27" s="19">
        <v>2300</v>
      </c>
      <c r="I27" s="19">
        <v>3780</v>
      </c>
      <c r="J27" s="19">
        <v>5100</v>
      </c>
      <c r="K27" s="19">
        <v>3720</v>
      </c>
      <c r="L27" s="19">
        <v>4400</v>
      </c>
      <c r="M27" s="19">
        <v>6600</v>
      </c>
      <c r="N27" s="19">
        <v>7800</v>
      </c>
    </row>
    <row r="29" spans="2:17" ht="15.6">
      <c r="B29" s="17" t="s">
        <v>107</v>
      </c>
      <c r="C29" s="17" t="s">
        <v>109</v>
      </c>
    </row>
    <row r="30" spans="2:17" ht="15.6">
      <c r="C30" s="17" t="s">
        <v>110</v>
      </c>
    </row>
    <row r="31" spans="2:17" ht="15.6">
      <c r="C31" s="17" t="s">
        <v>111</v>
      </c>
    </row>
    <row r="32" spans="2:17" ht="15.6">
      <c r="C32" s="17" t="s">
        <v>112</v>
      </c>
    </row>
    <row r="33" spans="2:17" ht="15.6">
      <c r="C33" s="17" t="s">
        <v>113</v>
      </c>
    </row>
    <row r="36" spans="2:17" ht="15.6">
      <c r="B36" s="19" t="s">
        <v>114</v>
      </c>
      <c r="C36" s="19">
        <f>SUM(C20:C22)</f>
        <v>178</v>
      </c>
      <c r="D36" s="19">
        <f>SUM(D21:D22)</f>
        <v>143</v>
      </c>
      <c r="E36" s="19">
        <f t="shared" ref="E36:F36" si="1">SUM(E21:E22)</f>
        <v>158</v>
      </c>
      <c r="F36" s="19">
        <f t="shared" si="1"/>
        <v>143</v>
      </c>
      <c r="G36" s="19">
        <f t="shared" ref="G36:N36" si="2">SUM(G20:G22)</f>
        <v>333</v>
      </c>
      <c r="H36" s="19">
        <f t="shared" si="2"/>
        <v>367</v>
      </c>
      <c r="I36" s="19">
        <f t="shared" si="2"/>
        <v>233</v>
      </c>
      <c r="J36" s="19">
        <f t="shared" si="2"/>
        <v>181</v>
      </c>
      <c r="K36" s="19">
        <f t="shared" si="2"/>
        <v>229</v>
      </c>
      <c r="L36" s="19">
        <f t="shared" si="2"/>
        <v>333</v>
      </c>
      <c r="M36" s="19">
        <f t="shared" si="2"/>
        <v>407</v>
      </c>
      <c r="N36" s="19">
        <f t="shared" si="2"/>
        <v>481</v>
      </c>
      <c r="O36" s="19" t="s">
        <v>53</v>
      </c>
      <c r="P36" s="19" t="s">
        <v>54</v>
      </c>
      <c r="Q36" s="19"/>
    </row>
    <row r="37" spans="2:17" ht="15.6">
      <c r="B37" s="19" t="s">
        <v>40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2:17" ht="15.6">
      <c r="B38" s="19" t="s">
        <v>41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2:17" ht="15.6">
      <c r="B39" s="19" t="s">
        <v>42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>
        <f>P38+P39</f>
        <v>0</v>
      </c>
    </row>
    <row r="41" spans="2:17" ht="15.6">
      <c r="G41" s="17" t="s">
        <v>115</v>
      </c>
    </row>
    <row r="43" spans="2:17" ht="15.6">
      <c r="B43" s="19" t="s">
        <v>37</v>
      </c>
      <c r="C43" s="19">
        <f>C17/$O17</f>
        <v>0.61538461538461542</v>
      </c>
      <c r="D43" s="19">
        <f t="shared" ref="D43:N43" si="3">D17/$O17</f>
        <v>0.73076923076923073</v>
      </c>
      <c r="E43" s="19">
        <f t="shared" si="3"/>
        <v>0.80769230769230771</v>
      </c>
      <c r="F43" s="19">
        <f t="shared" si="3"/>
        <v>0.73076923076923073</v>
      </c>
      <c r="G43" s="19">
        <f t="shared" si="3"/>
        <v>1.1538461538461537</v>
      </c>
      <c r="H43" s="19">
        <f t="shared" si="3"/>
        <v>1.2692307692307692</v>
      </c>
      <c r="I43" s="19">
        <f t="shared" si="3"/>
        <v>0.80769230769230771</v>
      </c>
      <c r="J43" s="19">
        <f t="shared" si="3"/>
        <v>0.85897435897435892</v>
      </c>
      <c r="K43" s="19">
        <f t="shared" si="3"/>
        <v>0.79487179487179482</v>
      </c>
      <c r="L43" s="19">
        <f t="shared" si="3"/>
        <v>1.1538461538461537</v>
      </c>
      <c r="M43" s="19">
        <f t="shared" si="3"/>
        <v>1.4102564102564104</v>
      </c>
      <c r="N43" s="19">
        <f t="shared" si="3"/>
        <v>1.6666666666666667</v>
      </c>
    </row>
    <row r="44" spans="2:17" ht="15.6">
      <c r="B44" s="19" t="s">
        <v>38</v>
      </c>
      <c r="C44" s="19">
        <f t="shared" ref="C44:N48" si="4">C18/$O18</f>
        <v>0.80334728033472802</v>
      </c>
      <c r="D44" s="19">
        <f t="shared" si="4"/>
        <v>0.95397489539748959</v>
      </c>
      <c r="E44" s="19">
        <f t="shared" si="4"/>
        <v>1.0543933054393306</v>
      </c>
      <c r="F44" s="19">
        <f t="shared" si="4"/>
        <v>0.95397489539748959</v>
      </c>
      <c r="G44" s="19">
        <f t="shared" si="4"/>
        <v>1.506276150627615</v>
      </c>
      <c r="H44" s="19">
        <f t="shared" si="4"/>
        <v>1.6569037656903767</v>
      </c>
      <c r="I44" s="19">
        <f t="shared" si="4"/>
        <v>1.0543933054393306</v>
      </c>
      <c r="J44" s="19">
        <f t="shared" si="4"/>
        <v>0</v>
      </c>
      <c r="K44" s="19">
        <f t="shared" si="4"/>
        <v>0</v>
      </c>
      <c r="L44" s="19">
        <f t="shared" si="4"/>
        <v>0</v>
      </c>
      <c r="M44" s="19">
        <f t="shared" si="4"/>
        <v>1.8410041841004183</v>
      </c>
      <c r="N44" s="19">
        <f t="shared" si="4"/>
        <v>2.1757322175732217</v>
      </c>
    </row>
    <row r="45" spans="2:17" ht="15.6">
      <c r="B45" s="19" t="s">
        <v>39</v>
      </c>
      <c r="C45" s="19">
        <f t="shared" si="4"/>
        <v>0.61538461538461542</v>
      </c>
      <c r="D45" s="19">
        <f t="shared" si="4"/>
        <v>0.73076923076923073</v>
      </c>
      <c r="E45" s="19">
        <f t="shared" si="4"/>
        <v>0.80769230769230771</v>
      </c>
      <c r="F45" s="19">
        <f t="shared" si="4"/>
        <v>0.73076923076923073</v>
      </c>
      <c r="G45" s="19">
        <f t="shared" si="4"/>
        <v>1.1538461538461537</v>
      </c>
      <c r="H45" s="19">
        <f t="shared" si="4"/>
        <v>1.2692307692307692</v>
      </c>
      <c r="I45" s="19">
        <f t="shared" si="4"/>
        <v>0.80769230769230771</v>
      </c>
      <c r="J45" s="19">
        <f t="shared" si="4"/>
        <v>0.85897435897435892</v>
      </c>
      <c r="K45" s="19">
        <f t="shared" si="4"/>
        <v>0.79487179487179482</v>
      </c>
      <c r="L45" s="19">
        <f t="shared" si="4"/>
        <v>1.1538461538461537</v>
      </c>
      <c r="M45" s="19">
        <f t="shared" si="4"/>
        <v>1.4102564102564104</v>
      </c>
      <c r="N45" s="19">
        <f t="shared" si="4"/>
        <v>1.6666666666666667</v>
      </c>
    </row>
    <row r="46" spans="2:17" ht="15.6">
      <c r="B46" s="19" t="s">
        <v>40</v>
      </c>
      <c r="C46" s="19">
        <f t="shared" si="4"/>
        <v>0.76399560922063658</v>
      </c>
      <c r="D46" s="19">
        <f t="shared" si="4"/>
        <v>0</v>
      </c>
      <c r="E46" s="19">
        <f t="shared" si="4"/>
        <v>0</v>
      </c>
      <c r="F46" s="19">
        <f t="shared" si="4"/>
        <v>0</v>
      </c>
      <c r="G46" s="19">
        <f t="shared" si="4"/>
        <v>1.4226125137211854</v>
      </c>
      <c r="H46" s="19">
        <f t="shared" si="4"/>
        <v>1.5675082327113061</v>
      </c>
      <c r="I46" s="19">
        <f t="shared" si="4"/>
        <v>1.0010976948408341</v>
      </c>
      <c r="J46" s="19">
        <f t="shared" si="4"/>
        <v>1.0537870472008781</v>
      </c>
      <c r="K46" s="19">
        <f t="shared" si="4"/>
        <v>0.97475301866081221</v>
      </c>
      <c r="L46" s="19">
        <f t="shared" si="4"/>
        <v>1.4226125137211854</v>
      </c>
      <c r="M46" s="19">
        <f t="shared" si="4"/>
        <v>1.7387486278814488</v>
      </c>
      <c r="N46" s="19">
        <f t="shared" si="4"/>
        <v>2.0548847420417125</v>
      </c>
    </row>
    <row r="47" spans="2:17" ht="15.6">
      <c r="B47" s="19" t="s">
        <v>41</v>
      </c>
      <c r="C47" s="19">
        <f t="shared" si="4"/>
        <v>0.61450924608819346</v>
      </c>
      <c r="D47" s="19">
        <f t="shared" si="4"/>
        <v>0.73399715504978658</v>
      </c>
      <c r="E47" s="19">
        <f t="shared" si="4"/>
        <v>0.81081081081081074</v>
      </c>
      <c r="F47" s="19">
        <f t="shared" si="4"/>
        <v>0.73399715504978658</v>
      </c>
      <c r="G47" s="19">
        <f t="shared" si="4"/>
        <v>1.1522048364153628</v>
      </c>
      <c r="H47" s="19">
        <f t="shared" si="4"/>
        <v>1.2716927453769558</v>
      </c>
      <c r="I47" s="19">
        <f t="shared" si="4"/>
        <v>0.80227596017069702</v>
      </c>
      <c r="J47" s="19">
        <f t="shared" si="4"/>
        <v>0.86201991465149352</v>
      </c>
      <c r="K47" s="19">
        <f t="shared" si="4"/>
        <v>0.79374110953058319</v>
      </c>
      <c r="L47" s="19">
        <f t="shared" si="4"/>
        <v>1.1522048364153628</v>
      </c>
      <c r="M47" s="19">
        <f t="shared" si="4"/>
        <v>1.4082503556187767</v>
      </c>
      <c r="N47" s="19">
        <f t="shared" si="4"/>
        <v>1.6642958748221905</v>
      </c>
    </row>
    <row r="48" spans="2:17" ht="15.6">
      <c r="B48" s="19" t="s">
        <v>42</v>
      </c>
      <c r="C48" s="19">
        <f t="shared" si="4"/>
        <v>0.66283084004602988</v>
      </c>
      <c r="D48" s="19">
        <f t="shared" si="4"/>
        <v>0.78711162255466049</v>
      </c>
      <c r="E48" s="19">
        <f t="shared" si="4"/>
        <v>0.8699654775604142</v>
      </c>
      <c r="F48" s="19">
        <f t="shared" si="4"/>
        <v>0.78711162255466049</v>
      </c>
      <c r="G48" s="19">
        <f t="shared" si="4"/>
        <v>1.2428078250863059</v>
      </c>
      <c r="H48" s="19">
        <f t="shared" si="4"/>
        <v>1.3670886075949367</v>
      </c>
      <c r="I48" s="19">
        <f t="shared" si="4"/>
        <v>0.8699654775604142</v>
      </c>
      <c r="J48" s="19">
        <f t="shared" si="4"/>
        <v>0</v>
      </c>
      <c r="K48" s="19">
        <f t="shared" si="4"/>
        <v>0.8561565017261219</v>
      </c>
      <c r="L48" s="19">
        <f t="shared" si="4"/>
        <v>1.2428078250863059</v>
      </c>
      <c r="M48" s="19">
        <f t="shared" si="4"/>
        <v>1.5189873417721518</v>
      </c>
      <c r="N48" s="19">
        <f t="shared" si="4"/>
        <v>1.7951668584579976</v>
      </c>
    </row>
    <row r="51" spans="2:2" ht="15.6">
      <c r="B51" s="17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3AB1-30E1-4CCE-883A-D2C09D921522}">
  <dimension ref="B2:Q51"/>
  <sheetViews>
    <sheetView topLeftCell="A17" workbookViewId="0">
      <selection activeCell="C36" sqref="C36:N36"/>
    </sheetView>
  </sheetViews>
  <sheetFormatPr defaultRowHeight="14.4"/>
  <cols>
    <col min="2" max="2" width="33.44140625" bestFit="1" customWidth="1"/>
    <col min="11" max="11" width="10.109375" bestFit="1" customWidth="1"/>
    <col min="12" max="12" width="9.21875" bestFit="1" customWidth="1"/>
    <col min="13" max="13" width="8.33203125" bestFit="1" customWidth="1"/>
    <col min="14" max="14" width="9.33203125" bestFit="1" customWidth="1"/>
  </cols>
  <sheetData>
    <row r="2" spans="2:15" ht="15.6">
      <c r="B2" s="17"/>
      <c r="C2" s="18" t="s">
        <v>25</v>
      </c>
      <c r="D2" s="18" t="s">
        <v>26</v>
      </c>
      <c r="E2" s="18" t="s">
        <v>27</v>
      </c>
      <c r="F2" s="18" t="s">
        <v>28</v>
      </c>
      <c r="G2" s="18" t="s">
        <v>29</v>
      </c>
      <c r="H2" s="18" t="s">
        <v>30</v>
      </c>
      <c r="I2" s="18" t="s">
        <v>31</v>
      </c>
      <c r="J2" s="18" t="s">
        <v>32</v>
      </c>
      <c r="K2" s="18" t="s">
        <v>33</v>
      </c>
      <c r="L2" s="18" t="s">
        <v>34</v>
      </c>
      <c r="M2" s="18" t="s">
        <v>35</v>
      </c>
      <c r="N2" s="18" t="s">
        <v>36</v>
      </c>
    </row>
    <row r="3" spans="2:15" ht="15.6">
      <c r="B3" s="19" t="s">
        <v>37</v>
      </c>
      <c r="C3" s="19">
        <v>960</v>
      </c>
      <c r="D3" s="19">
        <v>1140</v>
      </c>
      <c r="E3" s="19">
        <v>1260</v>
      </c>
      <c r="F3" s="19">
        <v>1140</v>
      </c>
      <c r="G3" s="19">
        <v>1800</v>
      </c>
      <c r="H3" s="19">
        <v>1980</v>
      </c>
      <c r="I3" s="19">
        <v>1260</v>
      </c>
      <c r="J3" s="19">
        <v>1340</v>
      </c>
      <c r="K3" s="19">
        <v>1240</v>
      </c>
      <c r="L3" s="19">
        <v>1800</v>
      </c>
      <c r="M3" s="19">
        <v>2200</v>
      </c>
      <c r="N3" s="19">
        <v>2600</v>
      </c>
    </row>
    <row r="4" spans="2:15" ht="15.6">
      <c r="B4" s="19" t="s">
        <v>38</v>
      </c>
      <c r="C4" s="19">
        <v>2400</v>
      </c>
      <c r="D4" s="19">
        <v>2850</v>
      </c>
      <c r="E4" s="19">
        <v>3150</v>
      </c>
      <c r="F4" s="19">
        <v>2850</v>
      </c>
      <c r="G4" s="19">
        <v>4500</v>
      </c>
      <c r="H4" s="19">
        <v>4950</v>
      </c>
      <c r="I4" s="19">
        <v>3150</v>
      </c>
      <c r="J4" s="27">
        <v>0</v>
      </c>
      <c r="K4" s="27">
        <v>5700</v>
      </c>
      <c r="L4" s="27">
        <v>3300</v>
      </c>
      <c r="M4" s="19">
        <v>5500</v>
      </c>
      <c r="N4" s="19">
        <v>6500</v>
      </c>
    </row>
    <row r="5" spans="2:15" ht="15.6">
      <c r="B5" s="19" t="s">
        <v>39</v>
      </c>
      <c r="C5" s="19">
        <v>1248</v>
      </c>
      <c r="D5" s="19">
        <v>1482</v>
      </c>
      <c r="E5" s="19">
        <v>1638</v>
      </c>
      <c r="F5" s="19">
        <v>1482</v>
      </c>
      <c r="G5" s="19">
        <v>2340</v>
      </c>
      <c r="H5" s="19">
        <v>2574</v>
      </c>
      <c r="I5" s="19">
        <v>1638</v>
      </c>
      <c r="J5" s="19">
        <v>1742</v>
      </c>
      <c r="K5" s="19">
        <v>1612</v>
      </c>
      <c r="L5" s="19">
        <v>2340</v>
      </c>
      <c r="M5" s="19">
        <v>2860</v>
      </c>
      <c r="N5" s="19">
        <v>3380</v>
      </c>
    </row>
    <row r="6" spans="2:15" ht="15.6">
      <c r="B6" s="19" t="s">
        <v>40</v>
      </c>
      <c r="C6" s="19">
        <v>58</v>
      </c>
      <c r="D6" s="27">
        <v>0</v>
      </c>
      <c r="E6" s="27">
        <f>D6</f>
        <v>0</v>
      </c>
      <c r="F6" s="27">
        <f>E6</f>
        <v>0</v>
      </c>
      <c r="G6" s="19">
        <v>108</v>
      </c>
      <c r="H6" s="19">
        <v>119</v>
      </c>
      <c r="I6" s="19">
        <v>76</v>
      </c>
      <c r="J6" s="19">
        <v>80</v>
      </c>
      <c r="K6" s="19">
        <v>74</v>
      </c>
      <c r="L6" s="19">
        <v>108</v>
      </c>
      <c r="M6" s="19">
        <v>132</v>
      </c>
      <c r="N6" s="19">
        <v>156</v>
      </c>
    </row>
    <row r="7" spans="2:15" ht="15.6">
      <c r="B7" s="19" t="s">
        <v>41</v>
      </c>
      <c r="C7" s="19">
        <v>72</v>
      </c>
      <c r="D7" s="19">
        <v>86</v>
      </c>
      <c r="E7" s="19">
        <v>95</v>
      </c>
      <c r="F7" s="19">
        <v>86</v>
      </c>
      <c r="G7" s="19">
        <v>135</v>
      </c>
      <c r="H7" s="19">
        <v>149</v>
      </c>
      <c r="I7" s="19">
        <v>94</v>
      </c>
      <c r="J7" s="19">
        <v>101</v>
      </c>
      <c r="K7" s="19">
        <v>93</v>
      </c>
      <c r="L7" s="19">
        <v>135</v>
      </c>
      <c r="M7" s="19">
        <v>165</v>
      </c>
      <c r="N7" s="19">
        <v>195</v>
      </c>
    </row>
    <row r="8" spans="2:15" ht="15.6">
      <c r="B8" s="19" t="s">
        <v>42</v>
      </c>
      <c r="C8" s="19">
        <v>48</v>
      </c>
      <c r="D8" s="19">
        <v>57</v>
      </c>
      <c r="E8" s="19">
        <v>63</v>
      </c>
      <c r="F8" s="19">
        <v>57</v>
      </c>
      <c r="G8" s="19">
        <v>90</v>
      </c>
      <c r="H8" s="19">
        <v>99</v>
      </c>
      <c r="I8" s="19">
        <v>63</v>
      </c>
      <c r="J8" s="27">
        <v>0</v>
      </c>
      <c r="K8" s="19">
        <v>62</v>
      </c>
      <c r="L8" s="19">
        <v>90</v>
      </c>
      <c r="M8" s="19">
        <v>110</v>
      </c>
      <c r="N8" s="19">
        <v>130</v>
      </c>
    </row>
    <row r="9" spans="2:15" ht="17.399999999999999" customHeight="1">
      <c r="B9" s="19" t="s">
        <v>43</v>
      </c>
      <c r="C9" s="19">
        <v>2600</v>
      </c>
      <c r="D9" s="19">
        <v>4031</v>
      </c>
      <c r="E9" s="19">
        <v>1089</v>
      </c>
      <c r="F9" s="19">
        <v>6985</v>
      </c>
      <c r="G9" s="19">
        <v>1556</v>
      </c>
      <c r="H9" s="19">
        <v>1775</v>
      </c>
      <c r="I9" s="19">
        <v>7759</v>
      </c>
      <c r="J9" s="19">
        <v>1158</v>
      </c>
      <c r="K9" s="19">
        <v>3072</v>
      </c>
      <c r="L9" s="19">
        <v>1556</v>
      </c>
      <c r="M9" s="19">
        <v>17211</v>
      </c>
      <c r="N9" s="19">
        <v>2247</v>
      </c>
    </row>
    <row r="10" spans="2:15" ht="15.6">
      <c r="B10" s="19" t="s">
        <v>44</v>
      </c>
      <c r="C10" s="19">
        <v>3020</v>
      </c>
      <c r="D10" s="19">
        <v>7460</v>
      </c>
      <c r="E10" s="19">
        <v>3268</v>
      </c>
      <c r="F10" s="19">
        <v>2956</v>
      </c>
      <c r="G10" s="19">
        <v>5668</v>
      </c>
      <c r="H10" s="19">
        <v>17530</v>
      </c>
      <c r="I10" s="19">
        <v>3266</v>
      </c>
      <c r="J10" s="19">
        <v>3474</v>
      </c>
      <c r="K10" s="19">
        <v>7216</v>
      </c>
      <c r="L10" s="19">
        <v>4668</v>
      </c>
      <c r="M10" s="19">
        <v>5704</v>
      </c>
      <c r="N10" s="19">
        <v>6740</v>
      </c>
    </row>
    <row r="11" spans="2:15" ht="15.6">
      <c r="B11" s="19" t="s">
        <v>45</v>
      </c>
      <c r="C11" s="19">
        <v>6000</v>
      </c>
      <c r="D11" s="19">
        <v>2300</v>
      </c>
      <c r="E11" s="19">
        <v>10890</v>
      </c>
      <c r="F11" s="19">
        <v>3850</v>
      </c>
      <c r="G11" s="19">
        <v>14700</v>
      </c>
      <c r="H11" s="19">
        <v>4650</v>
      </c>
      <c r="I11" s="19">
        <v>4220</v>
      </c>
      <c r="J11" s="19">
        <v>11580</v>
      </c>
      <c r="K11" s="19">
        <v>4720</v>
      </c>
      <c r="L11" s="19">
        <v>15560</v>
      </c>
      <c r="M11" s="19">
        <v>3700</v>
      </c>
      <c r="N11" s="19">
        <v>22470</v>
      </c>
    </row>
    <row r="12" spans="2:15" ht="15.6">
      <c r="B12" s="19" t="s">
        <v>46</v>
      </c>
      <c r="C12" s="19">
        <v>1920</v>
      </c>
      <c r="D12" s="19">
        <v>1680</v>
      </c>
      <c r="E12" s="19">
        <v>5080</v>
      </c>
      <c r="F12" s="19">
        <v>2280</v>
      </c>
      <c r="G12" s="19">
        <v>3600</v>
      </c>
      <c r="H12" s="19">
        <v>7600</v>
      </c>
      <c r="I12" s="19">
        <v>2520</v>
      </c>
      <c r="J12" s="19">
        <v>1600</v>
      </c>
      <c r="K12" s="19">
        <v>2480</v>
      </c>
      <c r="L12" s="19">
        <v>4600</v>
      </c>
      <c r="M12" s="19">
        <v>4400</v>
      </c>
      <c r="N12" s="19">
        <v>10200</v>
      </c>
    </row>
    <row r="13" spans="2:15" ht="15.6">
      <c r="B13" s="19" t="s">
        <v>47</v>
      </c>
      <c r="C13" s="19">
        <v>2880</v>
      </c>
      <c r="D13" s="19">
        <v>4020</v>
      </c>
      <c r="E13" s="19">
        <v>1220</v>
      </c>
      <c r="F13" s="19">
        <v>3420</v>
      </c>
      <c r="G13" s="19">
        <v>5400</v>
      </c>
      <c r="H13" s="19">
        <v>2300</v>
      </c>
      <c r="I13" s="19">
        <v>3780</v>
      </c>
      <c r="J13" s="19">
        <v>5100</v>
      </c>
      <c r="K13" s="19">
        <v>3720</v>
      </c>
      <c r="L13" s="19">
        <v>4400</v>
      </c>
      <c r="M13" s="19">
        <v>6600</v>
      </c>
      <c r="N13" s="19">
        <v>7800</v>
      </c>
    </row>
    <row r="16" spans="2:15" ht="15.6">
      <c r="B16" s="17"/>
      <c r="C16" s="18" t="s">
        <v>25</v>
      </c>
      <c r="D16" s="18" t="s">
        <v>26</v>
      </c>
      <c r="E16" s="18" t="s">
        <v>27</v>
      </c>
      <c r="F16" s="18" t="s">
        <v>28</v>
      </c>
      <c r="G16" s="18" t="s">
        <v>29</v>
      </c>
      <c r="H16" s="18" t="s">
        <v>30</v>
      </c>
      <c r="I16" s="18" t="s">
        <v>31</v>
      </c>
      <c r="J16" s="18" t="s">
        <v>32</v>
      </c>
      <c r="K16" s="18" t="s">
        <v>33</v>
      </c>
      <c r="L16" s="18" t="s">
        <v>34</v>
      </c>
      <c r="M16" s="18" t="s">
        <v>35</v>
      </c>
      <c r="N16" s="18" t="s">
        <v>36</v>
      </c>
      <c r="O16" s="30" t="s">
        <v>64</v>
      </c>
    </row>
    <row r="17" spans="2:17" ht="15.6">
      <c r="B17" s="19" t="s">
        <v>37</v>
      </c>
      <c r="C17" s="19">
        <v>960</v>
      </c>
      <c r="D17" s="19">
        <v>1140</v>
      </c>
      <c r="E17" s="19">
        <v>1260</v>
      </c>
      <c r="F17" s="19">
        <v>1140</v>
      </c>
      <c r="G17" s="19">
        <v>1800</v>
      </c>
      <c r="H17" s="19">
        <v>1980</v>
      </c>
      <c r="I17" s="19">
        <v>1260</v>
      </c>
      <c r="J17" s="19">
        <v>1340</v>
      </c>
      <c r="K17" s="19">
        <v>1240</v>
      </c>
      <c r="L17" s="19">
        <v>1800</v>
      </c>
      <c r="M17" s="19">
        <v>2200</v>
      </c>
      <c r="N17" s="19">
        <v>2600</v>
      </c>
      <c r="O17" s="19">
        <f>AVERAGE(C17:N17)</f>
        <v>1560</v>
      </c>
    </row>
    <row r="18" spans="2:17" ht="15.6">
      <c r="B18" s="19" t="s">
        <v>38</v>
      </c>
      <c r="C18" s="19">
        <v>2400</v>
      </c>
      <c r="D18" s="19">
        <v>2850</v>
      </c>
      <c r="E18" s="19">
        <v>3150</v>
      </c>
      <c r="F18" s="19">
        <v>2850</v>
      </c>
      <c r="G18" s="19">
        <v>4500</v>
      </c>
      <c r="H18" s="19">
        <v>4950</v>
      </c>
      <c r="I18" s="19">
        <v>3150</v>
      </c>
      <c r="J18" s="72">
        <f>P18</f>
        <v>3625</v>
      </c>
      <c r="K18" s="72">
        <f>P18</f>
        <v>3625</v>
      </c>
      <c r="L18" s="72">
        <f>P18</f>
        <v>3625</v>
      </c>
      <c r="M18" s="19">
        <v>5500</v>
      </c>
      <c r="N18" s="19">
        <v>6500</v>
      </c>
      <c r="O18" s="73">
        <f t="shared" ref="O18:O22" si="0">AVERAGE(C18:N18)</f>
        <v>3893.75</v>
      </c>
      <c r="P18" s="75">
        <f>(K4+L4+M4)/4</f>
        <v>3625</v>
      </c>
      <c r="Q18" s="17" t="s">
        <v>106</v>
      </c>
    </row>
    <row r="19" spans="2:17" ht="15.6">
      <c r="B19" s="19" t="s">
        <v>39</v>
      </c>
      <c r="C19" s="19">
        <v>1248</v>
      </c>
      <c r="D19" s="19">
        <v>1482</v>
      </c>
      <c r="E19" s="19">
        <v>1638</v>
      </c>
      <c r="F19" s="19">
        <v>1482</v>
      </c>
      <c r="G19" s="19">
        <v>2340</v>
      </c>
      <c r="H19" s="19">
        <v>2574</v>
      </c>
      <c r="I19" s="19">
        <v>1638</v>
      </c>
      <c r="J19" s="19">
        <v>1742</v>
      </c>
      <c r="K19" s="19">
        <v>1612</v>
      </c>
      <c r="L19" s="19">
        <v>2340</v>
      </c>
      <c r="M19" s="19">
        <v>2860</v>
      </c>
      <c r="N19" s="19">
        <v>3380</v>
      </c>
      <c r="O19" s="19">
        <f t="shared" si="0"/>
        <v>2028</v>
      </c>
    </row>
    <row r="20" spans="2:17" ht="15.6">
      <c r="B20" s="19" t="s">
        <v>40</v>
      </c>
      <c r="C20" s="19">
        <v>58</v>
      </c>
      <c r="D20" s="72">
        <f>D$36/$Q$39*$P$37</f>
        <v>68.860819123292615</v>
      </c>
      <c r="E20" s="72">
        <f t="shared" ref="E20:F20" si="1">E$36/$Q$39*$P$37</f>
        <v>76.083981968393246</v>
      </c>
      <c r="F20" s="72">
        <f t="shared" si="1"/>
        <v>68.860819123292615</v>
      </c>
      <c r="G20" s="19">
        <v>108</v>
      </c>
      <c r="H20" s="19">
        <v>119</v>
      </c>
      <c r="I20" s="19">
        <v>76</v>
      </c>
      <c r="J20" s="19">
        <v>80</v>
      </c>
      <c r="K20" s="19">
        <v>74</v>
      </c>
      <c r="L20" s="19">
        <v>108</v>
      </c>
      <c r="M20" s="19">
        <v>132</v>
      </c>
      <c r="N20" s="19">
        <v>156</v>
      </c>
      <c r="O20" s="19">
        <f t="shared" si="0"/>
        <v>93.733801684581536</v>
      </c>
      <c r="P20" s="74" t="s">
        <v>107</v>
      </c>
    </row>
    <row r="21" spans="2:17" ht="15.6">
      <c r="B21" s="19" t="s">
        <v>41</v>
      </c>
      <c r="C21" s="19">
        <v>72</v>
      </c>
      <c r="D21" s="19">
        <v>86</v>
      </c>
      <c r="E21" s="19">
        <v>95</v>
      </c>
      <c r="F21" s="19">
        <v>86</v>
      </c>
      <c r="G21" s="19">
        <v>135</v>
      </c>
      <c r="H21" s="19">
        <v>149</v>
      </c>
      <c r="I21" s="19">
        <v>94</v>
      </c>
      <c r="J21" s="19">
        <v>101</v>
      </c>
      <c r="K21" s="19">
        <v>93</v>
      </c>
      <c r="L21" s="19">
        <v>135</v>
      </c>
      <c r="M21" s="19">
        <v>165</v>
      </c>
      <c r="N21" s="19">
        <v>195</v>
      </c>
      <c r="O21" s="19">
        <f t="shared" si="0"/>
        <v>117.16666666666667</v>
      </c>
    </row>
    <row r="22" spans="2:17" ht="15.6">
      <c r="B22" s="19" t="s">
        <v>42</v>
      </c>
      <c r="C22" s="19">
        <v>48</v>
      </c>
      <c r="D22" s="19">
        <v>57</v>
      </c>
      <c r="E22" s="19">
        <v>63</v>
      </c>
      <c r="F22" s="19">
        <v>57</v>
      </c>
      <c r="G22" s="19">
        <v>90</v>
      </c>
      <c r="H22" s="19">
        <v>99</v>
      </c>
      <c r="I22" s="19">
        <v>63</v>
      </c>
      <c r="J22" s="72">
        <f>(K22+I22)/2</f>
        <v>62.5</v>
      </c>
      <c r="K22" s="19">
        <v>62</v>
      </c>
      <c r="L22" s="19">
        <v>90</v>
      </c>
      <c r="M22" s="19">
        <v>110</v>
      </c>
      <c r="N22" s="19">
        <v>130</v>
      </c>
      <c r="O22" s="19">
        <f t="shared" si="0"/>
        <v>77.625</v>
      </c>
      <c r="P22" s="74" t="s">
        <v>108</v>
      </c>
    </row>
    <row r="23" spans="2:17" ht="15.6">
      <c r="B23" s="19" t="s">
        <v>43</v>
      </c>
      <c r="C23" s="19">
        <v>2600</v>
      </c>
      <c r="D23" s="19">
        <v>4031</v>
      </c>
      <c r="E23" s="19">
        <v>1089</v>
      </c>
      <c r="F23" s="19">
        <v>6985</v>
      </c>
      <c r="G23" s="19">
        <v>1556</v>
      </c>
      <c r="H23" s="19">
        <v>1775</v>
      </c>
      <c r="I23" s="19">
        <v>7759</v>
      </c>
      <c r="J23" s="19">
        <v>1158</v>
      </c>
      <c r="K23" s="19">
        <v>3072</v>
      </c>
      <c r="L23" s="19">
        <v>1556</v>
      </c>
      <c r="M23" s="19">
        <v>17211</v>
      </c>
      <c r="N23" s="19">
        <v>2247</v>
      </c>
    </row>
    <row r="24" spans="2:17" ht="15.6">
      <c r="B24" s="19" t="s">
        <v>44</v>
      </c>
      <c r="C24" s="19">
        <v>3020</v>
      </c>
      <c r="D24" s="19">
        <v>7460</v>
      </c>
      <c r="E24" s="19">
        <v>3268</v>
      </c>
      <c r="F24" s="19">
        <v>2956</v>
      </c>
      <c r="G24" s="19">
        <v>5668</v>
      </c>
      <c r="H24" s="19">
        <v>17530</v>
      </c>
      <c r="I24" s="19">
        <v>3266</v>
      </c>
      <c r="J24" s="19">
        <v>3474</v>
      </c>
      <c r="K24" s="19">
        <v>7216</v>
      </c>
      <c r="L24" s="19">
        <v>4668</v>
      </c>
      <c r="M24" s="19">
        <v>5704</v>
      </c>
      <c r="N24" s="19">
        <v>6740</v>
      </c>
    </row>
    <row r="25" spans="2:17" ht="15.6">
      <c r="B25" s="19" t="s">
        <v>45</v>
      </c>
      <c r="C25" s="19">
        <v>6000</v>
      </c>
      <c r="D25" s="19">
        <v>2300</v>
      </c>
      <c r="E25" s="19">
        <v>10890</v>
      </c>
      <c r="F25" s="19">
        <v>3850</v>
      </c>
      <c r="G25" s="19">
        <v>14700</v>
      </c>
      <c r="H25" s="19">
        <v>4650</v>
      </c>
      <c r="I25" s="19">
        <v>4220</v>
      </c>
      <c r="J25" s="19">
        <v>11580</v>
      </c>
      <c r="K25" s="19">
        <v>4720</v>
      </c>
      <c r="L25" s="19">
        <v>15560</v>
      </c>
      <c r="M25" s="19">
        <v>3700</v>
      </c>
      <c r="N25" s="19">
        <v>22470</v>
      </c>
    </row>
    <row r="26" spans="2:17" ht="15.6">
      <c r="B26" s="19" t="s">
        <v>46</v>
      </c>
      <c r="C26" s="19">
        <v>1920</v>
      </c>
      <c r="D26" s="19">
        <v>1680</v>
      </c>
      <c r="E26" s="19">
        <v>5080</v>
      </c>
      <c r="F26" s="19">
        <v>2280</v>
      </c>
      <c r="G26" s="19">
        <v>3600</v>
      </c>
      <c r="H26" s="19">
        <v>7600</v>
      </c>
      <c r="I26" s="19">
        <v>2520</v>
      </c>
      <c r="J26" s="19">
        <v>1600</v>
      </c>
      <c r="K26" s="19">
        <v>2480</v>
      </c>
      <c r="L26" s="19">
        <v>4600</v>
      </c>
      <c r="M26" s="19">
        <v>4400</v>
      </c>
      <c r="N26" s="19">
        <v>10200</v>
      </c>
    </row>
    <row r="27" spans="2:17" ht="15.6">
      <c r="B27" s="19" t="s">
        <v>47</v>
      </c>
      <c r="C27" s="19">
        <v>2880</v>
      </c>
      <c r="D27" s="19">
        <v>4020</v>
      </c>
      <c r="E27" s="19">
        <v>1220</v>
      </c>
      <c r="F27" s="19">
        <v>3420</v>
      </c>
      <c r="G27" s="19">
        <v>5400</v>
      </c>
      <c r="H27" s="19">
        <v>2300</v>
      </c>
      <c r="I27" s="19">
        <v>3780</v>
      </c>
      <c r="J27" s="19">
        <v>5100</v>
      </c>
      <c r="K27" s="19">
        <v>3720</v>
      </c>
      <c r="L27" s="19">
        <v>4400</v>
      </c>
      <c r="M27" s="19">
        <v>6600</v>
      </c>
      <c r="N27" s="19">
        <v>7800</v>
      </c>
    </row>
    <row r="29" spans="2:17" ht="15.6">
      <c r="B29" s="17" t="s">
        <v>107</v>
      </c>
      <c r="C29" s="17" t="s">
        <v>109</v>
      </c>
    </row>
    <row r="30" spans="2:17" ht="15.6">
      <c r="C30" s="17" t="s">
        <v>110</v>
      </c>
    </row>
    <row r="31" spans="2:17" ht="15.6">
      <c r="C31" s="17" t="s">
        <v>111</v>
      </c>
    </row>
    <row r="32" spans="2:17" ht="15.6">
      <c r="C32" s="17" t="s">
        <v>112</v>
      </c>
    </row>
    <row r="33" spans="2:17" ht="15.6">
      <c r="C33" s="17" t="s">
        <v>113</v>
      </c>
    </row>
    <row r="36" spans="2:17" ht="15.6">
      <c r="B36" s="19" t="s">
        <v>114</v>
      </c>
      <c r="C36" s="19">
        <f>SUM(C20:C22)</f>
        <v>178</v>
      </c>
      <c r="D36" s="19">
        <f>SUM(D21:D22)</f>
        <v>143</v>
      </c>
      <c r="E36" s="19">
        <f t="shared" ref="E36:F36" si="2">SUM(E21:E22)</f>
        <v>158</v>
      </c>
      <c r="F36" s="19">
        <f t="shared" si="2"/>
        <v>143</v>
      </c>
      <c r="G36" s="19">
        <f t="shared" ref="G36:N36" si="3">SUM(G20:G22)</f>
        <v>333</v>
      </c>
      <c r="H36" s="19">
        <f t="shared" si="3"/>
        <v>367</v>
      </c>
      <c r="I36" s="19">
        <f t="shared" si="3"/>
        <v>233</v>
      </c>
      <c r="J36" s="19">
        <f t="shared" si="3"/>
        <v>243.5</v>
      </c>
      <c r="K36" s="19">
        <f t="shared" si="3"/>
        <v>229</v>
      </c>
      <c r="L36" s="19">
        <f t="shared" si="3"/>
        <v>333</v>
      </c>
      <c r="M36" s="19">
        <f t="shared" si="3"/>
        <v>407</v>
      </c>
      <c r="N36" s="19">
        <f t="shared" si="3"/>
        <v>481</v>
      </c>
      <c r="O36" s="19" t="s">
        <v>53</v>
      </c>
      <c r="P36" s="19" t="s">
        <v>54</v>
      </c>
      <c r="Q36" s="19"/>
    </row>
    <row r="37" spans="2:17" ht="15.6">
      <c r="B37" s="19" t="s">
        <v>40</v>
      </c>
      <c r="C37" s="21">
        <f>C20/C$36</f>
        <v>0.3258426966292135</v>
      </c>
      <c r="D37" s="21"/>
      <c r="E37" s="21"/>
      <c r="F37" s="21"/>
      <c r="G37" s="21">
        <f t="shared" ref="G37:N39" si="4">G20/G$36</f>
        <v>0.32432432432432434</v>
      </c>
      <c r="H37" s="21">
        <f t="shared" si="4"/>
        <v>0.3242506811989101</v>
      </c>
      <c r="I37" s="21">
        <f t="shared" si="4"/>
        <v>0.3261802575107296</v>
      </c>
      <c r="J37" s="21">
        <f t="shared" si="4"/>
        <v>0.32854209445585214</v>
      </c>
      <c r="K37" s="21">
        <f t="shared" si="4"/>
        <v>0.32314410480349343</v>
      </c>
      <c r="L37" s="21">
        <f t="shared" si="4"/>
        <v>0.32432432432432434</v>
      </c>
      <c r="M37" s="21">
        <f t="shared" si="4"/>
        <v>0.32432432432432434</v>
      </c>
      <c r="N37" s="21">
        <f t="shared" si="4"/>
        <v>0.32432432432432434</v>
      </c>
      <c r="O37" s="21">
        <f>_xlfn.STDEV.S(C37,G37:N37)</f>
        <v>1.5997737474082417E-3</v>
      </c>
      <c r="P37" s="21">
        <f>AVERAGE(C37:N37)</f>
        <v>0.32502857021061071</v>
      </c>
      <c r="Q37" s="21"/>
    </row>
    <row r="38" spans="2:17" ht="15.6">
      <c r="B38" s="19" t="s">
        <v>41</v>
      </c>
      <c r="C38" s="21">
        <f>C21/C$36</f>
        <v>0.4044943820224719</v>
      </c>
      <c r="D38" s="21"/>
      <c r="E38" s="21"/>
      <c r="F38" s="21"/>
      <c r="G38" s="21">
        <f t="shared" si="4"/>
        <v>0.40540540540540543</v>
      </c>
      <c r="H38" s="21">
        <f t="shared" si="4"/>
        <v>0.40599455040871935</v>
      </c>
      <c r="I38" s="21">
        <f t="shared" si="4"/>
        <v>0.40343347639484978</v>
      </c>
      <c r="J38" s="21">
        <f t="shared" si="4"/>
        <v>0.41478439425051333</v>
      </c>
      <c r="K38" s="21">
        <f t="shared" si="4"/>
        <v>0.40611353711790393</v>
      </c>
      <c r="L38" s="21">
        <f t="shared" si="4"/>
        <v>0.40540540540540543</v>
      </c>
      <c r="M38" s="21">
        <f t="shared" si="4"/>
        <v>0.40540540540540543</v>
      </c>
      <c r="N38" s="21">
        <f t="shared" si="4"/>
        <v>0.40540540540540543</v>
      </c>
      <c r="O38" s="21">
        <f t="shared" ref="O38:O39" si="5">_xlfn.STDEV.S(C38,G38:N38)</f>
        <v>3.2936307337486769E-3</v>
      </c>
      <c r="P38" s="21">
        <f t="shared" ref="P38:P39" si="6">AVERAGE(C38:N38)</f>
        <v>0.40627132909067548</v>
      </c>
      <c r="Q38" s="21"/>
    </row>
    <row r="39" spans="2:17" ht="15.6">
      <c r="B39" s="19" t="s">
        <v>42</v>
      </c>
      <c r="C39" s="21">
        <f>C22/C$36</f>
        <v>0.2696629213483146</v>
      </c>
      <c r="D39" s="21"/>
      <c r="E39" s="21"/>
      <c r="F39" s="21"/>
      <c r="G39" s="21">
        <f t="shared" si="4"/>
        <v>0.27027027027027029</v>
      </c>
      <c r="H39" s="21">
        <f t="shared" si="4"/>
        <v>0.26975476839237056</v>
      </c>
      <c r="I39" s="21">
        <f t="shared" si="4"/>
        <v>0.27038626609442062</v>
      </c>
      <c r="J39" s="21">
        <f t="shared" si="4"/>
        <v>0.25667351129363447</v>
      </c>
      <c r="K39" s="21">
        <f t="shared" si="4"/>
        <v>0.27074235807860264</v>
      </c>
      <c r="L39" s="21">
        <f t="shared" si="4"/>
        <v>0.27027027027027029</v>
      </c>
      <c r="M39" s="21">
        <f t="shared" si="4"/>
        <v>0.27027027027027029</v>
      </c>
      <c r="N39" s="21">
        <f t="shared" si="4"/>
        <v>0.27027027027027029</v>
      </c>
      <c r="O39" s="21">
        <f t="shared" si="5"/>
        <v>4.5215304260126411E-3</v>
      </c>
      <c r="P39" s="21">
        <f t="shared" si="6"/>
        <v>0.26870010069871375</v>
      </c>
      <c r="Q39" s="21">
        <f>P38+P39</f>
        <v>0.67497142978938918</v>
      </c>
    </row>
    <row r="41" spans="2:17" ht="15.6">
      <c r="G41" s="17" t="s">
        <v>115</v>
      </c>
    </row>
    <row r="43" spans="2:17" ht="15.6">
      <c r="B43" s="19" t="s">
        <v>37</v>
      </c>
      <c r="C43" s="21">
        <f>C17/$O17</f>
        <v>0.61538461538461542</v>
      </c>
      <c r="D43" s="21">
        <f t="shared" ref="D43:N43" si="7">D17/$O17</f>
        <v>0.73076923076923073</v>
      </c>
      <c r="E43" s="21">
        <f t="shared" si="7"/>
        <v>0.80769230769230771</v>
      </c>
      <c r="F43" s="21">
        <f t="shared" si="7"/>
        <v>0.73076923076923073</v>
      </c>
      <c r="G43" s="21">
        <f t="shared" si="7"/>
        <v>1.1538461538461537</v>
      </c>
      <c r="H43" s="21">
        <f t="shared" si="7"/>
        <v>1.2692307692307692</v>
      </c>
      <c r="I43" s="21">
        <f t="shared" si="7"/>
        <v>0.80769230769230771</v>
      </c>
      <c r="J43" s="21">
        <f t="shared" si="7"/>
        <v>0.85897435897435892</v>
      </c>
      <c r="K43" s="21">
        <f t="shared" si="7"/>
        <v>0.79487179487179482</v>
      </c>
      <c r="L43" s="21">
        <f t="shared" si="7"/>
        <v>1.1538461538461537</v>
      </c>
      <c r="M43" s="21">
        <f t="shared" si="7"/>
        <v>1.4102564102564104</v>
      </c>
      <c r="N43" s="21">
        <f t="shared" si="7"/>
        <v>1.6666666666666667</v>
      </c>
    </row>
    <row r="44" spans="2:17" ht="15.6">
      <c r="B44" s="19" t="s">
        <v>38</v>
      </c>
      <c r="C44" s="21">
        <f t="shared" ref="C44:N48" si="8">C18/$O18</f>
        <v>0.6163723916532905</v>
      </c>
      <c r="D44" s="21">
        <f t="shared" si="8"/>
        <v>0.7319422150882825</v>
      </c>
      <c r="E44" s="21">
        <f t="shared" si="8"/>
        <v>0.8089887640449438</v>
      </c>
      <c r="F44" s="21">
        <f t="shared" si="8"/>
        <v>0.7319422150882825</v>
      </c>
      <c r="G44" s="21">
        <f t="shared" si="8"/>
        <v>1.1556982343499198</v>
      </c>
      <c r="H44" s="21">
        <f t="shared" si="8"/>
        <v>1.2712680577849118</v>
      </c>
      <c r="I44" s="21">
        <f t="shared" si="8"/>
        <v>0.8089887640449438</v>
      </c>
      <c r="J44" s="21">
        <f t="shared" si="8"/>
        <v>0.9309791332263242</v>
      </c>
      <c r="K44" s="21">
        <f t="shared" si="8"/>
        <v>0.9309791332263242</v>
      </c>
      <c r="L44" s="21">
        <f t="shared" si="8"/>
        <v>0.9309791332263242</v>
      </c>
      <c r="M44" s="21">
        <f t="shared" si="8"/>
        <v>1.4125200642054574</v>
      </c>
      <c r="N44" s="21">
        <f t="shared" si="8"/>
        <v>1.6693418940609952</v>
      </c>
    </row>
    <row r="45" spans="2:17" ht="15.6">
      <c r="B45" s="19" t="s">
        <v>39</v>
      </c>
      <c r="C45" s="21">
        <f t="shared" si="8"/>
        <v>0.61538461538461542</v>
      </c>
      <c r="D45" s="21">
        <f t="shared" si="8"/>
        <v>0.73076923076923073</v>
      </c>
      <c r="E45" s="21">
        <f t="shared" si="8"/>
        <v>0.80769230769230771</v>
      </c>
      <c r="F45" s="21">
        <f t="shared" si="8"/>
        <v>0.73076923076923073</v>
      </c>
      <c r="G45" s="21">
        <f t="shared" si="8"/>
        <v>1.1538461538461537</v>
      </c>
      <c r="H45" s="21">
        <f t="shared" si="8"/>
        <v>1.2692307692307692</v>
      </c>
      <c r="I45" s="21">
        <f t="shared" si="8"/>
        <v>0.80769230769230771</v>
      </c>
      <c r="J45" s="21">
        <f t="shared" si="8"/>
        <v>0.85897435897435892</v>
      </c>
      <c r="K45" s="21">
        <f t="shared" si="8"/>
        <v>0.79487179487179482</v>
      </c>
      <c r="L45" s="21">
        <f t="shared" si="8"/>
        <v>1.1538461538461537</v>
      </c>
      <c r="M45" s="21">
        <f t="shared" si="8"/>
        <v>1.4102564102564104</v>
      </c>
      <c r="N45" s="21">
        <f t="shared" si="8"/>
        <v>1.6666666666666667</v>
      </c>
    </row>
    <row r="46" spans="2:17" ht="15.6">
      <c r="B46" s="19" t="s">
        <v>40</v>
      </c>
      <c r="C46" s="21">
        <f t="shared" si="8"/>
        <v>0.61877357962256363</v>
      </c>
      <c r="D46" s="21">
        <f t="shared" si="8"/>
        <v>0.73464233697692505</v>
      </c>
      <c r="E46" s="21">
        <f t="shared" si="8"/>
        <v>0.81170272197450466</v>
      </c>
      <c r="F46" s="21">
        <f t="shared" si="8"/>
        <v>0.73464233697692505</v>
      </c>
      <c r="G46" s="21">
        <f t="shared" si="8"/>
        <v>1.1521990792971875</v>
      </c>
      <c r="H46" s="21">
        <f t="shared" si="8"/>
        <v>1.2695526892256046</v>
      </c>
      <c r="I46" s="21">
        <f t="shared" si="8"/>
        <v>0.81080675950542813</v>
      </c>
      <c r="J46" s="21">
        <f t="shared" si="8"/>
        <v>0.85348079947939803</v>
      </c>
      <c r="K46" s="21">
        <f t="shared" si="8"/>
        <v>0.78946973951844324</v>
      </c>
      <c r="L46" s="21">
        <f t="shared" si="8"/>
        <v>1.1521990792971875</v>
      </c>
      <c r="M46" s="21">
        <f t="shared" si="8"/>
        <v>1.4082433191410069</v>
      </c>
      <c r="N46" s="21">
        <f t="shared" si="8"/>
        <v>1.6642875589848263</v>
      </c>
    </row>
    <row r="47" spans="2:17" ht="15.6">
      <c r="B47" s="19" t="s">
        <v>41</v>
      </c>
      <c r="C47" s="21">
        <f t="shared" si="8"/>
        <v>0.61450924608819346</v>
      </c>
      <c r="D47" s="21">
        <f t="shared" si="8"/>
        <v>0.73399715504978658</v>
      </c>
      <c r="E47" s="21">
        <f t="shared" si="8"/>
        <v>0.81081081081081074</v>
      </c>
      <c r="F47" s="21">
        <f t="shared" si="8"/>
        <v>0.73399715504978658</v>
      </c>
      <c r="G47" s="21">
        <f t="shared" si="8"/>
        <v>1.1522048364153628</v>
      </c>
      <c r="H47" s="21">
        <f t="shared" si="8"/>
        <v>1.2716927453769558</v>
      </c>
      <c r="I47" s="21">
        <f t="shared" si="8"/>
        <v>0.80227596017069702</v>
      </c>
      <c r="J47" s="21">
        <f t="shared" si="8"/>
        <v>0.86201991465149352</v>
      </c>
      <c r="K47" s="21">
        <f t="shared" si="8"/>
        <v>0.79374110953058319</v>
      </c>
      <c r="L47" s="21">
        <f t="shared" si="8"/>
        <v>1.1522048364153628</v>
      </c>
      <c r="M47" s="21">
        <f t="shared" si="8"/>
        <v>1.4082503556187767</v>
      </c>
      <c r="N47" s="21">
        <f t="shared" si="8"/>
        <v>1.6642958748221905</v>
      </c>
    </row>
    <row r="48" spans="2:17" ht="15.6">
      <c r="B48" s="19" t="s">
        <v>42</v>
      </c>
      <c r="C48" s="21">
        <f t="shared" si="8"/>
        <v>0.61835748792270528</v>
      </c>
      <c r="D48" s="21">
        <f t="shared" si="8"/>
        <v>0.7342995169082126</v>
      </c>
      <c r="E48" s="21">
        <f t="shared" si="8"/>
        <v>0.81159420289855078</v>
      </c>
      <c r="F48" s="21">
        <f t="shared" si="8"/>
        <v>0.7342995169082126</v>
      </c>
      <c r="G48" s="21">
        <f t="shared" si="8"/>
        <v>1.1594202898550725</v>
      </c>
      <c r="H48" s="21">
        <f t="shared" si="8"/>
        <v>1.2753623188405796</v>
      </c>
      <c r="I48" s="21">
        <f t="shared" si="8"/>
        <v>0.81159420289855078</v>
      </c>
      <c r="J48" s="21">
        <f t="shared" si="8"/>
        <v>0.80515297906602257</v>
      </c>
      <c r="K48" s="21">
        <f t="shared" si="8"/>
        <v>0.79871175523349436</v>
      </c>
      <c r="L48" s="21">
        <f t="shared" si="8"/>
        <v>1.1594202898550725</v>
      </c>
      <c r="M48" s="21">
        <f t="shared" si="8"/>
        <v>1.4170692431561998</v>
      </c>
      <c r="N48" s="21">
        <f t="shared" si="8"/>
        <v>1.674718196457327</v>
      </c>
    </row>
    <row r="51" spans="2:2" ht="15.6">
      <c r="B51" s="1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Абс. прирост, темп роста, приро</vt:lpstr>
      <vt:lpstr>Абс. прирост, темп роста, р</vt:lpstr>
      <vt:lpstr>Единое основание</vt:lpstr>
      <vt:lpstr>Единое основание р</vt:lpstr>
      <vt:lpstr>Укрупнение, скользящая средняя</vt:lpstr>
      <vt:lpstr>Укрупнение, скользящая сред р</vt:lpstr>
      <vt:lpstr>Пример линии тренда</vt:lpstr>
      <vt:lpstr>Ск средн, крит. Фишера</vt:lpstr>
      <vt:lpstr>Ск средн, крит. Фишера р</vt:lpstr>
      <vt:lpstr>Сезонность</vt:lpstr>
      <vt:lpstr>Сезонность р</vt:lpstr>
      <vt:lpstr>Искажения данных</vt:lpstr>
      <vt:lpstr>Нормализация данных 1</vt:lpstr>
      <vt:lpstr>Нормализация данных 1 р</vt:lpstr>
      <vt:lpstr>Нормализация 2</vt:lpstr>
      <vt:lpstr>Нормализация 2 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Хрущ</dc:creator>
  <cp:lastModifiedBy>Игорь Хрущ</cp:lastModifiedBy>
  <dcterms:created xsi:type="dcterms:W3CDTF">2020-03-09T20:41:51Z</dcterms:created>
  <dcterms:modified xsi:type="dcterms:W3CDTF">2025-12-06T12:52:55Z</dcterms:modified>
</cp:coreProperties>
</file>